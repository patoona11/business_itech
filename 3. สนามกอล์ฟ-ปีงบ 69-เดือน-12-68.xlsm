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6.xml" ContentType="application/vnd.ms-excel.controlproperti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7.xml" ContentType="application/vnd.ms-excel.controlproperti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8.xml" ContentType="application/vnd.ms-excel.controlproperties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9.xml" ContentType="application/vnd.ms-excel.controlproperties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trlProps/ctrlProp10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1abd559af293d00d/one drive note book/งบการเงินสนามกอล์ฟ/งบการเงินสนามกอล์ฟ-ปีงบ 69/"/>
    </mc:Choice>
  </mc:AlternateContent>
  <xr:revisionPtr revIDLastSave="3" documentId="11_4BBC4C4D3A2165D5CA314C4A3F3B537D663692DB" xr6:coauthVersionLast="47" xr6:coauthVersionMax="47" xr10:uidLastSave="{FFC57919-A1B9-4B70-BAD9-F4ECAF578D72}"/>
  <bookViews>
    <workbookView xWindow="-120" yWindow="-120" windowWidth="29040" windowHeight="15840" tabRatio="882" activeTab="6" xr2:uid="{00000000-000D-0000-FFFF-FFFF00000000}"/>
  </bookViews>
  <sheets>
    <sheet name="คำอธิบาย" sheetId="29" r:id="rId1"/>
    <sheet name="ผังบัญชี" sheetId="2" r:id="rId2"/>
    <sheet name="หน่วยงาน" sheetId="24" r:id="rId3"/>
    <sheet name="บันทึกบัญชี" sheetId="1" r:id="rId4"/>
    <sheet name="JE" sheetId="20" r:id="rId5"/>
    <sheet name="GL" sheetId="22" r:id="rId6"/>
    <sheet name="TB" sheetId="26" r:id="rId7"/>
    <sheet name="NI" sheetId="23" r:id="rId8"/>
    <sheet name="TBC" sheetId="27" r:id="rId9"/>
    <sheet name="db" sheetId="3" r:id="rId10"/>
  </sheets>
  <functionGroups builtInGroupCount="19"/>
  <definedNames>
    <definedName name="_xlnm._FilterDatabase" localSheetId="9" hidden="1">db!$A$1:$L$1</definedName>
    <definedName name="_xlnm._FilterDatabase" localSheetId="1" hidden="1">ผังบัญชี!$A$1:$G$90</definedName>
    <definedName name="_xlnm._FilterDatabase" localSheetId="2" hidden="1">หน่วยงาน!$A$1:$E$2</definedName>
    <definedName name="A_Name">ผังบัญชี!$A:$B</definedName>
    <definedName name="COM_NAME">บันทึกบัญชี!$B$1</definedName>
    <definedName name="FiscalEnd">#REF!</definedName>
    <definedName name="FiscalStart">#REF!</definedName>
    <definedName name="_xlnm.Print_Area" localSheetId="5">GL!$A:$F</definedName>
    <definedName name="_xlnm.Print_Area" localSheetId="8">TBC!$A:$E</definedName>
    <definedName name="_xlnm.Print_Area" localSheetId="3">บันทึกบัญชี!$A$1:$H$41</definedName>
    <definedName name="_xlnm.Print_Titles" localSheetId="5">GL!$A:$D,GL!$3:$4</definedName>
    <definedName name="_xlnm.Print_Titles" localSheetId="4">JE!$3:$4</definedName>
    <definedName name="_xlnm.Print_Titles" localSheetId="7">NI!$3:$4</definedName>
    <definedName name="_xlnm.Print_Titles" localSheetId="6">TB!$3:$4</definedName>
    <definedName name="_xlnm.Print_Titles" localSheetId="8">TBC!$3:$4</definedName>
  </definedName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0" i="2" l="1"/>
  <c r="E80" i="2"/>
  <c r="G80" i="2" s="1"/>
  <c r="C80" i="2"/>
  <c r="D80" i="2" s="1"/>
  <c r="K497" i="3" l="1"/>
  <c r="I497" i="3"/>
  <c r="F497" i="3"/>
  <c r="K496" i="3"/>
  <c r="F496" i="3"/>
  <c r="K495" i="3" l="1"/>
  <c r="F495" i="3"/>
  <c r="K494" i="3"/>
  <c r="F494" i="3"/>
  <c r="K493" i="3"/>
  <c r="F493" i="3"/>
  <c r="K492" i="3"/>
  <c r="F492" i="3"/>
  <c r="K491" i="3"/>
  <c r="F491" i="3"/>
  <c r="K490" i="3"/>
  <c r="F490" i="3"/>
  <c r="K489" i="3"/>
  <c r="F489" i="3"/>
  <c r="K488" i="3"/>
  <c r="F488" i="3"/>
  <c r="K487" i="3"/>
  <c r="F487" i="3"/>
  <c r="K486" i="3"/>
  <c r="F486" i="3"/>
  <c r="K485" i="3"/>
  <c r="F485" i="3"/>
  <c r="K484" i="3"/>
  <c r="F484" i="3"/>
  <c r="K483" i="3"/>
  <c r="F483" i="3"/>
  <c r="K482" i="3"/>
  <c r="F482" i="3"/>
  <c r="K481" i="3"/>
  <c r="F481" i="3"/>
  <c r="K480" i="3"/>
  <c r="F480" i="3"/>
  <c r="K479" i="3"/>
  <c r="F479" i="3"/>
  <c r="K478" i="3"/>
  <c r="F478" i="3"/>
  <c r="K477" i="3"/>
  <c r="F477" i="3"/>
  <c r="K476" i="3"/>
  <c r="F476" i="3"/>
  <c r="K475" i="3"/>
  <c r="F475" i="3"/>
  <c r="K474" i="3"/>
  <c r="F474" i="3"/>
  <c r="K473" i="3"/>
  <c r="F473" i="3"/>
  <c r="K472" i="3"/>
  <c r="F472" i="3"/>
  <c r="K471" i="3"/>
  <c r="F471" i="3"/>
  <c r="K470" i="3"/>
  <c r="F470" i="3"/>
  <c r="K469" i="3"/>
  <c r="F469" i="3"/>
  <c r="K468" i="3"/>
  <c r="F468" i="3"/>
  <c r="K467" i="3"/>
  <c r="F467" i="3"/>
  <c r="K466" i="3"/>
  <c r="F466" i="3"/>
  <c r="K465" i="3"/>
  <c r="F465" i="3"/>
  <c r="K464" i="3"/>
  <c r="F464" i="3"/>
  <c r="K463" i="3"/>
  <c r="F463" i="3"/>
  <c r="K462" i="3"/>
  <c r="F462" i="3"/>
  <c r="K461" i="3"/>
  <c r="F461" i="3"/>
  <c r="K460" i="3"/>
  <c r="F460" i="3"/>
  <c r="K459" i="3"/>
  <c r="F459" i="3"/>
  <c r="K458" i="3"/>
  <c r="F458" i="3"/>
  <c r="K457" i="3"/>
  <c r="F457" i="3"/>
  <c r="K456" i="3"/>
  <c r="F456" i="3"/>
  <c r="K455" i="3"/>
  <c r="F455" i="3"/>
  <c r="K454" i="3"/>
  <c r="F454" i="3"/>
  <c r="K453" i="3"/>
  <c r="F453" i="3"/>
  <c r="K452" i="3"/>
  <c r="F452" i="3"/>
  <c r="K451" i="3"/>
  <c r="F451" i="3"/>
  <c r="K450" i="3"/>
  <c r="F450" i="3"/>
  <c r="K449" i="3" l="1"/>
  <c r="F449" i="3"/>
  <c r="K448" i="3"/>
  <c r="F448" i="3"/>
  <c r="F79" i="2"/>
  <c r="E79" i="2"/>
  <c r="C79" i="2"/>
  <c r="D79" i="2" s="1"/>
  <c r="K447" i="3"/>
  <c r="F447" i="3"/>
  <c r="K446" i="3"/>
  <c r="F446" i="3"/>
  <c r="K445" i="3"/>
  <c r="F445" i="3"/>
  <c r="K444" i="3"/>
  <c r="F444" i="3"/>
  <c r="K443" i="3"/>
  <c r="F443" i="3"/>
  <c r="K442" i="3"/>
  <c r="F442" i="3"/>
  <c r="K441" i="3"/>
  <c r="F441" i="3"/>
  <c r="K440" i="3"/>
  <c r="F440" i="3"/>
  <c r="K439" i="3"/>
  <c r="F439" i="3"/>
  <c r="K438" i="3"/>
  <c r="F438" i="3"/>
  <c r="K437" i="3"/>
  <c r="F437" i="3"/>
  <c r="K436" i="3"/>
  <c r="F436" i="3"/>
  <c r="K435" i="3"/>
  <c r="F435" i="3"/>
  <c r="K434" i="3"/>
  <c r="F434" i="3"/>
  <c r="K433" i="3"/>
  <c r="F433" i="3"/>
  <c r="K432" i="3"/>
  <c r="F432" i="3"/>
  <c r="K431" i="3"/>
  <c r="F431" i="3"/>
  <c r="K430" i="3"/>
  <c r="F430" i="3"/>
  <c r="K429" i="3"/>
  <c r="F429" i="3"/>
  <c r="K428" i="3"/>
  <c r="F428" i="3"/>
  <c r="K427" i="3"/>
  <c r="F427" i="3"/>
  <c r="K426" i="3"/>
  <c r="F426" i="3"/>
  <c r="K425" i="3"/>
  <c r="F425" i="3"/>
  <c r="K424" i="3"/>
  <c r="F424" i="3"/>
  <c r="K423" i="3"/>
  <c r="F423" i="3"/>
  <c r="K422" i="3"/>
  <c r="F422" i="3"/>
  <c r="K421" i="3"/>
  <c r="F421" i="3"/>
  <c r="K420" i="3"/>
  <c r="F420" i="3"/>
  <c r="K419" i="3"/>
  <c r="F419" i="3"/>
  <c r="K418" i="3"/>
  <c r="F418" i="3"/>
  <c r="K417" i="3"/>
  <c r="F417" i="3"/>
  <c r="K416" i="3"/>
  <c r="F416" i="3"/>
  <c r="K415" i="3"/>
  <c r="F415" i="3"/>
  <c r="K414" i="3"/>
  <c r="F414" i="3"/>
  <c r="K413" i="3"/>
  <c r="F413" i="3"/>
  <c r="K412" i="3"/>
  <c r="F412" i="3"/>
  <c r="K411" i="3"/>
  <c r="F411" i="3"/>
  <c r="K410" i="3"/>
  <c r="F410" i="3"/>
  <c r="K409" i="3"/>
  <c r="F409" i="3"/>
  <c r="K408" i="3"/>
  <c r="F408" i="3"/>
  <c r="K407" i="3"/>
  <c r="F407" i="3"/>
  <c r="K406" i="3"/>
  <c r="F406" i="3"/>
  <c r="K405" i="3"/>
  <c r="F405" i="3"/>
  <c r="K404" i="3"/>
  <c r="F404" i="3"/>
  <c r="K403" i="3"/>
  <c r="F403" i="3"/>
  <c r="K402" i="3"/>
  <c r="F402" i="3"/>
  <c r="K401" i="3"/>
  <c r="F401" i="3"/>
  <c r="K400" i="3"/>
  <c r="F400" i="3"/>
  <c r="K399" i="3"/>
  <c r="F399" i="3"/>
  <c r="K398" i="3"/>
  <c r="F398" i="3"/>
  <c r="K397" i="3"/>
  <c r="F397" i="3"/>
  <c r="K396" i="3"/>
  <c r="F396" i="3"/>
  <c r="K395" i="3"/>
  <c r="F395" i="3"/>
  <c r="K394" i="3"/>
  <c r="F394" i="3"/>
  <c r="K393" i="3"/>
  <c r="F393" i="3"/>
  <c r="K392" i="3"/>
  <c r="F392" i="3"/>
  <c r="K391" i="3"/>
  <c r="F391" i="3"/>
  <c r="K390" i="3"/>
  <c r="F390" i="3"/>
  <c r="K389" i="3"/>
  <c r="F389" i="3"/>
  <c r="K388" i="3"/>
  <c r="F388" i="3"/>
  <c r="K387" i="3"/>
  <c r="F387" i="3"/>
  <c r="K386" i="3"/>
  <c r="F386" i="3"/>
  <c r="K385" i="3"/>
  <c r="F385" i="3"/>
  <c r="K384" i="3"/>
  <c r="F384" i="3"/>
  <c r="K383" i="3"/>
  <c r="F383" i="3"/>
  <c r="K382" i="3"/>
  <c r="F382" i="3"/>
  <c r="K381" i="3"/>
  <c r="F381" i="3"/>
  <c r="K380" i="3"/>
  <c r="F380" i="3"/>
  <c r="K379" i="3"/>
  <c r="F379" i="3"/>
  <c r="K378" i="3"/>
  <c r="F378" i="3"/>
  <c r="K377" i="3"/>
  <c r="F377" i="3"/>
  <c r="K376" i="3"/>
  <c r="F376" i="3"/>
  <c r="K375" i="3"/>
  <c r="F375" i="3"/>
  <c r="K374" i="3"/>
  <c r="F374" i="3"/>
  <c r="K373" i="3"/>
  <c r="F373" i="3"/>
  <c r="K372" i="3"/>
  <c r="F372" i="3"/>
  <c r="K371" i="3"/>
  <c r="F371" i="3"/>
  <c r="K370" i="3"/>
  <c r="F370" i="3"/>
  <c r="K369" i="3"/>
  <c r="F369" i="3"/>
  <c r="K368" i="3"/>
  <c r="F368" i="3"/>
  <c r="K367" i="3"/>
  <c r="F367" i="3"/>
  <c r="K366" i="3"/>
  <c r="F366" i="3"/>
  <c r="K365" i="3"/>
  <c r="F365" i="3"/>
  <c r="K364" i="3"/>
  <c r="F364" i="3"/>
  <c r="K363" i="3"/>
  <c r="F363" i="3"/>
  <c r="K362" i="3"/>
  <c r="F362" i="3"/>
  <c r="K361" i="3"/>
  <c r="F361" i="3"/>
  <c r="K360" i="3"/>
  <c r="F360" i="3"/>
  <c r="K359" i="3"/>
  <c r="F359" i="3"/>
  <c r="K358" i="3"/>
  <c r="F358" i="3"/>
  <c r="K357" i="3"/>
  <c r="F357" i="3"/>
  <c r="K356" i="3"/>
  <c r="F356" i="3"/>
  <c r="K355" i="3"/>
  <c r="F355" i="3"/>
  <c r="K354" i="3"/>
  <c r="F354" i="3"/>
  <c r="K353" i="3"/>
  <c r="F353" i="3"/>
  <c r="K352" i="3"/>
  <c r="F352" i="3"/>
  <c r="K351" i="3"/>
  <c r="F351" i="3"/>
  <c r="K350" i="3"/>
  <c r="F350" i="3"/>
  <c r="K349" i="3"/>
  <c r="F349" i="3"/>
  <c r="K348" i="3"/>
  <c r="F348" i="3"/>
  <c r="K347" i="3"/>
  <c r="F347" i="3"/>
  <c r="K346" i="3"/>
  <c r="F346" i="3"/>
  <c r="K345" i="3"/>
  <c r="F345" i="3"/>
  <c r="K344" i="3"/>
  <c r="F344" i="3"/>
  <c r="I448" i="3" l="1"/>
  <c r="G79" i="2"/>
  <c r="K343" i="3"/>
  <c r="F343" i="3"/>
  <c r="K342" i="3"/>
  <c r="F342" i="3"/>
  <c r="K341" i="3"/>
  <c r="F341" i="3"/>
  <c r="K340" i="3"/>
  <c r="F340" i="3"/>
  <c r="K339" i="3"/>
  <c r="F339" i="3"/>
  <c r="K338" i="3"/>
  <c r="F338" i="3"/>
  <c r="K337" i="3"/>
  <c r="F337" i="3"/>
  <c r="K336" i="3"/>
  <c r="F336" i="3"/>
  <c r="K335" i="3"/>
  <c r="F335" i="3"/>
  <c r="K334" i="3"/>
  <c r="F334" i="3"/>
  <c r="K333" i="3"/>
  <c r="F333" i="3"/>
  <c r="K332" i="3"/>
  <c r="F332" i="3"/>
  <c r="K331" i="3"/>
  <c r="F331" i="3"/>
  <c r="K330" i="3"/>
  <c r="F330" i="3"/>
  <c r="K329" i="3"/>
  <c r="F329" i="3"/>
  <c r="K328" i="3"/>
  <c r="F328" i="3"/>
  <c r="K327" i="3"/>
  <c r="F327" i="3"/>
  <c r="K326" i="3"/>
  <c r="F326" i="3"/>
  <c r="K325" i="3"/>
  <c r="F325" i="3"/>
  <c r="K324" i="3"/>
  <c r="F324" i="3"/>
  <c r="K323" i="3"/>
  <c r="F323" i="3"/>
  <c r="K322" i="3"/>
  <c r="F322" i="3"/>
  <c r="K321" i="3"/>
  <c r="F321" i="3"/>
  <c r="K320" i="3"/>
  <c r="F320" i="3"/>
  <c r="K319" i="3"/>
  <c r="F319" i="3"/>
  <c r="K318" i="3"/>
  <c r="F318" i="3"/>
  <c r="K317" i="3"/>
  <c r="F317" i="3"/>
  <c r="K316" i="3"/>
  <c r="F316" i="3"/>
  <c r="K315" i="3"/>
  <c r="F315" i="3"/>
  <c r="K314" i="3"/>
  <c r="F314" i="3"/>
  <c r="K313" i="3"/>
  <c r="F313" i="3"/>
  <c r="K312" i="3"/>
  <c r="F312" i="3"/>
  <c r="K311" i="3"/>
  <c r="F311" i="3"/>
  <c r="K310" i="3"/>
  <c r="F310" i="3"/>
  <c r="K309" i="3"/>
  <c r="F309" i="3"/>
  <c r="K308" i="3"/>
  <c r="F308" i="3"/>
  <c r="K307" i="3"/>
  <c r="F307" i="3"/>
  <c r="K306" i="3"/>
  <c r="F306" i="3"/>
  <c r="K305" i="3"/>
  <c r="F305" i="3"/>
  <c r="K304" i="3"/>
  <c r="F304" i="3"/>
  <c r="K303" i="3" l="1"/>
  <c r="F303" i="3"/>
  <c r="K302" i="3"/>
  <c r="F302" i="3"/>
  <c r="K301" i="3"/>
  <c r="F301" i="3"/>
  <c r="K300" i="3"/>
  <c r="F300" i="3"/>
  <c r="K299" i="3"/>
  <c r="F299" i="3"/>
  <c r="K298" i="3"/>
  <c r="F298" i="3"/>
  <c r="K297" i="3"/>
  <c r="F297" i="3"/>
  <c r="K296" i="3"/>
  <c r="F296" i="3"/>
  <c r="K295" i="3"/>
  <c r="F295" i="3"/>
  <c r="K294" i="3"/>
  <c r="F294" i="3"/>
  <c r="K293" i="3"/>
  <c r="F293" i="3"/>
  <c r="K292" i="3"/>
  <c r="F292" i="3"/>
  <c r="K291" i="3"/>
  <c r="F291" i="3"/>
  <c r="K290" i="3"/>
  <c r="F290" i="3"/>
  <c r="K289" i="3"/>
  <c r="F289" i="3"/>
  <c r="K288" i="3"/>
  <c r="F288" i="3"/>
  <c r="K287" i="3"/>
  <c r="F287" i="3"/>
  <c r="K286" i="3"/>
  <c r="F286" i="3"/>
  <c r="K285" i="3"/>
  <c r="F285" i="3"/>
  <c r="K284" i="3"/>
  <c r="F284" i="3"/>
  <c r="K283" i="3"/>
  <c r="F283" i="3"/>
  <c r="K282" i="3"/>
  <c r="F282" i="3"/>
  <c r="K281" i="3"/>
  <c r="F281" i="3"/>
  <c r="K280" i="3"/>
  <c r="F280" i="3"/>
  <c r="K279" i="3"/>
  <c r="F279" i="3"/>
  <c r="K278" i="3"/>
  <c r="F278" i="3"/>
  <c r="K277" i="3"/>
  <c r="F277" i="3"/>
  <c r="K276" i="3"/>
  <c r="F276" i="3"/>
  <c r="K275" i="3"/>
  <c r="F275" i="3"/>
  <c r="K274" i="3"/>
  <c r="F274" i="3"/>
  <c r="K273" i="3"/>
  <c r="F273" i="3"/>
  <c r="K272" i="3"/>
  <c r="F272" i="3"/>
  <c r="K271" i="3"/>
  <c r="F271" i="3"/>
  <c r="K270" i="3"/>
  <c r="F270" i="3"/>
  <c r="K269" i="3"/>
  <c r="F269" i="3"/>
  <c r="K268" i="3"/>
  <c r="F268" i="3"/>
  <c r="K267" i="3"/>
  <c r="F267" i="3"/>
  <c r="K266" i="3"/>
  <c r="F266" i="3"/>
  <c r="K265" i="3"/>
  <c r="F265" i="3"/>
  <c r="K264" i="3"/>
  <c r="F264" i="3"/>
  <c r="K263" i="3"/>
  <c r="F263" i="3"/>
  <c r="K262" i="3"/>
  <c r="F262" i="3"/>
  <c r="K261" i="3"/>
  <c r="F261" i="3"/>
  <c r="K260" i="3"/>
  <c r="F260" i="3"/>
  <c r="K259" i="3"/>
  <c r="F259" i="3"/>
  <c r="K258" i="3"/>
  <c r="F258" i="3"/>
  <c r="K257" i="3"/>
  <c r="F257" i="3"/>
  <c r="K256" i="3"/>
  <c r="F256" i="3"/>
  <c r="K255" i="3"/>
  <c r="F255" i="3"/>
  <c r="K254" i="3"/>
  <c r="F254" i="3"/>
  <c r="K253" i="3"/>
  <c r="F253" i="3"/>
  <c r="K252" i="3"/>
  <c r="F252" i="3"/>
  <c r="K251" i="3"/>
  <c r="F251" i="3"/>
  <c r="K250" i="3"/>
  <c r="F250" i="3"/>
  <c r="K249" i="3"/>
  <c r="F249" i="3"/>
  <c r="K248" i="3"/>
  <c r="F248" i="3"/>
  <c r="K247" i="3"/>
  <c r="F247" i="3"/>
  <c r="K246" i="3"/>
  <c r="F246" i="3"/>
  <c r="K245" i="3"/>
  <c r="F245" i="3"/>
  <c r="K244" i="3"/>
  <c r="F244" i="3"/>
  <c r="K243" i="3"/>
  <c r="F243" i="3"/>
  <c r="K242" i="3"/>
  <c r="F242" i="3"/>
  <c r="K241" i="3"/>
  <c r="F241" i="3"/>
  <c r="K240" i="3"/>
  <c r="F240" i="3"/>
  <c r="K239" i="3"/>
  <c r="F239" i="3"/>
  <c r="K238" i="3"/>
  <c r="F238" i="3"/>
  <c r="K237" i="3"/>
  <c r="F237" i="3"/>
  <c r="K236" i="3"/>
  <c r="F236" i="3"/>
  <c r="K235" i="3"/>
  <c r="F235" i="3"/>
  <c r="K234" i="3"/>
  <c r="F234" i="3"/>
  <c r="K233" i="3"/>
  <c r="F233" i="3"/>
  <c r="K232" i="3"/>
  <c r="F232" i="3"/>
  <c r="K231" i="3"/>
  <c r="F231" i="3"/>
  <c r="K230" i="3"/>
  <c r="F230" i="3"/>
  <c r="K229" i="3"/>
  <c r="F229" i="3"/>
  <c r="K228" i="3"/>
  <c r="F228" i="3"/>
  <c r="K227" i="3"/>
  <c r="F227" i="3"/>
  <c r="K226" i="3"/>
  <c r="F226" i="3"/>
  <c r="K225" i="3"/>
  <c r="F225" i="3"/>
  <c r="K224" i="3"/>
  <c r="F224" i="3"/>
  <c r="K223" i="3"/>
  <c r="F223" i="3"/>
  <c r="K222" i="3"/>
  <c r="F222" i="3"/>
  <c r="K221" i="3"/>
  <c r="F221" i="3"/>
  <c r="K220" i="3"/>
  <c r="F220" i="3"/>
  <c r="K219" i="3"/>
  <c r="F219" i="3"/>
  <c r="K218" i="3"/>
  <c r="F218" i="3"/>
  <c r="K217" i="3"/>
  <c r="F217" i="3"/>
  <c r="K216" i="3"/>
  <c r="F216" i="3"/>
  <c r="K215" i="3"/>
  <c r="F215" i="3"/>
  <c r="K214" i="3"/>
  <c r="F214" i="3"/>
  <c r="K213" i="3"/>
  <c r="F213" i="3"/>
  <c r="K212" i="3"/>
  <c r="F212" i="3"/>
  <c r="K211" i="3"/>
  <c r="F211" i="3"/>
  <c r="K210" i="3"/>
  <c r="F210" i="3"/>
  <c r="K209" i="3"/>
  <c r="F209" i="3"/>
  <c r="K208" i="3"/>
  <c r="F208" i="3"/>
  <c r="K207" i="3"/>
  <c r="F207" i="3"/>
  <c r="K206" i="3"/>
  <c r="F206" i="3"/>
  <c r="K205" i="3" l="1"/>
  <c r="F205" i="3"/>
  <c r="K204" i="3"/>
  <c r="F204" i="3"/>
  <c r="K203" i="3"/>
  <c r="F203" i="3"/>
  <c r="K202" i="3"/>
  <c r="F202" i="3"/>
  <c r="K201" i="3"/>
  <c r="F201" i="3"/>
  <c r="K200" i="3"/>
  <c r="F200" i="3"/>
  <c r="K199" i="3"/>
  <c r="F199" i="3"/>
  <c r="K198" i="3"/>
  <c r="F198" i="3"/>
  <c r="K197" i="3"/>
  <c r="F197" i="3"/>
  <c r="K196" i="3"/>
  <c r="F196" i="3"/>
  <c r="K195" i="3"/>
  <c r="F195" i="3"/>
  <c r="K194" i="3"/>
  <c r="F194" i="3"/>
  <c r="K193" i="3"/>
  <c r="F193" i="3"/>
  <c r="K192" i="3"/>
  <c r="F192" i="3"/>
  <c r="K191" i="3"/>
  <c r="F191" i="3"/>
  <c r="K190" i="3"/>
  <c r="F190" i="3"/>
  <c r="K189" i="3"/>
  <c r="F189" i="3"/>
  <c r="K188" i="3"/>
  <c r="F188" i="3"/>
  <c r="K187" i="3"/>
  <c r="F187" i="3"/>
  <c r="K186" i="3"/>
  <c r="F186" i="3"/>
  <c r="K185" i="3"/>
  <c r="F185" i="3"/>
  <c r="K184" i="3"/>
  <c r="F184" i="3"/>
  <c r="K183" i="3"/>
  <c r="F183" i="3"/>
  <c r="K182" i="3"/>
  <c r="F182" i="3"/>
  <c r="K181" i="3"/>
  <c r="F181" i="3"/>
  <c r="K180" i="3"/>
  <c r="F180" i="3"/>
  <c r="K179" i="3"/>
  <c r="F179" i="3"/>
  <c r="K178" i="3"/>
  <c r="F178" i="3"/>
  <c r="K177" i="3"/>
  <c r="F177" i="3"/>
  <c r="K176" i="3"/>
  <c r="F176" i="3"/>
  <c r="K175" i="3"/>
  <c r="I175" i="3"/>
  <c r="F175" i="3"/>
  <c r="K174" i="3"/>
  <c r="F174" i="3"/>
  <c r="K173" i="3"/>
  <c r="F173" i="3"/>
  <c r="K172" i="3"/>
  <c r="F172" i="3"/>
  <c r="K171" i="3"/>
  <c r="F171" i="3"/>
  <c r="K170" i="3"/>
  <c r="F170" i="3"/>
  <c r="K169" i="3"/>
  <c r="F169" i="3"/>
  <c r="K168" i="3"/>
  <c r="F168" i="3"/>
  <c r="K167" i="3"/>
  <c r="F167" i="3"/>
  <c r="K166" i="3"/>
  <c r="F166" i="3"/>
  <c r="K165" i="3"/>
  <c r="F165" i="3"/>
  <c r="K164" i="3"/>
  <c r="F164" i="3"/>
  <c r="K163" i="3"/>
  <c r="F163" i="3"/>
  <c r="K162" i="3"/>
  <c r="F162" i="3"/>
  <c r="K161" i="3"/>
  <c r="F161" i="3"/>
  <c r="K160" i="3"/>
  <c r="F160" i="3"/>
  <c r="K159" i="3"/>
  <c r="F159" i="3"/>
  <c r="K158" i="3"/>
  <c r="F158" i="3"/>
  <c r="K157" i="3"/>
  <c r="F157" i="3"/>
  <c r="K156" i="3"/>
  <c r="F156" i="3"/>
  <c r="K155" i="3"/>
  <c r="F155" i="3"/>
  <c r="K154" i="3"/>
  <c r="F154" i="3"/>
  <c r="K153" i="3"/>
  <c r="F153" i="3"/>
  <c r="K152" i="3"/>
  <c r="F152" i="3"/>
  <c r="K151" i="3"/>
  <c r="F151" i="3"/>
  <c r="K150" i="3"/>
  <c r="F150" i="3"/>
  <c r="K149" i="3"/>
  <c r="F149" i="3"/>
  <c r="K148" i="3"/>
  <c r="F148" i="3"/>
  <c r="K147" i="3"/>
  <c r="F147" i="3"/>
  <c r="K146" i="3"/>
  <c r="F146" i="3"/>
  <c r="K145" i="3"/>
  <c r="F145" i="3"/>
  <c r="K144" i="3"/>
  <c r="F144" i="3"/>
  <c r="K143" i="3"/>
  <c r="F143" i="3"/>
  <c r="K142" i="3"/>
  <c r="F142" i="3"/>
  <c r="K141" i="3"/>
  <c r="F141" i="3"/>
  <c r="K140" i="3"/>
  <c r="F140" i="3"/>
  <c r="K139" i="3"/>
  <c r="F139" i="3"/>
  <c r="K138" i="3"/>
  <c r="F138" i="3"/>
  <c r="K137" i="3"/>
  <c r="F137" i="3"/>
  <c r="K136" i="3"/>
  <c r="F136" i="3"/>
  <c r="K135" i="3"/>
  <c r="F135" i="3"/>
  <c r="K134" i="3"/>
  <c r="F134" i="3"/>
  <c r="K133" i="3"/>
  <c r="F133" i="3"/>
  <c r="K132" i="3"/>
  <c r="F132" i="3"/>
  <c r="K131" i="3"/>
  <c r="F131" i="3"/>
  <c r="K130" i="3"/>
  <c r="F130" i="3"/>
  <c r="K129" i="3"/>
  <c r="F129" i="3"/>
  <c r="K128" i="3"/>
  <c r="F128" i="3"/>
  <c r="K127" i="3"/>
  <c r="F127" i="3"/>
  <c r="K126" i="3"/>
  <c r="F126" i="3"/>
  <c r="K125" i="3"/>
  <c r="F125" i="3"/>
  <c r="K124" i="3"/>
  <c r="F124" i="3"/>
  <c r="K123" i="3"/>
  <c r="F123" i="3"/>
  <c r="K122" i="3"/>
  <c r="F122" i="3"/>
  <c r="K121" i="3"/>
  <c r="F121" i="3"/>
  <c r="K120" i="3"/>
  <c r="F120" i="3"/>
  <c r="K119" i="3"/>
  <c r="F119" i="3"/>
  <c r="K118" i="3"/>
  <c r="F118" i="3"/>
  <c r="K117" i="3"/>
  <c r="F117" i="3"/>
  <c r="K116" i="3"/>
  <c r="F116" i="3"/>
  <c r="K115" i="3"/>
  <c r="F115" i="3"/>
  <c r="K114" i="3"/>
  <c r="F114" i="3"/>
  <c r="K113" i="3"/>
  <c r="F113" i="3"/>
  <c r="K112" i="3"/>
  <c r="F112" i="3"/>
  <c r="K111" i="3"/>
  <c r="F111" i="3"/>
  <c r="K110" i="3"/>
  <c r="F110" i="3"/>
  <c r="K109" i="3"/>
  <c r="F109" i="3"/>
  <c r="K108" i="3"/>
  <c r="F108" i="3"/>
  <c r="K107" i="3"/>
  <c r="F107" i="3"/>
  <c r="K106" i="3"/>
  <c r="F106" i="3"/>
  <c r="K105" i="3"/>
  <c r="F105" i="3"/>
  <c r="K104" i="3"/>
  <c r="F104" i="3"/>
  <c r="K103" i="3"/>
  <c r="F103" i="3"/>
  <c r="K102" i="3"/>
  <c r="F102" i="3"/>
  <c r="K101" i="3"/>
  <c r="F101" i="3"/>
  <c r="K100" i="3"/>
  <c r="F100" i="3"/>
  <c r="K99" i="3"/>
  <c r="F99" i="3"/>
  <c r="K98" i="3"/>
  <c r="F98" i="3"/>
  <c r="K97" i="3"/>
  <c r="F97" i="3"/>
  <c r="K96" i="3"/>
  <c r="F96" i="3"/>
  <c r="K95" i="3"/>
  <c r="F95" i="3"/>
  <c r="K94" i="3"/>
  <c r="F94" i="3"/>
  <c r="K93" i="3"/>
  <c r="F93" i="3"/>
  <c r="K92" i="3"/>
  <c r="F92" i="3"/>
  <c r="K91" i="3"/>
  <c r="F91" i="3"/>
  <c r="K90" i="3"/>
  <c r="F90" i="3"/>
  <c r="K89" i="3"/>
  <c r="F89" i="3"/>
  <c r="K88" i="3"/>
  <c r="F88" i="3"/>
  <c r="K87" i="3"/>
  <c r="F87" i="3"/>
  <c r="K86" i="3"/>
  <c r="F86" i="3"/>
  <c r="K85" i="3"/>
  <c r="F85" i="3"/>
  <c r="K84" i="3"/>
  <c r="F84" i="3"/>
  <c r="K83" i="3"/>
  <c r="F83" i="3"/>
  <c r="K82" i="3"/>
  <c r="F82" i="3"/>
  <c r="K81" i="3"/>
  <c r="F81" i="3"/>
  <c r="K80" i="3"/>
  <c r="F80" i="3"/>
  <c r="K79" i="3"/>
  <c r="F79" i="3"/>
  <c r="K78" i="3"/>
  <c r="F78" i="3"/>
  <c r="K77" i="3"/>
  <c r="F77" i="3"/>
  <c r="K76" i="3"/>
  <c r="F76" i="3"/>
  <c r="K75" i="3"/>
  <c r="F75" i="3"/>
  <c r="K74" i="3"/>
  <c r="F74" i="3"/>
  <c r="K73" i="3"/>
  <c r="F73" i="3"/>
  <c r="K72" i="3"/>
  <c r="F72" i="3"/>
  <c r="K71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I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K22" i="3"/>
  <c r="F22" i="3"/>
  <c r="K21" i="3"/>
  <c r="F21" i="3"/>
  <c r="K20" i="3"/>
  <c r="F20" i="3"/>
  <c r="K19" i="3"/>
  <c r="F19" i="3"/>
  <c r="K18" i="3"/>
  <c r="F18" i="3"/>
  <c r="K17" i="3"/>
  <c r="F17" i="3"/>
  <c r="K16" i="3"/>
  <c r="F16" i="3"/>
  <c r="K15" i="3"/>
  <c r="F15" i="3"/>
  <c r="K14" i="3"/>
  <c r="F14" i="3"/>
  <c r="K13" i="3"/>
  <c r="F13" i="3"/>
  <c r="K12" i="3"/>
  <c r="F12" i="3"/>
  <c r="K11" i="3"/>
  <c r="F11" i="3"/>
  <c r="K10" i="3"/>
  <c r="F10" i="3"/>
  <c r="K9" i="3"/>
  <c r="F9" i="3"/>
  <c r="K8" i="3"/>
  <c r="F8" i="3"/>
  <c r="K7" i="3"/>
  <c r="F7" i="3"/>
  <c r="K6" i="3"/>
  <c r="F6" i="3"/>
  <c r="K5" i="3"/>
  <c r="F5" i="3"/>
  <c r="K4" i="3"/>
  <c r="F4" i="3"/>
  <c r="K3" i="3"/>
  <c r="F3" i="3"/>
  <c r="K2" i="3"/>
  <c r="F2" i="3"/>
  <c r="F78" i="2" l="1"/>
  <c r="E78" i="2"/>
  <c r="C78" i="2"/>
  <c r="D78" i="2" s="1"/>
  <c r="G78" i="2" l="1"/>
  <c r="F77" i="2" l="1"/>
  <c r="E77" i="2"/>
  <c r="C77" i="2"/>
  <c r="F76" i="2"/>
  <c r="E76" i="2"/>
  <c r="C76" i="2"/>
  <c r="D77" i="2" l="1"/>
  <c r="I35" i="3"/>
  <c r="D76" i="2"/>
  <c r="I34" i="3"/>
  <c r="G77" i="2"/>
  <c r="G76" i="2"/>
  <c r="C35" i="2"/>
  <c r="E35" i="2"/>
  <c r="F35" i="2"/>
  <c r="C75" i="2"/>
  <c r="D75" i="2" s="1"/>
  <c r="E75" i="2"/>
  <c r="F75" i="2"/>
  <c r="C74" i="2"/>
  <c r="D74" i="2" s="1"/>
  <c r="E74" i="2"/>
  <c r="F74" i="2"/>
  <c r="C73" i="2"/>
  <c r="D73" i="2" s="1"/>
  <c r="E73" i="2"/>
  <c r="F73" i="2"/>
  <c r="C71" i="2"/>
  <c r="D71" i="2"/>
  <c r="E71" i="2"/>
  <c r="F71" i="2"/>
  <c r="C72" i="2"/>
  <c r="D72" i="2" s="1"/>
  <c r="E72" i="2"/>
  <c r="F72" i="2"/>
  <c r="C70" i="2"/>
  <c r="D70" i="2" s="1"/>
  <c r="E70" i="2"/>
  <c r="F70" i="2"/>
  <c r="C69" i="2"/>
  <c r="D69" i="2" s="1"/>
  <c r="E69" i="2"/>
  <c r="F69" i="2"/>
  <c r="C68" i="2"/>
  <c r="D68" i="2" s="1"/>
  <c r="E68" i="2"/>
  <c r="F68" i="2"/>
  <c r="C67" i="2"/>
  <c r="D67" i="2" s="1"/>
  <c r="E67" i="2"/>
  <c r="F67" i="2"/>
  <c r="C66" i="2"/>
  <c r="D66" i="2" s="1"/>
  <c r="E66" i="2"/>
  <c r="F66" i="2"/>
  <c r="C23" i="2"/>
  <c r="D23" i="2" s="1"/>
  <c r="E23" i="2"/>
  <c r="F23" i="2"/>
  <c r="C22" i="2"/>
  <c r="E22" i="2"/>
  <c r="F22" i="2"/>
  <c r="C21" i="2"/>
  <c r="D21" i="2" s="1"/>
  <c r="E21" i="2"/>
  <c r="F21" i="2"/>
  <c r="C20" i="2"/>
  <c r="E20" i="2"/>
  <c r="F20" i="2"/>
  <c r="C19" i="2"/>
  <c r="D19" i="2" s="1"/>
  <c r="E19" i="2"/>
  <c r="F19" i="2"/>
  <c r="C18" i="2"/>
  <c r="E18" i="2"/>
  <c r="F18" i="2"/>
  <c r="C17" i="2"/>
  <c r="D17" i="2" s="1"/>
  <c r="E17" i="2"/>
  <c r="F17" i="2"/>
  <c r="C16" i="2"/>
  <c r="E16" i="2"/>
  <c r="F16" i="2"/>
  <c r="C15" i="2"/>
  <c r="D15" i="2" s="1"/>
  <c r="E15" i="2"/>
  <c r="F15" i="2"/>
  <c r="C14" i="2"/>
  <c r="E14" i="2"/>
  <c r="F14" i="2"/>
  <c r="C13" i="2"/>
  <c r="D13" i="2" s="1"/>
  <c r="E13" i="2"/>
  <c r="F13" i="2"/>
  <c r="C12" i="2"/>
  <c r="E12" i="2"/>
  <c r="F12" i="2"/>
  <c r="C11" i="2"/>
  <c r="D11" i="2" s="1"/>
  <c r="E11" i="2"/>
  <c r="F11" i="2"/>
  <c r="C10" i="2"/>
  <c r="E10" i="2"/>
  <c r="F10" i="2"/>
  <c r="C9" i="2"/>
  <c r="D9" i="2" s="1"/>
  <c r="E9" i="2"/>
  <c r="F9" i="2"/>
  <c r="C8" i="2"/>
  <c r="E8" i="2"/>
  <c r="F8" i="2"/>
  <c r="C7" i="2"/>
  <c r="D7" i="2" s="1"/>
  <c r="E7" i="2"/>
  <c r="F7" i="2"/>
  <c r="C6" i="2"/>
  <c r="E6" i="2"/>
  <c r="F6" i="2"/>
  <c r="C5" i="2"/>
  <c r="D5" i="2" s="1"/>
  <c r="E5" i="2"/>
  <c r="F5" i="2"/>
  <c r="D8" i="2" l="1"/>
  <c r="I5" i="3"/>
  <c r="D10" i="2"/>
  <c r="I6" i="3"/>
  <c r="D14" i="2"/>
  <c r="I8" i="3"/>
  <c r="D18" i="2"/>
  <c r="I10" i="3"/>
  <c r="D22" i="2"/>
  <c r="I12" i="3"/>
  <c r="D35" i="2"/>
  <c r="I18" i="3"/>
  <c r="D12" i="2"/>
  <c r="I7" i="3"/>
  <c r="D16" i="2"/>
  <c r="I9" i="3"/>
  <c r="D20" i="2"/>
  <c r="I11" i="3"/>
  <c r="D6" i="2"/>
  <c r="I4" i="3"/>
  <c r="G69" i="2"/>
  <c r="G74" i="2"/>
  <c r="G72" i="2"/>
  <c r="G35" i="2"/>
  <c r="G66" i="2"/>
  <c r="G67" i="2"/>
  <c r="G70" i="2"/>
  <c r="G75" i="2"/>
  <c r="G68" i="2"/>
  <c r="G73" i="2"/>
  <c r="G71" i="2"/>
  <c r="G14" i="2"/>
  <c r="G22" i="2"/>
  <c r="G7" i="2"/>
  <c r="G12" i="2"/>
  <c r="G20" i="2"/>
  <c r="G10" i="2"/>
  <c r="G5" i="2"/>
  <c r="G23" i="2"/>
  <c r="G21" i="2"/>
  <c r="G18" i="2"/>
  <c r="G16" i="2"/>
  <c r="G15" i="2"/>
  <c r="G6" i="2"/>
  <c r="G8" i="2"/>
  <c r="G13" i="2"/>
  <c r="G11" i="2"/>
  <c r="G19" i="2"/>
  <c r="G9" i="2"/>
  <c r="G17" i="2"/>
  <c r="C32" i="2"/>
  <c r="I15" i="3" s="1"/>
  <c r="D32" i="2"/>
  <c r="E32" i="2"/>
  <c r="F32" i="2"/>
  <c r="C31" i="2"/>
  <c r="D31" i="2" s="1"/>
  <c r="E31" i="2"/>
  <c r="F31" i="2"/>
  <c r="G31" i="2" l="1"/>
  <c r="G32" i="2"/>
  <c r="C4" i="2" l="1"/>
  <c r="E4" i="2"/>
  <c r="F4" i="2"/>
  <c r="D4" i="2" l="1"/>
  <c r="I3" i="3"/>
  <c r="G4" i="2"/>
  <c r="C30" i="2" l="1"/>
  <c r="D30" i="2" s="1"/>
  <c r="E30" i="2"/>
  <c r="F30" i="2"/>
  <c r="C33" i="2"/>
  <c r="E33" i="2"/>
  <c r="F33" i="2"/>
  <c r="D33" i="2" l="1"/>
  <c r="I16" i="3"/>
  <c r="G30" i="2"/>
  <c r="G33" i="2"/>
  <c r="D36" i="1" l="1"/>
  <c r="C36" i="1"/>
  <c r="G35" i="1"/>
  <c r="F35" i="1"/>
  <c r="E35" i="1"/>
  <c r="B35" i="1"/>
  <c r="G34" i="1"/>
  <c r="F34" i="1"/>
  <c r="E34" i="1"/>
  <c r="B34" i="1"/>
  <c r="G33" i="1"/>
  <c r="F33" i="1"/>
  <c r="E33" i="1"/>
  <c r="B33" i="1"/>
  <c r="G32" i="1"/>
  <c r="F32" i="1"/>
  <c r="E32" i="1"/>
  <c r="B32" i="1"/>
  <c r="G31" i="1"/>
  <c r="F31" i="1"/>
  <c r="E31" i="1"/>
  <c r="B31" i="1"/>
  <c r="G30" i="1"/>
  <c r="F30" i="1"/>
  <c r="E30" i="1"/>
  <c r="B30" i="1"/>
  <c r="G29" i="1"/>
  <c r="F29" i="1"/>
  <c r="E29" i="1"/>
  <c r="B29" i="1"/>
  <c r="G28" i="1"/>
  <c r="F28" i="1"/>
  <c r="E28" i="1"/>
  <c r="B28" i="1"/>
  <c r="G27" i="1"/>
  <c r="F27" i="1"/>
  <c r="E27" i="1"/>
  <c r="B27" i="1"/>
  <c r="G26" i="1"/>
  <c r="F26" i="1"/>
  <c r="E26" i="1"/>
  <c r="B26" i="1"/>
  <c r="G25" i="1"/>
  <c r="F25" i="1"/>
  <c r="E25" i="1"/>
  <c r="B25" i="1"/>
  <c r="G24" i="1"/>
  <c r="F24" i="1"/>
  <c r="E24" i="1"/>
  <c r="B24" i="1"/>
  <c r="G23" i="1"/>
  <c r="F23" i="1"/>
  <c r="E23" i="1"/>
  <c r="B23" i="1"/>
  <c r="G22" i="1"/>
  <c r="F22" i="1"/>
  <c r="E22" i="1"/>
  <c r="B22" i="1"/>
  <c r="G21" i="1"/>
  <c r="F21" i="1"/>
  <c r="E21" i="1"/>
  <c r="B21" i="1"/>
  <c r="G20" i="1"/>
  <c r="F20" i="1"/>
  <c r="E20" i="1"/>
  <c r="B20" i="1"/>
  <c r="G19" i="1"/>
  <c r="F19" i="1"/>
  <c r="E19" i="1"/>
  <c r="B19" i="1"/>
  <c r="G18" i="1"/>
  <c r="F18" i="1"/>
  <c r="E18" i="1"/>
  <c r="B18" i="1"/>
  <c r="G17" i="1"/>
  <c r="F17" i="1"/>
  <c r="E17" i="1"/>
  <c r="B17" i="1"/>
  <c r="G16" i="1"/>
  <c r="F16" i="1"/>
  <c r="E16" i="1"/>
  <c r="B16" i="1"/>
  <c r="G15" i="1"/>
  <c r="F15" i="1"/>
  <c r="E15" i="1"/>
  <c r="B15" i="1"/>
  <c r="G14" i="1"/>
  <c r="F14" i="1"/>
  <c r="E14" i="1"/>
  <c r="B14" i="1"/>
  <c r="G13" i="1"/>
  <c r="F13" i="1"/>
  <c r="E13" i="1"/>
  <c r="B13" i="1"/>
  <c r="G12" i="1"/>
  <c r="F12" i="1"/>
  <c r="E12" i="1"/>
  <c r="B12" i="1"/>
  <c r="G11" i="1"/>
  <c r="F11" i="1"/>
  <c r="E11" i="1"/>
  <c r="B11" i="1"/>
  <c r="G10" i="1"/>
  <c r="F10" i="1"/>
  <c r="E10" i="1"/>
  <c r="B10" i="1"/>
  <c r="G9" i="1"/>
  <c r="F9" i="1"/>
  <c r="E9" i="1"/>
  <c r="B9" i="1"/>
  <c r="J5" i="1"/>
  <c r="C4" i="1"/>
  <c r="F92" i="2"/>
  <c r="E92" i="2"/>
  <c r="D92" i="2"/>
  <c r="F91" i="2"/>
  <c r="E91" i="2"/>
  <c r="D91" i="2"/>
  <c r="F90" i="2"/>
  <c r="E90" i="2"/>
  <c r="D90" i="2"/>
  <c r="F89" i="2"/>
  <c r="E89" i="2"/>
  <c r="D89" i="2"/>
  <c r="F88" i="2"/>
  <c r="E88" i="2"/>
  <c r="D88" i="2"/>
  <c r="F87" i="2"/>
  <c r="E87" i="2"/>
  <c r="D87" i="2"/>
  <c r="F86" i="2"/>
  <c r="E86" i="2"/>
  <c r="D86" i="2"/>
  <c r="F85" i="2"/>
  <c r="E85" i="2"/>
  <c r="D85" i="2"/>
  <c r="F84" i="2"/>
  <c r="E84" i="2"/>
  <c r="D84" i="2"/>
  <c r="F83" i="2"/>
  <c r="E83" i="2"/>
  <c r="D83" i="2"/>
  <c r="F82" i="2"/>
  <c r="E82" i="2"/>
  <c r="D82" i="2"/>
  <c r="F81" i="2"/>
  <c r="E81" i="2"/>
  <c r="D81" i="2"/>
  <c r="F65" i="2"/>
  <c r="E65" i="2"/>
  <c r="C65" i="2"/>
  <c r="F64" i="2"/>
  <c r="E64" i="2"/>
  <c r="C64" i="2"/>
  <c r="D64" i="2" s="1"/>
  <c r="F63" i="2"/>
  <c r="E63" i="2"/>
  <c r="C63" i="2"/>
  <c r="D63" i="2" s="1"/>
  <c r="F62" i="2"/>
  <c r="E62" i="2"/>
  <c r="C62" i="2"/>
  <c r="D62" i="2" s="1"/>
  <c r="F61" i="2"/>
  <c r="E61" i="2"/>
  <c r="C61" i="2"/>
  <c r="F60" i="2"/>
  <c r="E60" i="2"/>
  <c r="C60" i="2"/>
  <c r="F59" i="2"/>
  <c r="E59" i="2"/>
  <c r="C59" i="2"/>
  <c r="F58" i="2"/>
  <c r="E58" i="2"/>
  <c r="C58" i="2"/>
  <c r="F57" i="2"/>
  <c r="E57" i="2"/>
  <c r="C57" i="2"/>
  <c r="F56" i="2"/>
  <c r="E56" i="2"/>
  <c r="C56" i="2"/>
  <c r="F55" i="2"/>
  <c r="E55" i="2"/>
  <c r="C55" i="2"/>
  <c r="F54" i="2"/>
  <c r="E54" i="2"/>
  <c r="C54" i="2"/>
  <c r="D54" i="2" s="1"/>
  <c r="F53" i="2"/>
  <c r="E53" i="2"/>
  <c r="C53" i="2"/>
  <c r="F52" i="2"/>
  <c r="E52" i="2"/>
  <c r="D52" i="2"/>
  <c r="F51" i="2"/>
  <c r="E51" i="2"/>
  <c r="D51" i="2"/>
  <c r="F50" i="2"/>
  <c r="E50" i="2"/>
  <c r="C50" i="2"/>
  <c r="D50" i="2" s="1"/>
  <c r="F49" i="2"/>
  <c r="E49" i="2"/>
  <c r="C49" i="2"/>
  <c r="F48" i="2"/>
  <c r="E48" i="2"/>
  <c r="C48" i="2"/>
  <c r="F47" i="2"/>
  <c r="E47" i="2"/>
  <c r="C47" i="2"/>
  <c r="F46" i="2"/>
  <c r="E46" i="2"/>
  <c r="C46" i="2"/>
  <c r="D46" i="2" s="1"/>
  <c r="F45" i="2"/>
  <c r="E45" i="2"/>
  <c r="C45" i="2"/>
  <c r="I26" i="3" s="1"/>
  <c r="F44" i="2"/>
  <c r="E44" i="2"/>
  <c r="C44" i="2"/>
  <c r="I25" i="3" s="1"/>
  <c r="F43" i="2"/>
  <c r="E43" i="2"/>
  <c r="C43" i="2"/>
  <c r="F42" i="2"/>
  <c r="E42" i="2"/>
  <c r="C42" i="2"/>
  <c r="F41" i="2"/>
  <c r="E41" i="2"/>
  <c r="C41" i="2"/>
  <c r="D41" i="2" s="1"/>
  <c r="F40" i="2"/>
  <c r="E40" i="2"/>
  <c r="C40" i="2"/>
  <c r="F39" i="2"/>
  <c r="E39" i="2"/>
  <c r="C39" i="2"/>
  <c r="F38" i="2"/>
  <c r="E38" i="2"/>
  <c r="C38" i="2"/>
  <c r="F37" i="2"/>
  <c r="E37" i="2"/>
  <c r="C37" i="2"/>
  <c r="D37" i="2" s="1"/>
  <c r="F36" i="2"/>
  <c r="E36" i="2"/>
  <c r="C36" i="2"/>
  <c r="D36" i="2" s="1"/>
  <c r="F34" i="2"/>
  <c r="E34" i="2"/>
  <c r="C34" i="2"/>
  <c r="I17" i="3" s="1"/>
  <c r="F29" i="2"/>
  <c r="E29" i="2"/>
  <c r="C29" i="2"/>
  <c r="F28" i="2"/>
  <c r="E28" i="2"/>
  <c r="C28" i="2"/>
  <c r="F27" i="2"/>
  <c r="E27" i="2"/>
  <c r="C27" i="2"/>
  <c r="D27" i="2" s="1"/>
  <c r="F26" i="2"/>
  <c r="E26" i="2"/>
  <c r="C26" i="2"/>
  <c r="F25" i="2"/>
  <c r="E25" i="2"/>
  <c r="C25" i="2"/>
  <c r="D25" i="2" s="1"/>
  <c r="F24" i="2"/>
  <c r="E24" i="2"/>
  <c r="C24" i="2"/>
  <c r="D24" i="2" s="1"/>
  <c r="F3" i="2"/>
  <c r="E3" i="2"/>
  <c r="C3" i="2"/>
  <c r="F2" i="2"/>
  <c r="E2" i="2"/>
  <c r="C2" i="2"/>
  <c r="D26" i="2" l="1"/>
  <c r="I465" i="3"/>
  <c r="I423" i="3"/>
  <c r="I359" i="3"/>
  <c r="I321" i="3"/>
  <c r="I257" i="3"/>
  <c r="I221" i="3"/>
  <c r="I13" i="3"/>
  <c r="I167" i="3"/>
  <c r="I83" i="3"/>
  <c r="D47" i="2"/>
  <c r="I471" i="3"/>
  <c r="I489" i="3"/>
  <c r="I481" i="3"/>
  <c r="I461" i="3"/>
  <c r="I453" i="3"/>
  <c r="I445" i="3"/>
  <c r="I405" i="3"/>
  <c r="I397" i="3"/>
  <c r="I381" i="3"/>
  <c r="I373" i="3"/>
  <c r="I365" i="3"/>
  <c r="I347" i="3"/>
  <c r="I355" i="3"/>
  <c r="I435" i="3"/>
  <c r="I419" i="3"/>
  <c r="I411" i="3"/>
  <c r="I391" i="3"/>
  <c r="I329" i="3"/>
  <c r="I341" i="3"/>
  <c r="I317" i="3"/>
  <c r="I307" i="3"/>
  <c r="I287" i="3"/>
  <c r="I279" i="3"/>
  <c r="I243" i="3"/>
  <c r="I301" i="3"/>
  <c r="I293" i="3"/>
  <c r="I273" i="3"/>
  <c r="I265" i="3"/>
  <c r="I253" i="3"/>
  <c r="I237" i="3"/>
  <c r="I229" i="3"/>
  <c r="I217" i="3"/>
  <c r="I209" i="3"/>
  <c r="I64" i="3"/>
  <c r="I197" i="3"/>
  <c r="I173" i="3"/>
  <c r="I149" i="3"/>
  <c r="I137" i="3"/>
  <c r="I105" i="3"/>
  <c r="I89" i="3"/>
  <c r="I49" i="3"/>
  <c r="I41" i="3"/>
  <c r="I74" i="3"/>
  <c r="I203" i="3"/>
  <c r="I191" i="3"/>
  <c r="I159" i="3"/>
  <c r="I143" i="3"/>
  <c r="I127" i="3"/>
  <c r="I115" i="3"/>
  <c r="I99" i="3"/>
  <c r="I27" i="3"/>
  <c r="I54" i="3"/>
  <c r="I14" i="3"/>
  <c r="I79" i="3"/>
  <c r="D34" i="2"/>
  <c r="I459" i="3"/>
  <c r="I477" i="3"/>
  <c r="I417" i="3"/>
  <c r="I353" i="3"/>
  <c r="I371" i="3"/>
  <c r="I403" i="3"/>
  <c r="I387" i="3"/>
  <c r="I379" i="3"/>
  <c r="I313" i="3"/>
  <c r="I299" i="3"/>
  <c r="I271" i="3"/>
  <c r="I263" i="3"/>
  <c r="I215" i="3"/>
  <c r="I285" i="3"/>
  <c r="I249" i="3"/>
  <c r="I70" i="3"/>
  <c r="I21" i="3"/>
  <c r="I155" i="3"/>
  <c r="I111" i="3"/>
  <c r="I95" i="3"/>
  <c r="I47" i="3"/>
  <c r="I441" i="3"/>
  <c r="I429" i="3"/>
  <c r="I335" i="3"/>
  <c r="I235" i="3"/>
  <c r="I227" i="3"/>
  <c r="I185" i="3"/>
  <c r="I133" i="3"/>
  <c r="I121" i="3"/>
  <c r="I22" i="3"/>
  <c r="D45" i="2"/>
  <c r="I431" i="3"/>
  <c r="I337" i="3"/>
  <c r="I72" i="3"/>
  <c r="I157" i="3"/>
  <c r="I113" i="3"/>
  <c r="I187" i="3"/>
  <c r="I135" i="3"/>
  <c r="I123" i="3"/>
  <c r="I23" i="3"/>
  <c r="I496" i="3"/>
  <c r="I494" i="3"/>
  <c r="I490" i="3"/>
  <c r="I482" i="3"/>
  <c r="I466" i="3"/>
  <c r="I462" i="3"/>
  <c r="I454" i="3"/>
  <c r="I472" i="3"/>
  <c r="I449" i="3"/>
  <c r="I446" i="3"/>
  <c r="I406" i="3"/>
  <c r="I398" i="3"/>
  <c r="I382" i="3"/>
  <c r="I374" i="3"/>
  <c r="I366" i="3"/>
  <c r="I436" i="3"/>
  <c r="I424" i="3"/>
  <c r="I420" i="3"/>
  <c r="I412" i="3"/>
  <c r="I392" i="3"/>
  <c r="I360" i="3"/>
  <c r="I356" i="3"/>
  <c r="I348" i="3"/>
  <c r="I308" i="3"/>
  <c r="I342" i="3"/>
  <c r="I330" i="3"/>
  <c r="I322" i="3"/>
  <c r="I318" i="3"/>
  <c r="I302" i="3"/>
  <c r="I294" i="3"/>
  <c r="I274" i="3"/>
  <c r="I266" i="3"/>
  <c r="I258" i="3"/>
  <c r="I254" i="3"/>
  <c r="I238" i="3"/>
  <c r="I230" i="3"/>
  <c r="I222" i="3"/>
  <c r="I218" i="3"/>
  <c r="I210" i="3"/>
  <c r="I288" i="3"/>
  <c r="I280" i="3"/>
  <c r="I244" i="3"/>
  <c r="I204" i="3"/>
  <c r="I192" i="3"/>
  <c r="I176" i="3"/>
  <c r="I168" i="3"/>
  <c r="I164" i="3"/>
  <c r="I160" i="3"/>
  <c r="I144" i="3"/>
  <c r="I128" i="3"/>
  <c r="I116" i="3"/>
  <c r="I100" i="3"/>
  <c r="I84" i="3"/>
  <c r="I80" i="3"/>
  <c r="I106" i="3"/>
  <c r="I90" i="3"/>
  <c r="I42" i="3"/>
  <c r="I2" i="3"/>
  <c r="I181" i="3"/>
  <c r="I65" i="3"/>
  <c r="I198" i="3"/>
  <c r="I150" i="3"/>
  <c r="I138" i="3"/>
  <c r="I179" i="3"/>
  <c r="I75" i="3"/>
  <c r="I59" i="3"/>
  <c r="I55" i="3"/>
  <c r="I50" i="3"/>
  <c r="I493" i="3"/>
  <c r="I29" i="3"/>
  <c r="I58" i="3"/>
  <c r="D2" i="2"/>
  <c r="I486" i="3"/>
  <c r="I478" i="3"/>
  <c r="I474" i="3"/>
  <c r="I470" i="3"/>
  <c r="I458" i="3"/>
  <c r="I450" i="3"/>
  <c r="I495" i="3"/>
  <c r="I491" i="3"/>
  <c r="I483" i="3"/>
  <c r="I467" i="3"/>
  <c r="I463" i="3"/>
  <c r="I455" i="3"/>
  <c r="I464" i="3"/>
  <c r="I452" i="3"/>
  <c r="I492" i="3"/>
  <c r="I488" i="3"/>
  <c r="I484" i="3"/>
  <c r="I480" i="3"/>
  <c r="I476" i="3"/>
  <c r="I468" i="3"/>
  <c r="I473" i="3"/>
  <c r="I460" i="3"/>
  <c r="I456" i="3"/>
  <c r="I437" i="3"/>
  <c r="I425" i="3"/>
  <c r="I421" i="3"/>
  <c r="I413" i="3"/>
  <c r="I393" i="3"/>
  <c r="I361" i="3"/>
  <c r="I357" i="3"/>
  <c r="I349" i="3"/>
  <c r="I375" i="3"/>
  <c r="I364" i="3"/>
  <c r="I344" i="3"/>
  <c r="I442" i="3"/>
  <c r="I438" i="3"/>
  <c r="I434" i="3"/>
  <c r="I430" i="3"/>
  <c r="I426" i="3"/>
  <c r="I422" i="3"/>
  <c r="I418" i="3"/>
  <c r="I414" i="3"/>
  <c r="I410" i="3"/>
  <c r="I402" i="3"/>
  <c r="I394" i="3"/>
  <c r="I390" i="3"/>
  <c r="I386" i="3"/>
  <c r="I378" i="3"/>
  <c r="I370" i="3"/>
  <c r="I362" i="3"/>
  <c r="I358" i="3"/>
  <c r="I354" i="3"/>
  <c r="I350" i="3"/>
  <c r="I346" i="3"/>
  <c r="I372" i="3"/>
  <c r="I368" i="3"/>
  <c r="I352" i="3"/>
  <c r="I447" i="3"/>
  <c r="I407" i="3"/>
  <c r="I399" i="3"/>
  <c r="I383" i="3"/>
  <c r="I367" i="3"/>
  <c r="I444" i="3"/>
  <c r="I440" i="3"/>
  <c r="I432" i="3"/>
  <c r="I428" i="3"/>
  <c r="I416" i="3"/>
  <c r="I408" i="3"/>
  <c r="I404" i="3"/>
  <c r="I400" i="3"/>
  <c r="I396" i="3"/>
  <c r="I388" i="3"/>
  <c r="I384" i="3"/>
  <c r="I380" i="3"/>
  <c r="I376" i="3"/>
  <c r="I340" i="3"/>
  <c r="I336" i="3"/>
  <c r="I332" i="3"/>
  <c r="I328" i="3"/>
  <c r="I324" i="3"/>
  <c r="I320" i="3"/>
  <c r="I316" i="3"/>
  <c r="I312" i="3"/>
  <c r="I304" i="3"/>
  <c r="I309" i="3"/>
  <c r="I338" i="3"/>
  <c r="I334" i="3"/>
  <c r="I326" i="3"/>
  <c r="I314" i="3"/>
  <c r="I310" i="3"/>
  <c r="I306" i="3"/>
  <c r="I343" i="3"/>
  <c r="I331" i="3"/>
  <c r="I323" i="3"/>
  <c r="I319" i="3"/>
  <c r="I298" i="3"/>
  <c r="I290" i="3"/>
  <c r="I286" i="3"/>
  <c r="I282" i="3"/>
  <c r="I278" i="3"/>
  <c r="I270" i="3"/>
  <c r="I262" i="3"/>
  <c r="I250" i="3"/>
  <c r="I246" i="3"/>
  <c r="I242" i="3"/>
  <c r="I234" i="3"/>
  <c r="I226" i="3"/>
  <c r="I214" i="3"/>
  <c r="I206" i="3"/>
  <c r="I303" i="3"/>
  <c r="I295" i="3"/>
  <c r="I275" i="3"/>
  <c r="I267" i="3"/>
  <c r="I259" i="3"/>
  <c r="I255" i="3"/>
  <c r="I239" i="3"/>
  <c r="I231" i="3"/>
  <c r="I223" i="3"/>
  <c r="I219" i="3"/>
  <c r="I211" i="3"/>
  <c r="I220" i="3"/>
  <c r="I216" i="3"/>
  <c r="I208" i="3"/>
  <c r="I300" i="3"/>
  <c r="I296" i="3"/>
  <c r="I292" i="3"/>
  <c r="I284" i="3"/>
  <c r="I276" i="3"/>
  <c r="I272" i="3"/>
  <c r="I268" i="3"/>
  <c r="I264" i="3"/>
  <c r="I260" i="3"/>
  <c r="I256" i="3"/>
  <c r="I252" i="3"/>
  <c r="I248" i="3"/>
  <c r="I240" i="3"/>
  <c r="I236" i="3"/>
  <c r="I232" i="3"/>
  <c r="I228" i="3"/>
  <c r="I224" i="3"/>
  <c r="I289" i="3"/>
  <c r="I281" i="3"/>
  <c r="I245" i="3"/>
  <c r="I212" i="3"/>
  <c r="I200" i="3"/>
  <c r="I196" i="3"/>
  <c r="I188" i="3"/>
  <c r="I184" i="3"/>
  <c r="I172" i="3"/>
  <c r="I156" i="3"/>
  <c r="I152" i="3"/>
  <c r="I148" i="3"/>
  <c r="I140" i="3"/>
  <c r="I136" i="3"/>
  <c r="I132" i="3"/>
  <c r="I124" i="3"/>
  <c r="I120" i="3"/>
  <c r="I112" i="3"/>
  <c r="I108" i="3"/>
  <c r="I104" i="3"/>
  <c r="I96" i="3"/>
  <c r="I92" i="3"/>
  <c r="I88" i="3"/>
  <c r="I76" i="3"/>
  <c r="I60" i="3"/>
  <c r="I56" i="3"/>
  <c r="I52" i="3"/>
  <c r="I48" i="3"/>
  <c r="I44" i="3"/>
  <c r="I40" i="3"/>
  <c r="I36" i="3"/>
  <c r="I110" i="3"/>
  <c r="I98" i="3"/>
  <c r="I94" i="3"/>
  <c r="I82" i="3"/>
  <c r="I205" i="3"/>
  <c r="I193" i="3"/>
  <c r="I177" i="3"/>
  <c r="I169" i="3"/>
  <c r="I165" i="3"/>
  <c r="I161" i="3"/>
  <c r="I145" i="3"/>
  <c r="I129" i="3"/>
  <c r="I117" i="3"/>
  <c r="I101" i="3"/>
  <c r="I85" i="3"/>
  <c r="I81" i="3"/>
  <c r="I77" i="3"/>
  <c r="I73" i="3"/>
  <c r="I69" i="3"/>
  <c r="I61" i="3"/>
  <c r="I57" i="3"/>
  <c r="I102" i="3"/>
  <c r="I86" i="3"/>
  <c r="I66" i="3"/>
  <c r="I38" i="3"/>
  <c r="I202" i="3"/>
  <c r="I194" i="3"/>
  <c r="I190" i="3"/>
  <c r="I186" i="3"/>
  <c r="I182" i="3"/>
  <c r="I174" i="3"/>
  <c r="I170" i="3"/>
  <c r="I166" i="3"/>
  <c r="I162" i="3"/>
  <c r="I158" i="3"/>
  <c r="I154" i="3"/>
  <c r="I146" i="3"/>
  <c r="I142" i="3"/>
  <c r="I134" i="3"/>
  <c r="I130" i="3"/>
  <c r="I126" i="3"/>
  <c r="I122" i="3"/>
  <c r="I118" i="3"/>
  <c r="I114" i="3"/>
  <c r="I199" i="3"/>
  <c r="I151" i="3"/>
  <c r="I139" i="3"/>
  <c r="I107" i="3"/>
  <c r="I91" i="3"/>
  <c r="I71" i="3"/>
  <c r="I67" i="3"/>
  <c r="I63" i="3"/>
  <c r="I51" i="3"/>
  <c r="I43" i="3"/>
  <c r="I46" i="3"/>
  <c r="D28" i="2"/>
  <c r="I475" i="3"/>
  <c r="I451" i="3"/>
  <c r="I485" i="3"/>
  <c r="I469" i="3"/>
  <c r="I457" i="3"/>
  <c r="I409" i="3"/>
  <c r="I401" i="3"/>
  <c r="I385" i="3"/>
  <c r="I377" i="3"/>
  <c r="I369" i="3"/>
  <c r="I345" i="3"/>
  <c r="I363" i="3"/>
  <c r="I351" i="3"/>
  <c r="I439" i="3"/>
  <c r="I427" i="3"/>
  <c r="I415" i="3"/>
  <c r="I395" i="3"/>
  <c r="I333" i="3"/>
  <c r="I325" i="3"/>
  <c r="I305" i="3"/>
  <c r="I311" i="3"/>
  <c r="I291" i="3"/>
  <c r="I283" i="3"/>
  <c r="I247" i="3"/>
  <c r="I207" i="3"/>
  <c r="I297" i="3"/>
  <c r="I277" i="3"/>
  <c r="I269" i="3"/>
  <c r="I261" i="3"/>
  <c r="I241" i="3"/>
  <c r="I233" i="3"/>
  <c r="I225" i="3"/>
  <c r="I213" i="3"/>
  <c r="I68" i="3"/>
  <c r="I20" i="3"/>
  <c r="I62" i="3"/>
  <c r="I201" i="3"/>
  <c r="I153" i="3"/>
  <c r="I141" i="3"/>
  <c r="I109" i="3"/>
  <c r="I93" i="3"/>
  <c r="I45" i="3"/>
  <c r="I37" i="3"/>
  <c r="I195" i="3"/>
  <c r="I183" i="3"/>
  <c r="I171" i="3"/>
  <c r="I147" i="3"/>
  <c r="I131" i="3"/>
  <c r="I119" i="3"/>
  <c r="I103" i="3"/>
  <c r="I87" i="3"/>
  <c r="I19" i="3"/>
  <c r="D39" i="2"/>
  <c r="I24" i="3"/>
  <c r="I163" i="3"/>
  <c r="I28" i="3"/>
  <c r="I78" i="3"/>
  <c r="I53" i="3"/>
  <c r="D49" i="2"/>
  <c r="I487" i="3"/>
  <c r="I479" i="3"/>
  <c r="I433" i="3"/>
  <c r="I389" i="3"/>
  <c r="I443" i="3"/>
  <c r="I315" i="3"/>
  <c r="I339" i="3"/>
  <c r="I327" i="3"/>
  <c r="I251" i="3"/>
  <c r="I189" i="3"/>
  <c r="I125" i="3"/>
  <c r="I97" i="3"/>
  <c r="I39" i="3"/>
  <c r="I31" i="3"/>
  <c r="I33" i="3"/>
  <c r="I178" i="3"/>
  <c r="I180" i="3"/>
  <c r="I32" i="3"/>
  <c r="D43" i="2"/>
  <c r="D56" i="2"/>
  <c r="D58" i="2"/>
  <c r="D60" i="2"/>
  <c r="D3" i="2"/>
  <c r="D29" i="2"/>
  <c r="D38" i="2"/>
  <c r="D40" i="2"/>
  <c r="D42" i="2"/>
  <c r="D44" i="2"/>
  <c r="D48" i="2"/>
  <c r="D53" i="2"/>
  <c r="D55" i="2"/>
  <c r="D57" i="2"/>
  <c r="D59" i="2"/>
  <c r="D61" i="2"/>
  <c r="D65" i="2"/>
  <c r="H34" i="1"/>
  <c r="H32" i="1"/>
  <c r="H35" i="1"/>
  <c r="H33" i="1"/>
  <c r="H31" i="1"/>
  <c r="H12" i="1"/>
  <c r="H18" i="1"/>
  <c r="H20" i="1"/>
  <c r="H26" i="1"/>
  <c r="H28" i="1"/>
  <c r="H11" i="1"/>
  <c r="H30" i="1"/>
  <c r="G85" i="2"/>
  <c r="G2" i="2"/>
  <c r="G24" i="2"/>
  <c r="G26" i="2"/>
  <c r="G28" i="2"/>
  <c r="J33" i="1"/>
  <c r="G52" i="2"/>
  <c r="G56" i="2"/>
  <c r="G58" i="2"/>
  <c r="G60" i="2"/>
  <c r="G62" i="2"/>
  <c r="G64" i="2"/>
  <c r="G86" i="2"/>
  <c r="J34" i="1"/>
  <c r="G25" i="2"/>
  <c r="G37" i="2"/>
  <c r="G45" i="2"/>
  <c r="G49" i="2"/>
  <c r="G88" i="2"/>
  <c r="J16" i="1"/>
  <c r="G83" i="2"/>
  <c r="J24" i="1"/>
  <c r="G36" i="2"/>
  <c r="G38" i="2"/>
  <c r="G40" i="2"/>
  <c r="G42" i="2"/>
  <c r="G44" i="2"/>
  <c r="G54" i="2"/>
  <c r="G3" i="2"/>
  <c r="G50" i="2"/>
  <c r="G39" i="2"/>
  <c r="G84" i="2"/>
  <c r="G92" i="2"/>
  <c r="G43" i="2"/>
  <c r="G55" i="2"/>
  <c r="G59" i="2"/>
  <c r="G63" i="2"/>
  <c r="G41" i="2"/>
  <c r="G27" i="2"/>
  <c r="G57" i="2"/>
  <c r="G81" i="2"/>
  <c r="G89" i="2"/>
  <c r="G61" i="2"/>
  <c r="G29" i="2"/>
  <c r="G34" i="2"/>
  <c r="G65" i="2"/>
  <c r="G87" i="2"/>
  <c r="G46" i="2"/>
  <c r="G48" i="2"/>
  <c r="G82" i="2"/>
  <c r="G90" i="2"/>
  <c r="G47" i="2"/>
  <c r="G51" i="2"/>
  <c r="G53" i="2"/>
  <c r="G91" i="2"/>
  <c r="J11" i="1"/>
  <c r="J19" i="1"/>
  <c r="J27" i="1"/>
  <c r="J13" i="1"/>
  <c r="J21" i="1"/>
  <c r="J29" i="1"/>
  <c r="J10" i="1"/>
  <c r="J18" i="1"/>
  <c r="J26" i="1"/>
  <c r="J32" i="1"/>
  <c r="J15" i="1"/>
  <c r="J23" i="1"/>
  <c r="J12" i="1"/>
  <c r="J20" i="1"/>
  <c r="J28" i="1"/>
  <c r="J31" i="1"/>
  <c r="J35" i="1"/>
  <c r="J9" i="1"/>
  <c r="J17" i="1"/>
  <c r="J25" i="1"/>
  <c r="J14" i="1"/>
  <c r="J22" i="1"/>
  <c r="J30" i="1"/>
  <c r="J36" i="1"/>
  <c r="H10" i="1"/>
  <c r="A36" i="1"/>
  <c r="H24" i="1"/>
  <c r="H13" i="1"/>
  <c r="H21" i="1"/>
  <c r="H29" i="1"/>
  <c r="H15" i="1"/>
  <c r="H23" i="1"/>
  <c r="H36" i="1"/>
  <c r="H17" i="1"/>
  <c r="H25" i="1"/>
  <c r="H9" i="1"/>
  <c r="H14" i="1"/>
  <c r="H22" i="1"/>
  <c r="H19" i="1"/>
  <c r="H27" i="1"/>
  <c r="H16" i="1"/>
  <c r="C2" i="24" l="1"/>
  <c r="D2" i="24"/>
  <c r="E2" i="2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Surat Leerattanachai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Surat Leerattanachai:</t>
        </r>
        <r>
          <rPr>
            <sz val="9"/>
            <color indexed="81"/>
            <rFont val="Tahoma"/>
            <family val="2"/>
          </rPr>
          <t xml:space="preserve">
การกำหนดรหัสบัญชี ขอให้ตัวเลขแรกเป็นหมวด</t>
        </r>
      </text>
    </comment>
    <comment ref="C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Surat Leerattanachai:</t>
        </r>
        <r>
          <rPr>
            <sz val="9"/>
            <color indexed="81"/>
            <rFont val="Tahoma"/>
            <family val="2"/>
          </rPr>
          <t xml:space="preserve">
เมื่อเพิ่มบัญชีใหม่กรุณา copy สูตรในช่องนี้ด้วยครับ</t>
        </r>
      </text>
    </comment>
    <comment ref="D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Surat Leerattanachai:</t>
        </r>
        <r>
          <rPr>
            <sz val="9"/>
            <color indexed="81"/>
            <rFont val="Tahoma"/>
            <family val="2"/>
          </rPr>
          <t xml:space="preserve">
เมื่อเพิ่มบัญชีใหม่กรุณา copy สูตรในช่องนี้ด้วยครับ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Surat Leerattanachai</author>
  </authors>
  <commentList>
    <comment ref="B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Surat Leerattanachai:</t>
        </r>
        <r>
          <rPr>
            <sz val="9"/>
            <color indexed="81"/>
            <rFont val="Tahoma"/>
            <family val="2"/>
          </rPr>
          <t xml:space="preserve">
ต้องการขึ้นบรรทัดใหม่ให้กด Alt+Enter</t>
        </r>
      </text>
    </comment>
  </commentList>
</comments>
</file>

<file path=xl/sharedStrings.xml><?xml version="1.0" encoding="utf-8"?>
<sst xmlns="http://schemas.openxmlformats.org/spreadsheetml/2006/main" count="2963" uniqueCount="190">
  <si>
    <t>การใช้ Excel ในการจัดทำบัญชี
Excel for GL
Version 4.21</t>
  </si>
  <si>
    <t>ผู้พัฒนา</t>
  </si>
  <si>
    <t>ผศ.สุรัตน์  ลีรัตนชัย</t>
  </si>
  <si>
    <t>ประสบการณ์</t>
  </si>
  <si>
    <t>วิทยากร Excel for Accounting</t>
  </si>
  <si>
    <t>ที่ปรึกษา/วิทยาการด้านบัญชี</t>
  </si>
  <si>
    <t>วิทยากร Excel for Auditing</t>
  </si>
  <si>
    <t>ระบบสารสนเทศทางการบัญชี ระบบ ERP ระบบบัญชีต้นทุน</t>
  </si>
  <si>
    <t>วิทยากร Excel for Managerial Accounting</t>
  </si>
  <si>
    <t>เวปไซด์</t>
  </si>
  <si>
    <t>www.acctwork.com</t>
  </si>
  <si>
    <t>วิทยากร Excel and PowerPoint for Accounting Presentation</t>
  </si>
  <si>
    <t>การติดต่อ</t>
  </si>
  <si>
    <t xml:space="preserve">LINE ID: @acctwork </t>
  </si>
  <si>
    <t>ที่ปรึกษาทั้งภาครัฐและเอกชน</t>
  </si>
  <si>
    <t>ข้อตกลง</t>
  </si>
  <si>
    <t>1. ไฟล์นี้แจกฟรี เน้นเพื่อการศึกษา และ นำไปใช้กับธุรกิจขนาดเล็ก เช่น OTOP SMEs ห้ามจำหน่ายโดยเด็ดขาด</t>
  </si>
  <si>
    <t>2. หากเกิดความเสียหายในการใช้งานใดๆ ผู้พัฒนาไม่ขอรับผิดชอบกับความเสียหายดังกล่าว</t>
  </si>
  <si>
    <t>3. ผู้ใช้งานต้องศึกษาจากคู่มือที่ผู้พัฒนาจัดทำไว้ให้ หากมีคำถามใดให้ติดต่อช่องทาง Line เป็นหลัก</t>
  </si>
  <si>
    <t>4. การพัฒนาโมเดลนี้ใช้ Microsoft Excel Version 2013 อย่างไรก็ตามผู้พัฒนาได้พยายามให้สามารถใช้งานร่วมกัน</t>
  </si>
  <si>
    <t>กับเวอร์ชั่น 2010 เป็นต้นไปได้</t>
  </si>
  <si>
    <t>คุณสมบัติ</t>
  </si>
  <si>
    <t>1. บันทึกบัญชีด้วยแบบฟอร์ม "ใบสำคัญบันทึกบัญชี" แบบอัตโนมัติ</t>
  </si>
  <si>
    <t>2. จัดทำรายงานการบันทึกบัญชีทันที</t>
  </si>
  <si>
    <t>3. จัดทำรายงานบัญชีแยกประเภททันที</t>
  </si>
  <si>
    <t>4. จัดทำรายงานงบทดลองก่อนและหลังปิดบัญชี</t>
  </si>
  <si>
    <t>5. สามารถจัดทำบัญชีแยกตามส่วนงาน หรือ ตามผลิตภัณฑ์ หรือ ตามลูกค้า ได้</t>
  </si>
  <si>
    <t>6. ผู้ใช้งานสามารถใช้ความรู้เกี่ยวกับ Pivot Table ในการทำรายงานตามความต้องการของตนเองได้</t>
  </si>
  <si>
    <t>การเริ่มใช้</t>
  </si>
  <si>
    <t>ผู้ใช้งานต้องเปิดใช้แมคโคร (Macro) โดยมีวิธีการดังนี้</t>
  </si>
  <si>
    <t>1. เลือกเมนู FILE แล้วเลือก Options</t>
  </si>
  <si>
    <t>2. เลือกเมนู Trust Center แล้วเลือก Trust Center Settings…</t>
  </si>
  <si>
    <t>3. เลือกเมนู Macro Settings แล้วเลือก Enable all macros …</t>
  </si>
  <si>
    <t>4. เปิดไฟล์งานใหม่อีกครั้งหนึ่ง การตั้งค่านี้ทำเพียงแค่ครั้งเดียวเท่านั้น</t>
  </si>
  <si>
    <t>การตั้งภาษา</t>
  </si>
  <si>
    <t>1. เปิด Conrol Panel</t>
  </si>
  <si>
    <t>2. เลือก Region</t>
  </si>
  <si>
    <t>3. เลือก Administrative แล้วเลือก Change system locale…</t>
  </si>
  <si>
    <t>4. ตั้งค่า Current system locale: เป็น Thai (Thailand)</t>
  </si>
  <si>
    <t>5. กดปุ่ม OK แล้ว Restart เครื่องอีกหนึ่งครั้ง</t>
  </si>
  <si>
    <t>เลขที่บัญชี</t>
  </si>
  <si>
    <t>ชื่อบัญชี</t>
  </si>
  <si>
    <t>หมวด</t>
  </si>
  <si>
    <t>ชื่อหมวด</t>
  </si>
  <si>
    <t>DR.</t>
  </si>
  <si>
    <t>CR.</t>
  </si>
  <si>
    <t>คงเหลือ</t>
  </si>
  <si>
    <t>เงินสด</t>
  </si>
  <si>
    <t>เงินฝากธนาคารกรุงไทย สนามกอล์ฟภูกระแตมหาวิทยาลัยนครพนม 408-0-989180</t>
  </si>
  <si>
    <t>ครุภัณฑ์การเกษตร-เครื่องตัดหญ้าแบบนั่งขับ</t>
  </si>
  <si>
    <t>ค่าเสื่อมราคาสะสม-ครุภัณฑ์การเกษตร-เครื่องตัดหญ้าแบบนั่งขับ</t>
  </si>
  <si>
    <t>ครุภัณฑ์การเกษตร-เครื่องสูบน้ำ 1</t>
  </si>
  <si>
    <t>ค่าเสื่อมราคาสะสม-ครุภัณฑ์การเกษตร-เครื่องสูบน้ำ 1</t>
  </si>
  <si>
    <t>ครุภัณฑ์การเกษตร-เครื่องสูบน้ำ 2</t>
  </si>
  <si>
    <t>ค่าเสื่อมราคาสะสม-ครุภัณฑ์การเกษตร-เครื่องสูบน้ำ 2</t>
  </si>
  <si>
    <t>ครุภัณฑ์การเกษตร-รถตัดหญ้า 2 ล้อตันจักรยาน</t>
  </si>
  <si>
    <t>ค่าเสื่อมราคาสะสม-ครุภัณฑ์การเกษตร-รถตัดหญ้า 2 ล้อตันจักรยาน</t>
  </si>
  <si>
    <t>ครุภัณฑ์คอมพิวเตอร์-คอมพิวเตอร์โน๊ตบุ๊ก</t>
  </si>
  <si>
    <t>ค่าเสื่อมราคาสะสม-ครุภัณฑ์คอมพิวเตอร์-คอมพิวเตอร์โน๊ตบุ๊ก</t>
  </si>
  <si>
    <t>ครุภัณฑ์การเกษตร-ปั๊มน้ำ 1</t>
  </si>
  <si>
    <t>ค่าเสื่อมราคาสะสม-ครุภัณฑ์การเกษตร-ปั๊มน้ำ 1</t>
  </si>
  <si>
    <t>ครุภัณฑ์การเกษตร-ปั๊มน้ำ 2</t>
  </si>
  <si>
    <t>ค่าเสื่อมราคาสะสม-ครุภัณฑ์การเกษตร-ปั๊มน้ำ 2</t>
  </si>
  <si>
    <t>ครุภัณฑ์การเกษตร-ปั๊มน้ำ 3</t>
  </si>
  <si>
    <t>ค่าเสื่อมราคาสะสม-ครุภัณฑ์การเกษตร-ปั๊มน้ำ 3</t>
  </si>
  <si>
    <t>ครุภัณฑ์การเกษตร-เครื่องตัดหญ้าเดินตาม</t>
  </si>
  <si>
    <t>ค่าเสื่อมราคาสะสม-ครุภัณฑ์การเกษตร-เครื่องตัดหญ้าเดินตาม</t>
  </si>
  <si>
    <t>ครุภัณฑ์การเกษตร-เครื่องตัดหญ้าติดท้ายรถไถ</t>
  </si>
  <si>
    <t>ค่าเสื่อมราคาสะสม-ครุภัณฑ์การเกษตร-เครื่องตัดหญ้าติดท้ายรถไถ</t>
  </si>
  <si>
    <t>เงินรับฝาก - เงินรับฝากค่าปรับเงินเกิน</t>
  </si>
  <si>
    <t>เงินรับฝาก-โอนเงินเกิน</t>
  </si>
  <si>
    <t>เงินรับฝาก-สนามไดร์ฟ</t>
  </si>
  <si>
    <t>เงินรับฝากอื่น</t>
  </si>
  <si>
    <t>เงินรับฝาก-ค่าเช่ารถกอล์ฟ 55%</t>
  </si>
  <si>
    <t>เงินรับฝาก-รายได้รับบริจาค(สนับสนุนซื้อเครื่องจักร)</t>
  </si>
  <si>
    <t>เงินรับฝาก-หลักประกันสัญญาซื้อขายเครื่องตัดหญ้า</t>
  </si>
  <si>
    <t>ค่าจ้างค้างจ่าย</t>
  </si>
  <si>
    <t>ค่าภาษีสรรพสามิตค้างจ่าย</t>
  </si>
  <si>
    <t xml:space="preserve">ทุน </t>
  </si>
  <si>
    <t>รายได้สูง/(ต่ำ) กว่าค่าใช้จ่ายสะสมยกมา</t>
  </si>
  <si>
    <t>ผลสะสมจากการแก้ไขข้อผิดพลาด</t>
  </si>
  <si>
    <t>รายได้ค่าบริการสนามกอล์ฟ รหัส 01  (เยาวชนอายุไม่เกิน 18 ปี)</t>
  </si>
  <si>
    <t>รายได้ค่าบริการสนามกอล์ฟ รหัส 02 (ค่าบริการสนาม-นักศึกษา)</t>
  </si>
  <si>
    <t>รายได้ค่าบริการสนามกอล์ฟ รหัส 03 (สมาชิก-วันธรรมดาถึงวันหยุด)</t>
  </si>
  <si>
    <t>รายได้ค่าบริการสนามกอล์ฟ รหัส 04 (บุคคลทั่วไป-วันธรรมดา)</t>
  </si>
  <si>
    <t>รายได้ค่าบริการสนามกอล์ฟ รหัส 05 (บุคคลทั่วไป-วันหยุดราชการ)</t>
  </si>
  <si>
    <t>รายได้ค่าบริการสนามกอล์ฟ รหัส 06 (ค่าบริการสนาม-โปรกอล์ฟ)</t>
  </si>
  <si>
    <t>รายได้ค่าบริการสนามกอล์ฟ รหัส 07 (ค่าบริการสนาม-เพิ่มรอบที่ 3)</t>
  </si>
  <si>
    <t>รายได้ค่าสมัครสมาชิกเก่า</t>
  </si>
  <si>
    <t>รายได้ค่าสมัครสมาชิกใหม่</t>
  </si>
  <si>
    <t>ค่าปิดสนาม วันธรรมดา/วันหยุด</t>
  </si>
  <si>
    <t>ปิดสนามกอล์ฟการกุศล</t>
  </si>
  <si>
    <t>รายได้ค่าแคดดี้</t>
  </si>
  <si>
    <t>รายได้ค่าเช่ารถกอล์ฟ 45%</t>
  </si>
  <si>
    <t>รายได้ค่าเช่าพื้นที่คลับเฮ้าส์</t>
  </si>
  <si>
    <t>รายได้จากการรับบริจาค</t>
  </si>
  <si>
    <t>รายได้อื่น ๆ</t>
  </si>
  <si>
    <t>ดอกเบี้ยรับจากเงินฝากสถาบันการเงิน</t>
  </si>
  <si>
    <t>ค่าบริการสนามผู้ติดตาม</t>
  </si>
  <si>
    <t>ค่าบริการสนามไดร์ฟ</t>
  </si>
  <si>
    <t>ค่าจ้าง</t>
  </si>
  <si>
    <t>ค่าจ้างเหมาบริการ</t>
  </si>
  <si>
    <t>ค่าภาษีสรรพสามิต</t>
  </si>
  <si>
    <t>ค่าสนับสนุน</t>
  </si>
  <si>
    <t>ค่าไฟฟ้า</t>
  </si>
  <si>
    <t>ค่าวัสดุ</t>
  </si>
  <si>
    <t>ค่าน้ำมันเชื้อเพลิง</t>
  </si>
  <si>
    <t>ค่าเบี้ยเลี้ยง (เดินทางไปราชการ-ในประเทศ)</t>
  </si>
  <si>
    <t>ค่าใช้จ่ายเดินทางไปราชการ-ในประเทศ</t>
  </si>
  <si>
    <t>ค่าใช้สอยอื่น ๆ</t>
  </si>
  <si>
    <t>ค่าล่วงเวลา</t>
  </si>
  <si>
    <t>ค่าเสื่อมราคาครุภัณฑ์การเกษตร-เครื่องตัดหญ้าแบบนั่งขับ</t>
  </si>
  <si>
    <t>ค่าเสื่อมราคาครุภัณฑ์การเกษตร-เครื่องสูบน้ำ 1</t>
  </si>
  <si>
    <t>ค่าเสื่อมราคาครุภัณฑ์การเกษตร-เครื่องสูบน้ำ 2</t>
  </si>
  <si>
    <t>ค่าเสื่อมราคาครุภัณฑ์คอมพิวเตอร์-คอมพิวเตอร์โน๊ตบุ๊ก</t>
  </si>
  <si>
    <t>ค่าเสื่อมราคาครุภัณฑ์การเกษตร-ปั๊มน้ำ 1</t>
  </si>
  <si>
    <t>ค่าเสื่อมราคาครุภัณฑ์การเกษตร-ปั๊มน้ำ 2</t>
  </si>
  <si>
    <t>ค่าเสื่อมราคาครุภัณฑ์การเกษตร-ปั๊มน้ำ 3</t>
  </si>
  <si>
    <t>ค่าเสื่อมราคาครุภัณฑ์การเกษตร-เครื่องตัดหญ้าเดินตาม</t>
  </si>
  <si>
    <t>ค่าเสื่อมราคาครุภัณฑ์การเกษตร-เครื่องตัดหญ้าติดท้ายรถไถ</t>
  </si>
  <si>
    <t>ค่าเสื่อมราคาครุภัณฑ์การเกษตร-รถตัดหญ้า 2 ล้อตันจักรยาน</t>
  </si>
  <si>
    <t>ค่าสนับสนุนมหาวิทยาลัยนครพนม 5%</t>
  </si>
  <si>
    <t>ค่าสนับสนุนคณะเทคโนโลยีอุตสาหกรรม มหาวิทยาลัยนครพนม 5%</t>
  </si>
  <si>
    <t>ค่าที่พัก (เดินทางไปราชการ-ในประเทศ)</t>
  </si>
  <si>
    <t>รหัสหน่วยงาน</t>
  </si>
  <si>
    <t>ชื่อหน่วยงาน</t>
  </si>
  <si>
    <t>รายได้</t>
  </si>
  <si>
    <t>ค่าใช้จ่าย</t>
  </si>
  <si>
    <t>กำไร(ขาดทุน)</t>
  </si>
  <si>
    <t>HO</t>
  </si>
  <si>
    <t>สำนักงานใหญ่</t>
  </si>
  <si>
    <t>สนามกอล์ฟภูกระแต คณะเทคโนโลยีอุตสาหกรรม มหาวิทยาลัยนครพนม
214 หมู่ 12 ต.หนองญาติ ถ.นิตโย อ.เมือง จ.นครพนม
โทร.042-503777 www.itech.npu.ac.th</t>
  </si>
  <si>
    <t>ใบสำคัญบันทึกบัญชี</t>
  </si>
  <si>
    <t>status</t>
  </si>
  <si>
    <t>เมนู</t>
  </si>
  <si>
    <t>เลขที่รายการ</t>
  </si>
  <si>
    <t>วันที่</t>
  </si>
  <si>
    <t>อ้างอิงเอกสาร</t>
  </si>
  <si>
    <t>1=ปกติ 2=ปิดบัญชี</t>
  </si>
  <si>
    <t>คำอธิบาย</t>
  </si>
  <si>
    <t>จำนวนเงินเดบิต</t>
  </si>
  <si>
    <t>จำนวนเงินเครดิต</t>
  </si>
  <si>
    <t>จน.เงิน</t>
  </si>
  <si>
    <t>ค่าว่าง</t>
  </si>
  <si>
    <t>ยอดคงเหลือ</t>
  </si>
  <si>
    <t>@acctwork</t>
  </si>
  <si>
    <t>Credit: GL.EXCEL 4.0 by Surat Leerattanachai, LINE ID: @acctwork, Website: www.acctwork.com</t>
  </si>
  <si>
    <t>จำนวนเงิน (บาท)</t>
  </si>
  <si>
    <t>D</t>
  </si>
  <si>
    <t>เดบิต</t>
  </si>
  <si>
    <t>รวมทุกรายการ</t>
  </si>
  <si>
    <t>A</t>
  </si>
  <si>
    <t>ประเภท</t>
  </si>
  <si>
    <t>จำนวนเงินคงเหลือ</t>
  </si>
  <si>
    <t>รวม</t>
  </si>
  <si>
    <t>รหัส</t>
  </si>
  <si>
    <t>เลขเอกสาร</t>
  </si>
  <si>
    <t>เครดิต</t>
  </si>
  <si>
    <t>(blank)</t>
  </si>
  <si>
    <t>Grand Total</t>
  </si>
  <si>
    <t>(All)</t>
  </si>
  <si>
    <t>รายงานเงินสด</t>
  </si>
  <si>
    <t>รายงานเงินสด, ค่าเช่าสถานที่ขายอุปกรณ์กอล์ฟ</t>
  </si>
  <si>
    <t>ยอดยกมา 01/12/2568</t>
  </si>
  <si>
    <t>กอล์ฟ396/2568</t>
  </si>
  <si>
    <t>ค่าภาษีสรรพสามิต ประจำเดือน พฤศจิกายน 2568</t>
  </si>
  <si>
    <t>กอล์ฟ395/2568</t>
  </si>
  <si>
    <t>ค่าจ้างเหมาบริการบุคคบ ประจำเดือน พฤศจิกายน 2568</t>
  </si>
  <si>
    <t>13/12/2568</t>
  </si>
  <si>
    <t>14/12/2568</t>
  </si>
  <si>
    <t>15/12/2568</t>
  </si>
  <si>
    <t>16/12/2568</t>
  </si>
  <si>
    <t>17/12/2568</t>
  </si>
  <si>
    <t>18/12/2568</t>
  </si>
  <si>
    <t>19/12/2568</t>
  </si>
  <si>
    <t>20/12/2568</t>
  </si>
  <si>
    <t>21/12/2568</t>
  </si>
  <si>
    <t>22/12/2568</t>
  </si>
  <si>
    <t>23/12/2568</t>
  </si>
  <si>
    <t>24/12/2568</t>
  </si>
  <si>
    <t>25/12/2568</t>
  </si>
  <si>
    <t>26/12/2568</t>
  </si>
  <si>
    <t>27/12/2568</t>
  </si>
  <si>
    <t>28/12/2568</t>
  </si>
  <si>
    <t>29/12/2568</t>
  </si>
  <si>
    <t>กอล์ฟ409/2568</t>
  </si>
  <si>
    <t>นำส่งเงินสนามกอล์ฟภูกระแตเข้าเป็นเงินรายได้คณะเทคโนโลยีอุตสาหกรรม</t>
  </si>
  <si>
    <t>30/12/2568</t>
  </si>
  <si>
    <t>31/12/2568</t>
  </si>
  <si>
    <t>นำส่งเงินสนามกอล์ฟภูกระแตเข้าเป็นเงินรายได้สะสมคณะเทคโนโลยีอุตสาหกรรม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</si>
</sst>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&quot;฿&quot;#,##0.00;\-&quot;฿&quot;#,##0.00"/>
    <numFmt numFmtId="165" formatCode="_-* #,##0.00_-;\-* #,##0.00_-;_-* &quot;-&quot;??_-;_-@_-"/>
    <numFmt numFmtId="166" formatCode="#,##0.00\ &quot;Dr.&quot;;[Red]#,##0.00\ &quot;Cr.&quot;"/>
    <numFmt numFmtId="167" formatCode="[Blue]_-* #,##0.00_-&quot;DR.&quot;;[Red]* #,##0.00_-&quot;CR.&quot;;_-* &quot;&quot;??_-;_-@_-"/>
    <numFmt numFmtId="168" formatCode="_-* #,##0.00_-;\-* #,##0.00_-;_-* &quot;&quot;??_-;_-@_-"/>
    <numFmt numFmtId="169" formatCode="#,##0.00;[Red]\(#,##0.00\)"/>
    <numFmt numFmtId="170" formatCode="#,##0.00\ &quot;Dr.&quot;;#,##0.00\ &quot;Cr.&quot;"/>
    <numFmt numFmtId="171" formatCode="[Blue]_-* #,##0.00_-&quot;DR.&quot;;[Red]* #,##0.00_-&quot;CR.&quot;;_-* &quot;-&quot;??_-;_-@_-"/>
    <numFmt numFmtId="172" formatCode="d/m/yyyy"/>
  </numFmts>
  <fonts count="34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Tahoma"/>
      <family val="2"/>
    </font>
    <font>
      <sz val="10"/>
      <color theme="1"/>
      <name val="Tahoma"/>
      <family val="2"/>
    </font>
    <font>
      <sz val="14"/>
      <color theme="1"/>
      <name val="Tahoma"/>
      <family val="2"/>
    </font>
    <font>
      <b/>
      <u/>
      <sz val="14"/>
      <color rgb="FFFF0000"/>
      <name val="Tahoma"/>
      <family val="2"/>
    </font>
    <font>
      <sz val="12"/>
      <color theme="1"/>
      <name val="Tahoma"/>
      <family val="2"/>
    </font>
    <font>
      <sz val="9"/>
      <color theme="1"/>
      <name val="Calibri"/>
      <family val="2"/>
      <charset val="222"/>
      <scheme val="minor"/>
    </font>
    <font>
      <sz val="9"/>
      <name val="Calibri"/>
      <family val="2"/>
      <charset val="222"/>
      <scheme val="minor"/>
    </font>
    <font>
      <b/>
      <sz val="11"/>
      <color theme="1"/>
      <name val="Calibri"/>
      <family val="2"/>
      <scheme val="minor"/>
    </font>
    <font>
      <sz val="14"/>
      <color rgb="FFFFFF00"/>
      <name val="Tahoma"/>
      <family val="2"/>
    </font>
    <font>
      <b/>
      <sz val="12"/>
      <color theme="1"/>
      <name val="Tahoma"/>
      <family val="2"/>
    </font>
    <font>
      <b/>
      <u/>
      <sz val="14"/>
      <color theme="1"/>
      <name val="Tahoma"/>
      <family val="2"/>
    </font>
    <font>
      <sz val="20"/>
      <color rgb="FFFFFF00"/>
      <name val="Tahoma"/>
      <family val="2"/>
    </font>
    <font>
      <b/>
      <sz val="18"/>
      <color rgb="FF0070C0"/>
      <name val="Tahoma"/>
      <family val="2"/>
    </font>
    <font>
      <sz val="9"/>
      <color rgb="FF0070C0"/>
      <name val="Calibri"/>
      <family val="2"/>
      <charset val="222"/>
      <scheme val="minor"/>
    </font>
    <font>
      <b/>
      <sz val="11"/>
      <color rgb="FF0070C0"/>
      <name val="Calibri"/>
      <family val="2"/>
      <charset val="222"/>
      <scheme val="minor"/>
    </font>
    <font>
      <b/>
      <sz val="9"/>
      <color theme="1"/>
      <name val="Tahoma"/>
      <family val="2"/>
    </font>
    <font>
      <sz val="9"/>
      <color theme="1"/>
      <name val="Tahoma"/>
      <family val="2"/>
    </font>
    <font>
      <b/>
      <sz val="12"/>
      <color rgb="FFFFFF00"/>
      <name val="Tahoma"/>
      <family val="2"/>
    </font>
    <font>
      <b/>
      <sz val="9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charset val="222"/>
      <scheme val="minor"/>
    </font>
    <font>
      <sz val="12"/>
      <name val="TH SarabunPSK"/>
      <family val="2"/>
    </font>
    <font>
      <sz val="9"/>
      <color theme="1"/>
      <name val="Calibri"/>
      <family val="2"/>
      <scheme val="minor"/>
    </font>
    <font>
      <sz val="11"/>
      <name val="TH SarabunPSK"/>
      <family val="2"/>
    </font>
    <font>
      <sz val="10"/>
      <name val="Tahoma"/>
      <family val="2"/>
    </font>
    <font>
      <sz val="9"/>
      <color theme="0"/>
      <name val="Tahoma"/>
      <family val="2"/>
    </font>
    <font>
      <sz val="12"/>
      <color theme="0"/>
      <name val="Tahoma"/>
      <family val="2"/>
    </font>
    <font>
      <sz val="12"/>
      <color theme="1"/>
      <name val="TH SarabunPSK"/>
      <family val="2"/>
    </font>
    <font>
      <sz val="11"/>
      <color rgb="FF000000"/>
      <name val="Tahoma"/>
      <family val="2"/>
    </font>
    <font>
      <sz val="11"/>
      <name val="Calibri"/>
      <family val="2"/>
      <charset val="22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gradientFill degree="90">
        <stop position="0">
          <color theme="0"/>
        </stop>
        <stop position="1">
          <color theme="7" tint="0.59999389629810485"/>
        </stop>
      </gradientFill>
    </fill>
    <fill>
      <gradientFill degree="90">
        <stop position="0">
          <color theme="0"/>
        </stop>
        <stop position="1">
          <color theme="5" tint="0.59999389629810485"/>
        </stop>
      </gradient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24" fillId="0" borderId="0" applyNumberFormat="0" applyFill="0" applyBorder="0" applyAlignment="0" applyProtection="0"/>
  </cellStyleXfs>
  <cellXfs count="126">
    <xf numFmtId="0" fontId="0" fillId="0" borderId="0" xfId="0"/>
    <xf numFmtId="0" fontId="6" fillId="0" borderId="0" xfId="0" applyFont="1"/>
    <xf numFmtId="165" fontId="6" fillId="0" borderId="0" xfId="1" applyFont="1"/>
    <xf numFmtId="0" fontId="7" fillId="0" borderId="0" xfId="0" applyFont="1"/>
    <xf numFmtId="165" fontId="6" fillId="0" borderId="0" xfId="1" applyFont="1" applyAlignment="1">
      <alignment horizontal="right"/>
    </xf>
    <xf numFmtId="0" fontId="8" fillId="0" borderId="0" xfId="0" applyFont="1"/>
    <xf numFmtId="165" fontId="8" fillId="0" borderId="0" xfId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4" fillId="2" borderId="1" xfId="0" applyFont="1" applyFill="1" applyBorder="1"/>
    <xf numFmtId="0" fontId="4" fillId="2" borderId="1" xfId="0" applyFont="1" applyFill="1" applyBorder="1" applyAlignment="1">
      <alignment vertical="top"/>
    </xf>
    <xf numFmtId="14" fontId="8" fillId="0" borderId="1" xfId="0" applyNumberFormat="1" applyFont="1" applyBorder="1" applyAlignment="1">
      <alignment horizontal="left"/>
    </xf>
    <xf numFmtId="0" fontId="9" fillId="0" borderId="0" xfId="0" applyFont="1"/>
    <xf numFmtId="0" fontId="9" fillId="0" borderId="0" xfId="0" pivotButton="1" applyFont="1"/>
    <xf numFmtId="4" fontId="9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pivotButton="1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67" fontId="9" fillId="0" borderId="0" xfId="0" applyNumberFormat="1" applyFont="1"/>
    <xf numFmtId="0" fontId="8" fillId="3" borderId="1" xfId="0" applyFont="1" applyFill="1" applyBorder="1"/>
    <xf numFmtId="49" fontId="0" fillId="0" borderId="0" xfId="0" applyNumberFormat="1"/>
    <xf numFmtId="0" fontId="4" fillId="2" borderId="7" xfId="0" applyFont="1" applyFill="1" applyBorder="1" applyAlignment="1">
      <alignment horizontal="center"/>
    </xf>
    <xf numFmtId="165" fontId="0" fillId="8" borderId="0" xfId="1" applyFont="1" applyFill="1"/>
    <xf numFmtId="169" fontId="0" fillId="8" borderId="0" xfId="1" applyNumberFormat="1" applyFont="1" applyFill="1"/>
    <xf numFmtId="49" fontId="8" fillId="0" borderId="1" xfId="0" applyNumberFormat="1" applyFont="1" applyBorder="1" applyAlignment="1">
      <alignment shrinkToFit="1"/>
    </xf>
    <xf numFmtId="0" fontId="8" fillId="0" borderId="1" xfId="0" applyFont="1" applyBorder="1" applyAlignment="1">
      <alignment horizontal="center" shrinkToFit="1"/>
    </xf>
    <xf numFmtId="0" fontId="14" fillId="0" borderId="0" xfId="0" applyFont="1"/>
    <xf numFmtId="49" fontId="8" fillId="0" borderId="0" xfId="0" applyNumberFormat="1" applyFont="1" applyAlignment="1">
      <alignment shrinkToFit="1"/>
    </xf>
    <xf numFmtId="0" fontId="9" fillId="0" borderId="0" xfId="0" applyFont="1" applyAlignment="1">
      <alignment shrinkToFit="1"/>
    </xf>
    <xf numFmtId="0" fontId="9" fillId="0" borderId="0" xfId="0" applyFont="1" applyAlignment="1">
      <alignment horizontal="right" shrinkToFit="1"/>
    </xf>
    <xf numFmtId="4" fontId="9" fillId="0" borderId="0" xfId="0" applyNumberFormat="1" applyFont="1" applyAlignment="1">
      <alignment shrinkToFit="1"/>
    </xf>
    <xf numFmtId="0" fontId="9" fillId="0" borderId="0" xfId="0" applyFont="1" applyAlignment="1">
      <alignment horizontal="center" shrinkToFit="1"/>
    </xf>
    <xf numFmtId="167" fontId="9" fillId="0" borderId="0" xfId="0" applyNumberFormat="1" applyFont="1" applyAlignment="1">
      <alignment horizontal="right" shrinkToFit="1"/>
    </xf>
    <xf numFmtId="0" fontId="6" fillId="0" borderId="0" xfId="0" applyFont="1" applyAlignment="1" applyProtection="1">
      <alignment horizontal="right" shrinkToFit="1"/>
      <protection hidden="1"/>
    </xf>
    <xf numFmtId="0" fontId="8" fillId="0" borderId="4" xfId="0" applyFont="1" applyBorder="1" applyAlignment="1" applyProtection="1">
      <alignment horizontal="left" shrinkToFit="1"/>
      <protection hidden="1"/>
    </xf>
    <xf numFmtId="166" fontId="6" fillId="0" borderId="0" xfId="0" applyNumberFormat="1" applyFont="1" applyAlignment="1" applyProtection="1">
      <alignment shrinkToFit="1"/>
      <protection hidden="1"/>
    </xf>
    <xf numFmtId="14" fontId="0" fillId="0" borderId="0" xfId="0" applyNumberFormat="1"/>
    <xf numFmtId="14" fontId="10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shrinkToFit="1"/>
    </xf>
    <xf numFmtId="170" fontId="12" fillId="6" borderId="0" xfId="0" applyNumberFormat="1" applyFont="1" applyFill="1" applyAlignment="1" applyProtection="1">
      <alignment shrinkToFit="1"/>
      <protection hidden="1"/>
    </xf>
    <xf numFmtId="0" fontId="0" fillId="0" borderId="0" xfId="0" applyAlignment="1">
      <alignment shrinkToFit="1"/>
    </xf>
    <xf numFmtId="0" fontId="17" fillId="0" borderId="0" xfId="0" applyFont="1"/>
    <xf numFmtId="0" fontId="18" fillId="0" borderId="0" xfId="0" applyFont="1"/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49" fontId="19" fillId="0" borderId="0" xfId="0" applyNumberFormat="1" applyFont="1" applyAlignment="1">
      <alignment horizontal="center"/>
    </xf>
    <xf numFmtId="165" fontId="19" fillId="0" borderId="0" xfId="1" applyFont="1" applyFill="1" applyAlignment="1">
      <alignment horizontal="center"/>
    </xf>
    <xf numFmtId="0" fontId="20" fillId="0" borderId="0" xfId="0" applyFont="1"/>
    <xf numFmtId="14" fontId="20" fillId="0" borderId="0" xfId="0" applyNumberFormat="1" applyFont="1"/>
    <xf numFmtId="49" fontId="20" fillId="0" borderId="0" xfId="0" applyNumberFormat="1" applyFont="1"/>
    <xf numFmtId="0" fontId="20" fillId="0" borderId="0" xfId="0" applyFont="1" applyAlignment="1">
      <alignment horizontal="center"/>
    </xf>
    <xf numFmtId="165" fontId="20" fillId="0" borderId="0" xfId="1" applyFont="1"/>
    <xf numFmtId="0" fontId="19" fillId="0" borderId="0" xfId="0" applyFont="1" applyAlignment="1">
      <alignment horizontal="center" shrinkToFit="1"/>
    </xf>
    <xf numFmtId="0" fontId="20" fillId="0" borderId="0" xfId="0" applyFont="1" applyAlignment="1">
      <alignment shrinkToFit="1"/>
    </xf>
    <xf numFmtId="0" fontId="8" fillId="0" borderId="12" xfId="0" applyFont="1" applyBorder="1"/>
    <xf numFmtId="0" fontId="20" fillId="0" borderId="3" xfId="0" applyFont="1" applyBorder="1"/>
    <xf numFmtId="0" fontId="8" fillId="0" borderId="8" xfId="0" applyFont="1" applyBorder="1" applyAlignment="1">
      <alignment horizontal="left"/>
    </xf>
    <xf numFmtId="165" fontId="8" fillId="0" borderId="8" xfId="1" applyFont="1" applyBorder="1"/>
    <xf numFmtId="165" fontId="8" fillId="0" borderId="9" xfId="1" applyFont="1" applyBorder="1"/>
    <xf numFmtId="0" fontId="5" fillId="0" borderId="0" xfId="0" applyFont="1" applyAlignment="1">
      <alignment horizontal="left"/>
    </xf>
    <xf numFmtId="165" fontId="5" fillId="0" borderId="0" xfId="1" applyFont="1" applyBorder="1"/>
    <xf numFmtId="165" fontId="5" fillId="0" borderId="4" xfId="1" applyFont="1" applyBorder="1"/>
    <xf numFmtId="0" fontId="8" fillId="0" borderId="0" xfId="0" applyFont="1" applyAlignment="1">
      <alignment horizontal="left"/>
    </xf>
    <xf numFmtId="165" fontId="8" fillId="0" borderId="0" xfId="1" applyFont="1" applyBorder="1"/>
    <xf numFmtId="165" fontId="8" fillId="0" borderId="4" xfId="1" applyFont="1" applyBorder="1"/>
    <xf numFmtId="168" fontId="9" fillId="8" borderId="0" xfId="1" applyNumberFormat="1" applyFont="1" applyFill="1" applyAlignment="1" applyProtection="1">
      <alignment horizontal="center"/>
    </xf>
    <xf numFmtId="165" fontId="9" fillId="8" borderId="0" xfId="1" applyFont="1" applyFill="1" applyProtection="1"/>
    <xf numFmtId="171" fontId="9" fillId="8" borderId="0" xfId="0" applyNumberFormat="1" applyFont="1" applyFill="1"/>
    <xf numFmtId="164" fontId="8" fillId="0" borderId="3" xfId="1" applyNumberFormat="1" applyFont="1" applyBorder="1" applyAlignment="1">
      <alignment shrinkToFit="1"/>
    </xf>
    <xf numFmtId="164" fontId="8" fillId="0" borderId="4" xfId="1" applyNumberFormat="1" applyFont="1" applyBorder="1" applyAlignment="1">
      <alignment shrinkToFit="1"/>
    </xf>
    <xf numFmtId="164" fontId="8" fillId="0" borderId="5" xfId="1" applyNumberFormat="1" applyFont="1" applyBorder="1" applyAlignment="1">
      <alignment shrinkToFit="1"/>
    </xf>
    <xf numFmtId="164" fontId="8" fillId="0" borderId="6" xfId="1" applyNumberFormat="1" applyFont="1" applyBorder="1" applyAlignment="1">
      <alignment shrinkToFit="1"/>
    </xf>
    <xf numFmtId="0" fontId="8" fillId="8" borderId="3" xfId="0" applyFont="1" applyFill="1" applyBorder="1" applyAlignment="1">
      <alignment horizontal="left"/>
    </xf>
    <xf numFmtId="0" fontId="8" fillId="8" borderId="4" xfId="0" applyFont="1" applyFill="1" applyBorder="1" applyAlignment="1" applyProtection="1">
      <alignment horizontal="left" shrinkToFit="1"/>
      <protection hidden="1"/>
    </xf>
    <xf numFmtId="164" fontId="8" fillId="8" borderId="3" xfId="1" applyNumberFormat="1" applyFont="1" applyFill="1" applyBorder="1" applyAlignment="1">
      <alignment shrinkToFit="1"/>
    </xf>
    <xf numFmtId="164" fontId="8" fillId="8" borderId="4" xfId="1" applyNumberFormat="1" applyFont="1" applyFill="1" applyBorder="1" applyAlignment="1">
      <alignment shrinkToFit="1"/>
    </xf>
    <xf numFmtId="0" fontId="21" fillId="9" borderId="1" xfId="0" applyFont="1" applyFill="1" applyBorder="1" applyAlignment="1">
      <alignment horizontal="center"/>
    </xf>
    <xf numFmtId="0" fontId="21" fillId="9" borderId="2" xfId="0" applyFont="1" applyFill="1" applyBorder="1" applyAlignment="1">
      <alignment horizontal="center"/>
    </xf>
    <xf numFmtId="165" fontId="21" fillId="9" borderId="1" xfId="1" applyFont="1" applyFill="1" applyBorder="1" applyAlignment="1">
      <alignment horizontal="center"/>
    </xf>
    <xf numFmtId="165" fontId="21" fillId="9" borderId="2" xfId="1" applyFont="1" applyFill="1" applyBorder="1" applyAlignment="1">
      <alignment horizontal="center"/>
    </xf>
    <xf numFmtId="164" fontId="13" fillId="4" borderId="1" xfId="1" applyNumberFormat="1" applyFont="1" applyFill="1" applyBorder="1" applyAlignment="1" applyProtection="1">
      <alignment shrinkToFit="1"/>
      <protection hidden="1"/>
    </xf>
    <xf numFmtId="164" fontId="13" fillId="4" borderId="2" xfId="1" applyNumberFormat="1" applyFont="1" applyFill="1" applyBorder="1" applyAlignment="1" applyProtection="1">
      <alignment shrinkToFit="1"/>
      <protection hidden="1"/>
    </xf>
    <xf numFmtId="0" fontId="22" fillId="2" borderId="1" xfId="0" applyFont="1" applyFill="1" applyBorder="1" applyAlignment="1">
      <alignment horizontal="center"/>
    </xf>
    <xf numFmtId="165" fontId="22" fillId="2" borderId="1" xfId="1" applyFont="1" applyFill="1" applyBorder="1" applyAlignment="1" applyProtection="1">
      <alignment horizontal="center"/>
    </xf>
    <xf numFmtId="171" fontId="22" fillId="2" borderId="1" xfId="0" applyNumberFormat="1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2"/>
    <xf numFmtId="0" fontId="11" fillId="11" borderId="0" xfId="0" applyFont="1" applyFill="1"/>
    <xf numFmtId="49" fontId="22" fillId="2" borderId="5" xfId="0" applyNumberFormat="1" applyFont="1" applyFill="1" applyBorder="1" applyAlignment="1">
      <alignment horizontal="center"/>
    </xf>
    <xf numFmtId="49" fontId="9" fillId="0" borderId="0" xfId="0" applyNumberFormat="1" applyFont="1"/>
    <xf numFmtId="0" fontId="22" fillId="2" borderId="5" xfId="0" applyFont="1" applyFill="1" applyBorder="1" applyAlignment="1">
      <alignment horizontal="center"/>
    </xf>
    <xf numFmtId="49" fontId="11" fillId="5" borderId="5" xfId="0" applyNumberFormat="1" applyFont="1" applyFill="1" applyBorder="1" applyAlignment="1">
      <alignment horizontal="center"/>
    </xf>
    <xf numFmtId="0" fontId="11" fillId="5" borderId="5" xfId="0" applyFont="1" applyFill="1" applyBorder="1" applyAlignment="1">
      <alignment horizontal="center"/>
    </xf>
    <xf numFmtId="169" fontId="11" fillId="5" borderId="5" xfId="0" applyNumberFormat="1" applyFont="1" applyFill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26" fillId="0" borderId="0" xfId="0" applyFont="1"/>
    <xf numFmtId="0" fontId="27" fillId="0" borderId="1" xfId="0" applyFont="1" applyBorder="1" applyAlignment="1">
      <alignment wrapText="1"/>
    </xf>
    <xf numFmtId="0" fontId="25" fillId="0" borderId="1" xfId="0" applyFont="1" applyBorder="1"/>
    <xf numFmtId="0" fontId="25" fillId="0" borderId="1" xfId="0" applyFont="1" applyBorder="1" applyAlignment="1">
      <alignment horizontal="left" vertical="center"/>
    </xf>
    <xf numFmtId="0" fontId="25" fillId="12" borderId="1" xfId="0" applyFont="1" applyFill="1" applyBorder="1" applyAlignment="1">
      <alignment horizontal="center"/>
    </xf>
    <xf numFmtId="0" fontId="28" fillId="0" borderId="0" xfId="0" applyFont="1" applyAlignment="1">
      <alignment vertical="top" wrapText="1"/>
    </xf>
    <xf numFmtId="0" fontId="30" fillId="0" borderId="3" xfId="0" quotePrefix="1" applyFont="1" applyBorder="1" applyAlignment="1">
      <alignment horizontal="center"/>
    </xf>
    <xf numFmtId="165" fontId="26" fillId="8" borderId="0" xfId="1" applyFont="1" applyFill="1" applyProtection="1"/>
    <xf numFmtId="171" fontId="26" fillId="8" borderId="0" xfId="0" applyNumberFormat="1" applyFont="1" applyFill="1"/>
    <xf numFmtId="0" fontId="31" fillId="0" borderId="1" xfId="0" applyFont="1" applyBorder="1" applyAlignment="1">
      <alignment horizontal="center"/>
    </xf>
    <xf numFmtId="0" fontId="31" fillId="0" borderId="1" xfId="0" applyFont="1" applyBorder="1"/>
    <xf numFmtId="0" fontId="6" fillId="0" borderId="4" xfId="0" applyFont="1" applyBorder="1" applyAlignment="1" applyProtection="1">
      <alignment horizontal="left" shrinkToFit="1"/>
      <protection hidden="1"/>
    </xf>
    <xf numFmtId="172" fontId="20" fillId="0" borderId="0" xfId="0" applyNumberFormat="1" applyFont="1"/>
    <xf numFmtId="172" fontId="10" fillId="0" borderId="0" xfId="0" applyNumberFormat="1" applyFont="1" applyAlignment="1">
      <alignment horizontal="center"/>
    </xf>
    <xf numFmtId="172" fontId="10" fillId="0" borderId="0" xfId="0" applyNumberFormat="1" applyFont="1" applyAlignment="1">
      <alignment horizontal="left"/>
    </xf>
    <xf numFmtId="14" fontId="9" fillId="0" borderId="0" xfId="0" applyNumberFormat="1" applyFont="1"/>
    <xf numFmtId="0" fontId="33" fillId="0" borderId="0" xfId="2" applyFont="1"/>
    <xf numFmtId="0" fontId="23" fillId="10" borderId="0" xfId="0" applyFont="1" applyFill="1" applyAlignment="1">
      <alignment wrapText="1"/>
    </xf>
    <xf numFmtId="0" fontId="29" fillId="0" borderId="7" xfId="0" applyFont="1" applyBorder="1" applyAlignment="1">
      <alignment horizontal="center"/>
    </xf>
    <xf numFmtId="0" fontId="29" fillId="0" borderId="13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15" fillId="7" borderId="0" xfId="0" applyFont="1" applyFill="1" applyAlignment="1">
      <alignment horizontal="center"/>
    </xf>
    <xf numFmtId="0" fontId="8" fillId="0" borderId="1" xfId="0" applyFont="1" applyBorder="1" applyAlignment="1">
      <alignment horizontal="left" vertical="top" wrapText="1"/>
    </xf>
    <xf numFmtId="0" fontId="13" fillId="4" borderId="7" xfId="0" applyFont="1" applyFill="1" applyBorder="1" applyAlignment="1" applyProtection="1">
      <alignment horizontal="center" shrinkToFit="1"/>
      <protection hidden="1"/>
    </xf>
    <xf numFmtId="0" fontId="13" fillId="4" borderId="2" xfId="0" applyFont="1" applyFill="1" applyBorder="1" applyAlignment="1" applyProtection="1">
      <alignment horizontal="center" shrinkToFit="1"/>
      <protection hidden="1"/>
    </xf>
    <xf numFmtId="14" fontId="8" fillId="0" borderId="7" xfId="0" applyNumberFormat="1" applyFont="1" applyBorder="1" applyAlignment="1" applyProtection="1">
      <alignment horizontal="center" shrinkToFit="1"/>
      <protection hidden="1"/>
    </xf>
    <xf numFmtId="14" fontId="8" fillId="0" borderId="2" xfId="0" applyNumberFormat="1" applyFont="1" applyBorder="1" applyAlignment="1" applyProtection="1">
      <alignment horizontal="center" shrinkToFit="1"/>
      <protection hidden="1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</cellXfs>
  <cellStyles count="3">
    <cellStyle name="Hyperlink" xfId="2" builtinId="8"/>
    <cellStyle name="จุลภาค" xfId="1" builtinId="3"/>
    <cellStyle name="ปกติ" xfId="0" builtinId="0"/>
  </cellStyles>
  <dxfs count="1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  <numFmt numFmtId="172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alignment horizontal="right" readingOrder="0"/>
    </dxf>
    <dxf>
      <alignment horizontal="center" readingOrder="0"/>
    </dxf>
    <dxf>
      <numFmt numFmtId="167" formatCode="[Blue]_-* #,##0.00_-&quot;DR.&quot;;[Red]* #,##0.00_-&quot;CR.&quot;;_-* &quot;&quot;??_-;_-@_-"/>
    </dxf>
    <dxf>
      <alignment horizontal="center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right" readingOrder="0"/>
    </dxf>
    <dxf>
      <alignment horizontal="center" readingOrder="0"/>
    </dxf>
    <dxf>
      <alignment horizontal="center" readingOrder="0"/>
    </dxf>
    <dxf>
      <numFmt numFmtId="167" formatCode="[Blue]_-* #,##0.00_-&quot;DR.&quot;;[Red]* #,##0.00_-&quot;CR.&quot;;_-* &quot;&quot;??_-;_-@_-"/>
    </dxf>
    <dxf>
      <alignment horizontal="center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right" readingOrder="0"/>
    </dxf>
    <dxf>
      <alignment horizontal="right" readingOrder="0"/>
    </dxf>
    <dxf>
      <alignment shrinkToFit="1" readingOrder="0"/>
    </dxf>
    <dxf>
      <alignment shrinkToFit="1" readingOrder="0"/>
    </dxf>
    <dxf>
      <alignment shrinkToFit="1" readingOrder="0"/>
    </dxf>
    <dxf>
      <numFmt numFmtId="4" formatCode="#,##0.00"/>
    </dxf>
    <dxf>
      <numFmt numFmtId="4" formatCode="#,##0.00"/>
    </dxf>
    <dxf>
      <alignment horizontal="right" readingOrder="0"/>
    </dxf>
    <dxf>
      <alignment horizontal="center" readingOrder="0"/>
    </dxf>
    <dxf>
      <numFmt numFmtId="167" formatCode="[Blue]_-* #,##0.00_-&quot;DR.&quot;;[Red]* #,##0.00_-&quot;CR.&quot;;_-* &quot;&quot;??_-;_-@_-"/>
    </dxf>
    <dxf>
      <alignment horizontal="center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right" readingOrder="0"/>
    </dxf>
    <dxf>
      <alignment shrinkToFit="1" readingOrder="0"/>
    </dxf>
    <dxf>
      <alignment shrinkToFit="1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shrinkToFit="0" readingOrder="0"/>
    </dxf>
    <dxf>
      <alignment wrapText="0" shrinkToFit="1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right" readingOrder="0"/>
    </dxf>
    <dxf>
      <font>
        <sz val="8"/>
      </font>
    </dxf>
    <dxf>
      <font>
        <sz val="8"/>
      </font>
    </dxf>
    <dxf>
      <alignment shrinkToFit="1" readingOrder="0"/>
    </dxf>
    <dxf>
      <alignment shrinkToFit="1" readingOrder="0"/>
    </dxf>
    <dxf>
      <numFmt numFmtId="172" formatCode="d/m/yyyy"/>
    </dxf>
    <dxf>
      <numFmt numFmtId="172" formatCode="d/m/yyyy"/>
    </dxf>
    <dxf>
      <numFmt numFmtId="168" formatCode="_-* #,##0.00_-;\-* #,##0.00_-;_-* &quot;&quot;??_-;_-@_-"/>
    </dxf>
    <dxf>
      <numFmt numFmtId="168" formatCode="_-* #,##0.00_-;\-* #,##0.00_-;_-* &quot;&quot;??_-;_-@_-"/>
    </dxf>
    <dxf>
      <alignment shrinkToFit="0" readingOrder="0"/>
    </dxf>
    <dxf>
      <alignment shrinkToFit="0" readingOrder="0"/>
    </dxf>
    <dxf>
      <alignment shrinkToFit="0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color auto="1"/>
      </font>
    </dxf>
    <dxf>
      <font>
        <color auto="1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left" readingOrder="0"/>
    </dxf>
    <dxf>
      <font>
        <b/>
        <i val="0"/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minor"/>
      </font>
      <numFmt numFmtId="169" formatCode="#,##0.00;[Red]\(#,##0.00\)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minor"/>
      </font>
      <fill>
        <patternFill patternType="solid">
          <fgColor indexed="64"/>
          <bgColor theme="7" tint="0.79998168889431442"/>
        </patternFill>
      </fill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minor"/>
      </font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minor"/>
      </font>
      <numFmt numFmtId="171" formatCode="[Blue]_-* #,##0.00_-&quot;DR.&quot;;[Red]* #,##0.00_-&quot;CR.&quot;;_-* &quot;-&quot;??_-;_-@_-"/>
      <fill>
        <patternFill patternType="solid">
          <fgColor indexed="64"/>
          <bgColor theme="7" tint="0.79998168889431442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minor"/>
      </font>
      <fill>
        <patternFill patternType="solid">
          <fgColor indexed="64"/>
          <bgColor theme="7" tint="0.79998168889431442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minor"/>
      </font>
      <fill>
        <patternFill patternType="solid">
          <fgColor indexed="64"/>
          <bgColor theme="7" tint="0.79998168889431442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minor"/>
      </font>
      <numFmt numFmtId="168" formatCode="_-* #,##0.00_-;\-* #,##0.00_-;_-* &quot;&quot;??_-;_-@_-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minor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left style="thin">
          <color theme="0" tint="-0.34998626667073579"/>
        </left>
        <right style="thin">
          <color theme="0" tint="-0.34998626667073579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6795556505021"/>
          <bgColor theme="0" tint="-4.9989318521683403E-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color theme="1"/>
      </font>
    </dxf>
    <dxf>
      <font>
        <b/>
        <i val="0"/>
        <color auto="1"/>
      </font>
      <fill>
        <patternFill>
          <bgColor theme="8" tint="0.79998168889431442"/>
        </patternFill>
      </fill>
      <border>
        <top style="medium">
          <color auto="1"/>
        </top>
        <bottom style="double">
          <color auto="1"/>
        </bottom>
      </border>
    </dxf>
    <dxf>
      <font>
        <b/>
        <i val="0"/>
        <color theme="1"/>
      </font>
      <fill>
        <patternFill>
          <bgColor theme="0" tint="-0.24994659260841701"/>
        </patternFill>
      </fill>
      <border>
        <bottom style="thin">
          <color theme="1" tint="0.499984740745262"/>
        </bottom>
      </border>
    </dxf>
    <dxf>
      <font>
        <color theme="1"/>
      </font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</border>
    </dxf>
    <dxf>
      <border>
        <bottom style="medium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border>
        <top style="thin">
          <color theme="6" tint="0.79998168889431442"/>
        </top>
        <bottom style="thin">
          <color theme="6" tint="0.79998168889431442"/>
        </bottom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font>
        <b val="0"/>
        <i val="0"/>
      </font>
    </dxf>
    <dxf>
      <font>
        <b/>
        <i val="0"/>
        <color auto="1"/>
      </font>
      <fill>
        <patternFill patternType="solid">
          <fgColor theme="6" tint="0.79995117038483843"/>
          <bgColor theme="7" tint="0.79998168889431442"/>
        </patternFill>
      </fill>
      <border>
        <top style="thin">
          <color auto="1"/>
        </top>
        <bottom/>
        <horizontal/>
      </border>
    </dxf>
    <dxf>
      <font>
        <b/>
        <i val="0"/>
        <color auto="1"/>
      </font>
      <fill>
        <patternFill patternType="solid">
          <fgColor theme="6" tint="0.39991454817346722"/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/>
        <color theme="1"/>
      </font>
      <fill>
        <patternFill patternType="solid">
          <fgColor theme="0" tint="-0.14993743705557422"/>
          <bgColor theme="9" tint="0.59996337778862885"/>
        </patternFill>
      </fill>
      <border>
        <bottom style="thin">
          <color auto="1"/>
        </bottom>
      </border>
    </dxf>
    <dxf>
      <font>
        <color auto="1"/>
      </font>
      <fill>
        <patternFill patternType="solid">
          <fgColor theme="6" tint="0.39991454817346722"/>
          <bgColor theme="9" tint="0.79998168889431442"/>
        </patternFill>
      </fill>
      <border>
        <left style="thin">
          <color auto="1"/>
        </left>
        <right style="thin">
          <color auto="1"/>
        </right>
      </border>
    </dxf>
    <dxf>
      <font>
        <color auto="1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color auto="1"/>
      </font>
      <fill>
        <patternFill>
          <bgColor theme="7" tint="0.59996337778862885"/>
        </patternFill>
      </fill>
      <border>
        <top style="medium">
          <color theme="6" tint="-0.249977111117893"/>
        </top>
        <bottom style="double">
          <color theme="6" tint="-0.249977111117893"/>
        </bottom>
      </border>
    </dxf>
    <dxf>
      <font>
        <b/>
        <i val="0"/>
        <color auto="1"/>
      </font>
      <fill>
        <patternFill patternType="solid">
          <fgColor auto="1"/>
          <bgColor theme="4" tint="0.59996337778862885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horizontal style="thin">
          <color theme="0" tint="-0.2499465926084170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left style="thin">
          <color theme="0" tint="-0.34998626667073579"/>
        </left>
        <right style="thin">
          <color theme="0" tint="-0.34998626667073579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1" tint="0.499984740745262"/>
        </top>
      </border>
    </dxf>
    <dxf>
      <font>
        <b/>
        <color theme="1"/>
      </font>
      <border>
        <bottom style="thin">
          <color theme="1" tint="0.499984740745262"/>
        </bottom>
      </border>
    </dxf>
    <dxf>
      <font>
        <color theme="1"/>
      </font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</border>
    </dxf>
    <dxf>
      <font>
        <b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/>
        <i val="0"/>
        <color auto="1"/>
      </font>
      <fill>
        <patternFill patternType="solid">
          <fgColor theme="6" tint="0.39985351115451523"/>
          <bgColor theme="4" tint="0.59996337778862885"/>
        </patternFill>
      </fill>
      <border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</font>
    </dxf>
    <dxf>
      <font>
        <b/>
        <i val="0"/>
        <color theme="0"/>
      </font>
      <fill>
        <patternFill>
          <bgColor theme="4" tint="-0.499984740745262"/>
        </patternFill>
      </fill>
    </dxf>
    <dxf>
      <fill>
        <patternFill>
          <bgColor theme="6" tint="0.79998168889431442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  <border>
        <top style="medium">
          <color theme="6" tint="-0.249977111117893"/>
        </top>
        <bottom style="double">
          <color theme="6" tint="-0.249977111117893"/>
        </bottom>
      </border>
    </dxf>
    <dxf>
      <font>
        <b/>
        <i val="0"/>
        <color auto="1"/>
      </font>
      <fill>
        <patternFill patternType="solid">
          <fgColor auto="1"/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theme="0" tint="-0.24994659260841701"/>
        </horizontal>
      </border>
    </dxf>
  </dxfs>
  <tableStyles count="8" defaultTableStyle="TableStyleMedium2" defaultPivotStyle="PivotStyleLight16">
    <tableStyle name="GL" table="0" count="8" xr9:uid="{00000000-0011-0000-FFFF-FFFF00000000}">
      <tableStyleElement type="wholeTable" dxfId="166"/>
      <tableStyleElement type="headerRow" dxfId="165"/>
      <tableStyleElement type="totalRow" dxfId="164"/>
      <tableStyleElement type="secondRowStripe" dxfId="163"/>
      <tableStyleElement type="firstSubtotalRow" dxfId="162"/>
      <tableStyleElement type="secondSubtotalRow" dxfId="161"/>
      <tableStyleElement type="firstRowSubheading" dxfId="160"/>
      <tableStyleElement type="secondRowSubheading" dxfId="159"/>
    </tableStyle>
    <tableStyle name="MySqlDefault" pivot="0" table="0" count="0" xr9:uid="{00000000-0011-0000-FFFF-FFFF01000000}"/>
    <tableStyle name="PivotStyleLight22 2" table="0" count="10" xr9:uid="{00000000-0011-0000-FFFF-FFFF02000000}">
      <tableStyleElement type="wholeTable" dxfId="158"/>
      <tableStyleElement type="headerRow" dxfId="157"/>
      <tableStyleElement type="totalRow" dxfId="156"/>
      <tableStyleElement type="firstColumn" dxfId="155"/>
      <tableStyleElement type="firstRowStripe" dxfId="154"/>
      <tableStyleElement type="firstColumnStripe" dxfId="153"/>
      <tableStyleElement type="firstSubtotalColumn" dxfId="152"/>
      <tableStyleElement type="firstSubtotalRow" dxfId="151"/>
      <tableStyleElement type="secondSubtotalRow" dxfId="150"/>
      <tableStyleElement type="pageFieldLabels" dxfId="149"/>
    </tableStyle>
    <tableStyle name="PivotStyleMedium4 2" table="0" count="11" xr9:uid="{00000000-0011-0000-FFFF-FFFF03000000}">
      <tableStyleElement type="wholeTable" dxfId="148"/>
      <tableStyleElement type="headerRow" dxfId="147"/>
      <tableStyleElement type="totalRow" dxfId="146"/>
      <tableStyleElement type="firstColumnStripe" dxfId="145"/>
      <tableStyleElement type="firstSubtotalRow" dxfId="144"/>
      <tableStyleElement type="secondSubtotalRow" dxfId="143"/>
      <tableStyleElement type="firstRowSubheading" dxfId="142"/>
      <tableStyleElement type="secondRowSubheading" dxfId="141"/>
      <tableStyleElement type="thirdRowSubheading" dxfId="140"/>
      <tableStyleElement type="pageFieldLabels" dxfId="139"/>
      <tableStyleElement type="pageFieldValues" dxfId="138"/>
    </tableStyle>
    <tableStyle name="PivotTable Style 1" table="0" count="2" xr9:uid="{00000000-0011-0000-FFFF-FFFF04000000}">
      <tableStyleElement type="firstSubtotalRow" dxfId="137"/>
      <tableStyleElement type="secondSubtotalRow" dxfId="136"/>
    </tableStyle>
    <tableStyle name="PivotTable Style 2" table="0" count="1" xr9:uid="{00000000-0011-0000-FFFF-FFFF05000000}">
      <tableStyleElement type="secondSubtotalColumn" dxfId="135"/>
    </tableStyle>
    <tableStyle name="PivotTable Style 3" table="0" count="0" xr9:uid="{00000000-0011-0000-FFFF-FFFF06000000}"/>
    <tableStyle name="TB" table="0" count="10" xr9:uid="{00000000-0011-0000-FFFF-FFFF07000000}">
      <tableStyleElement type="wholeTable" dxfId="134"/>
      <tableStyleElement type="headerRow" dxfId="133"/>
      <tableStyleElement type="totalRow" dxfId="132"/>
      <tableStyleElement type="firstColumn" dxfId="131"/>
      <tableStyleElement type="firstRowStripe" dxfId="130"/>
      <tableStyleElement type="firstColumnStripe" dxfId="129"/>
      <tableStyleElement type="firstSubtotalColumn" dxfId="128"/>
      <tableStyleElement type="firstSubtotalRow" dxfId="127"/>
      <tableStyleElement type="secondSubtotalRow" dxfId="126"/>
      <tableStyleElement type="pageFieldLabels" dxfId="1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Relationship Id="rId9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61231</xdr:colOff>
      <xdr:row>2</xdr:row>
      <xdr:rowOff>90885</xdr:rowOff>
    </xdr:from>
    <xdr:to>
      <xdr:col>7</xdr:col>
      <xdr:colOff>736330</xdr:colOff>
      <xdr:row>6</xdr:row>
      <xdr:rowOff>9787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964" t="11342" r="11909" b="12287"/>
        <a:stretch/>
      </xdr:blipFill>
      <xdr:spPr>
        <a:xfrm>
          <a:off x="4357006" y="500460"/>
          <a:ext cx="675099" cy="652327"/>
        </a:xfrm>
        <a:prstGeom prst="rect">
          <a:avLst/>
        </a:prstGeom>
      </xdr:spPr>
    </xdr:pic>
    <xdr:clientData/>
  </xdr:twoCellAnchor>
  <xdr:twoCellAnchor editAs="oneCell">
    <xdr:from>
      <xdr:col>2</xdr:col>
      <xdr:colOff>212481</xdr:colOff>
      <xdr:row>29</xdr:row>
      <xdr:rowOff>37065</xdr:rowOff>
    </xdr:from>
    <xdr:to>
      <xdr:col>8</xdr:col>
      <xdr:colOff>567837</xdr:colOff>
      <xdr:row>50</xdr:row>
      <xdr:rowOff>118649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256" y="5342490"/>
          <a:ext cx="4727331" cy="3882059"/>
        </a:xfrm>
        <a:prstGeom prst="rect">
          <a:avLst/>
        </a:prstGeom>
      </xdr:spPr>
    </xdr:pic>
    <xdr:clientData/>
  </xdr:twoCellAnchor>
  <xdr:twoCellAnchor editAs="oneCell">
    <xdr:from>
      <xdr:col>2</xdr:col>
      <xdr:colOff>212481</xdr:colOff>
      <xdr:row>52</xdr:row>
      <xdr:rowOff>65943</xdr:rowOff>
    </xdr:from>
    <xdr:to>
      <xdr:col>8</xdr:col>
      <xdr:colOff>574303</xdr:colOff>
      <xdr:row>73</xdr:row>
      <xdr:rowOff>147945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256" y="9533793"/>
          <a:ext cx="4733797" cy="3882477"/>
        </a:xfrm>
        <a:prstGeom prst="rect">
          <a:avLst/>
        </a:prstGeom>
      </xdr:spPr>
    </xdr:pic>
    <xdr:clientData/>
  </xdr:twoCellAnchor>
  <xdr:twoCellAnchor editAs="oneCell">
    <xdr:from>
      <xdr:col>2</xdr:col>
      <xdr:colOff>20411</xdr:colOff>
      <xdr:row>77</xdr:row>
      <xdr:rowOff>13607</xdr:rowOff>
    </xdr:from>
    <xdr:to>
      <xdr:col>3</xdr:col>
      <xdr:colOff>76107</xdr:colOff>
      <xdr:row>80</xdr:row>
      <xdr:rowOff>129185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87186" y="14005832"/>
          <a:ext cx="741496" cy="658503"/>
        </a:xfrm>
        <a:prstGeom prst="rect">
          <a:avLst/>
        </a:prstGeom>
      </xdr:spPr>
    </xdr:pic>
    <xdr:clientData/>
  </xdr:twoCellAnchor>
  <xdr:twoCellAnchor editAs="oneCell">
    <xdr:from>
      <xdr:col>2</xdr:col>
      <xdr:colOff>38101</xdr:colOff>
      <xdr:row>82</xdr:row>
      <xdr:rowOff>9525</xdr:rowOff>
    </xdr:from>
    <xdr:to>
      <xdr:col>8</xdr:col>
      <xdr:colOff>17448</xdr:colOff>
      <xdr:row>102</xdr:row>
      <xdr:rowOff>131989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0718"/>
        <a:stretch/>
      </xdr:blipFill>
      <xdr:spPr>
        <a:xfrm>
          <a:off x="904876" y="14906625"/>
          <a:ext cx="4351322" cy="374196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104</xdr:row>
      <xdr:rowOff>142875</xdr:rowOff>
    </xdr:from>
    <xdr:to>
      <xdr:col>8</xdr:col>
      <xdr:colOff>237549</xdr:colOff>
      <xdr:row>133</xdr:row>
      <xdr:rowOff>75552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" y="19021425"/>
          <a:ext cx="4609524" cy="51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135</xdr:row>
      <xdr:rowOff>66675</xdr:rowOff>
    </xdr:from>
    <xdr:to>
      <xdr:col>7</xdr:col>
      <xdr:colOff>771001</xdr:colOff>
      <xdr:row>147</xdr:row>
      <xdr:rowOff>114023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" y="24555450"/>
          <a:ext cx="4190476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9525</xdr:rowOff>
        </xdr:from>
        <xdr:to>
          <xdr:col>10</xdr:col>
          <xdr:colOff>314325</xdr:colOff>
          <xdr:row>0</xdr:row>
          <xdr:rowOff>314325</xdr:rowOff>
        </xdr:to>
        <xdr:sp macro="" textlink="">
          <xdr:nvSpPr>
            <xdr:cNvPr id="3074" name="btn_Ne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0</xdr:row>
          <xdr:rowOff>9525</xdr:rowOff>
        </xdr:from>
        <xdr:to>
          <xdr:col>9</xdr:col>
          <xdr:colOff>819150</xdr:colOff>
          <xdr:row>0</xdr:row>
          <xdr:rowOff>314325</xdr:rowOff>
        </xdr:to>
        <xdr:sp macro="" textlink="">
          <xdr:nvSpPr>
            <xdr:cNvPr id="3075" name="btn_search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0</xdr:row>
          <xdr:rowOff>323850</xdr:rowOff>
        </xdr:from>
        <xdr:to>
          <xdr:col>9</xdr:col>
          <xdr:colOff>809625</xdr:colOff>
          <xdr:row>1</xdr:row>
          <xdr:rowOff>0</xdr:rowOff>
        </xdr:to>
        <xdr:sp macro="" textlink="">
          <xdr:nvSpPr>
            <xdr:cNvPr id="3076" name="btn_sav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323850</xdr:rowOff>
        </xdr:from>
        <xdr:to>
          <xdr:col>10</xdr:col>
          <xdr:colOff>314325</xdr:colOff>
          <xdr:row>1</xdr:row>
          <xdr:rowOff>0</xdr:rowOff>
        </xdr:to>
        <xdr:sp macro="" textlink="">
          <xdr:nvSpPr>
            <xdr:cNvPr id="3077" name="btn_del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9</xdr:row>
          <xdr:rowOff>28575</xdr:rowOff>
        </xdr:from>
        <xdr:to>
          <xdr:col>14</xdr:col>
          <xdr:colOff>238125</xdr:colOff>
          <xdr:row>10</xdr:row>
          <xdr:rowOff>104775</xdr:rowOff>
        </xdr:to>
        <xdr:sp macro="" textlink="">
          <xdr:nvSpPr>
            <xdr:cNvPr id="3078" name="btn_rese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3081" name="btn_code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</xdr:row>
          <xdr:rowOff>47625</xdr:rowOff>
        </xdr:from>
        <xdr:to>
          <xdr:col>10</xdr:col>
          <xdr:colOff>209550</xdr:colOff>
          <xdr:row>3</xdr:row>
          <xdr:rowOff>104775</xdr:rowOff>
        </xdr:to>
        <xdr:sp macro="" textlink="">
          <xdr:nvSpPr>
            <xdr:cNvPr id="3082" name="active_row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38100</xdr:rowOff>
        </xdr:from>
        <xdr:to>
          <xdr:col>2</xdr:col>
          <xdr:colOff>304800</xdr:colOff>
          <xdr:row>3</xdr:row>
          <xdr:rowOff>66675</xdr:rowOff>
        </xdr:to>
        <xdr:sp macro="" textlink="">
          <xdr:nvSpPr>
            <xdr:cNvPr id="3084" name="tr_no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3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2</xdr:row>
          <xdr:rowOff>47625</xdr:rowOff>
        </xdr:from>
        <xdr:to>
          <xdr:col>11</xdr:col>
          <xdr:colOff>47625</xdr:colOff>
          <xdr:row>3</xdr:row>
          <xdr:rowOff>95250</xdr:rowOff>
        </xdr:to>
        <xdr:sp macro="" textlink="">
          <xdr:nvSpPr>
            <xdr:cNvPr id="3087" name="r_status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9525</xdr:rowOff>
        </xdr:from>
        <xdr:to>
          <xdr:col>13</xdr:col>
          <xdr:colOff>657225</xdr:colOff>
          <xdr:row>3</xdr:row>
          <xdr:rowOff>66675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3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รายงานสมุดรายวันทั่วไป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</xdr:row>
          <xdr:rowOff>104775</xdr:rowOff>
        </xdr:from>
        <xdr:to>
          <xdr:col>13</xdr:col>
          <xdr:colOff>657225</xdr:colOff>
          <xdr:row>4</xdr:row>
          <xdr:rowOff>190500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3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รายงานบัญชีแยกประเภท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19050</xdr:rowOff>
        </xdr:from>
        <xdr:to>
          <xdr:col>13</xdr:col>
          <xdr:colOff>666750</xdr:colOff>
          <xdr:row>5</xdr:row>
          <xdr:rowOff>333375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3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งบทดลองก่อนปิดบัญชี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400050</xdr:rowOff>
        </xdr:from>
        <xdr:to>
          <xdr:col>13</xdr:col>
          <xdr:colOff>666750</xdr:colOff>
          <xdr:row>7</xdr:row>
          <xdr:rowOff>19050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3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งบทดลองหลังปิดบัญชี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7</xdr:row>
          <xdr:rowOff>66675</xdr:rowOff>
        </xdr:from>
        <xdr:to>
          <xdr:col>13</xdr:col>
          <xdr:colOff>657225</xdr:colOff>
          <xdr:row>8</xdr:row>
          <xdr:rowOff>152400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กำไรขาดทุนรายหน่วยงาน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74543</xdr:colOff>
      <xdr:row>36</xdr:row>
      <xdr:rowOff>57978</xdr:rowOff>
    </xdr:from>
    <xdr:to>
      <xdr:col>1</xdr:col>
      <xdr:colOff>1755913</xdr:colOff>
      <xdr:row>39</xdr:row>
      <xdr:rowOff>149087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09869" y="8854108"/>
          <a:ext cx="1681370" cy="786849"/>
        </a:xfrm>
        <a:prstGeom prst="rect">
          <a:avLst/>
        </a:prstGeom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th-TH" sz="1000"/>
            <a:t>ผู้บันทึก/วันที่</a:t>
          </a:r>
        </a:p>
      </xdr:txBody>
    </xdr:sp>
    <xdr:clientData/>
  </xdr:twoCellAnchor>
  <xdr:twoCellAnchor>
    <xdr:from>
      <xdr:col>1</xdr:col>
      <xdr:colOff>1880153</xdr:colOff>
      <xdr:row>36</xdr:row>
      <xdr:rowOff>57978</xdr:rowOff>
    </xdr:from>
    <xdr:to>
      <xdr:col>2</xdr:col>
      <xdr:colOff>679175</xdr:colOff>
      <xdr:row>39</xdr:row>
      <xdr:rowOff>149087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915479" y="8854108"/>
          <a:ext cx="1681370" cy="786849"/>
        </a:xfrm>
        <a:prstGeom prst="rect">
          <a:avLst/>
        </a:prstGeom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th-TH" sz="1000"/>
            <a:t>ผู้ตรวจสอบ/วันที่</a:t>
          </a:r>
        </a:p>
      </xdr:txBody>
    </xdr:sp>
    <xdr:clientData/>
  </xdr:twoCellAnchor>
  <xdr:twoCellAnchor>
    <xdr:from>
      <xdr:col>2</xdr:col>
      <xdr:colOff>811695</xdr:colOff>
      <xdr:row>36</xdr:row>
      <xdr:rowOff>57978</xdr:rowOff>
    </xdr:from>
    <xdr:to>
      <xdr:col>3</xdr:col>
      <xdr:colOff>1200978</xdr:colOff>
      <xdr:row>39</xdr:row>
      <xdr:rowOff>149087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729369" y="8854108"/>
          <a:ext cx="1681370" cy="786849"/>
        </a:xfrm>
        <a:prstGeom prst="rect">
          <a:avLst/>
        </a:prstGeom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th-TH" sz="1000"/>
            <a:t>ผู้อนุมัติ/วันที่</a:t>
          </a:r>
        </a:p>
      </xdr:txBody>
    </xdr:sp>
    <xdr:clientData/>
  </xdr:twoCellAnchor>
  <xdr:twoCellAnchor editAs="oneCell">
    <xdr:from>
      <xdr:col>0</xdr:col>
      <xdr:colOff>182217</xdr:colOff>
      <xdr:row>0</xdr:row>
      <xdr:rowOff>24848</xdr:rowOff>
    </xdr:from>
    <xdr:to>
      <xdr:col>0</xdr:col>
      <xdr:colOff>795131</xdr:colOff>
      <xdr:row>2</xdr:row>
      <xdr:rowOff>7041</xdr:rowOff>
    </xdr:to>
    <xdr:pic>
      <xdr:nvPicPr>
        <xdr:cNvPr id="21" name="รูปภาพ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217" y="24848"/>
          <a:ext cx="612914" cy="6580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2</xdr:row>
          <xdr:rowOff>19050</xdr:rowOff>
        </xdr:from>
        <xdr:to>
          <xdr:col>13</xdr:col>
          <xdr:colOff>276225</xdr:colOff>
          <xdr:row>3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ไปบันทึกบัญชี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19050</xdr:rowOff>
        </xdr:from>
        <xdr:to>
          <xdr:col>11</xdr:col>
          <xdr:colOff>9525</xdr:colOff>
          <xdr:row>3</xdr:row>
          <xdr:rowOff>104775</xdr:rowOff>
        </xdr:to>
        <xdr:sp macro="" textlink="">
          <xdr:nvSpPr>
            <xdr:cNvPr id="7170" name="Label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2</xdr:row>
          <xdr:rowOff>38100</xdr:rowOff>
        </xdr:from>
        <xdr:to>
          <xdr:col>10</xdr:col>
          <xdr:colOff>600075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ไปบันทึกบัญชี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</xdr:row>
          <xdr:rowOff>38100</xdr:rowOff>
        </xdr:from>
        <xdr:to>
          <xdr:col>8</xdr:col>
          <xdr:colOff>619125</xdr:colOff>
          <xdr:row>3</xdr:row>
          <xdr:rowOff>123825</xdr:rowOff>
        </xdr:to>
        <xdr:sp macro="" textlink="">
          <xdr:nvSpPr>
            <xdr:cNvPr id="8194" name="Label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</xdr:row>
          <xdr:rowOff>9525</xdr:rowOff>
        </xdr:from>
        <xdr:to>
          <xdr:col>8</xdr:col>
          <xdr:colOff>276225</xdr:colOff>
          <xdr:row>3</xdr:row>
          <xdr:rowOff>133350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ไปบันทึกบัญชี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47625</xdr:rowOff>
        </xdr:from>
        <xdr:to>
          <xdr:col>7</xdr:col>
          <xdr:colOff>28575</xdr:colOff>
          <xdr:row>3</xdr:row>
          <xdr:rowOff>133350</xdr:rowOff>
        </xdr:to>
        <xdr:sp macro="" textlink="">
          <xdr:nvSpPr>
            <xdr:cNvPr id="12290" name="Label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1</xdr:row>
          <xdr:rowOff>28575</xdr:rowOff>
        </xdr:from>
        <xdr:to>
          <xdr:col>3</xdr:col>
          <xdr:colOff>180975</xdr:colOff>
          <xdr:row>2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ไปบันทึกบัญชี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1</xdr:row>
          <xdr:rowOff>85725</xdr:rowOff>
        </xdr:from>
        <xdr:to>
          <xdr:col>7</xdr:col>
          <xdr:colOff>0</xdr:colOff>
          <xdr:row>3</xdr:row>
          <xdr:rowOff>28575</xdr:rowOff>
        </xdr:to>
        <xdr:sp macro="" textlink="">
          <xdr:nvSpPr>
            <xdr:cNvPr id="9218" name="Label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</xdr:row>
          <xdr:rowOff>47625</xdr:rowOff>
        </xdr:from>
        <xdr:to>
          <xdr:col>8</xdr:col>
          <xdr:colOff>590550</xdr:colOff>
          <xdr:row>3</xdr:row>
          <xdr:rowOff>123825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ไปบันทึกบัญชี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247650</xdr:colOff>
          <xdr:row>3</xdr:row>
          <xdr:rowOff>133350</xdr:rowOff>
        </xdr:to>
        <xdr:sp macro="" textlink="">
          <xdr:nvSpPr>
            <xdr:cNvPr id="13315" name="Label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8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ta" refreshedDate="46029.480296064816" createdVersion="6" refreshedVersion="6" minRefreshableVersion="3" recordCount="496" xr:uid="{00000000-000A-0000-FFFF-FFFF00000000}">
  <cacheSource type="worksheet">
    <worksheetSource name="_xlnm.Database"/>
  </cacheSource>
  <cacheFields count="13">
    <cacheField name="รหัส" numFmtId="0">
      <sharedItems containsSemiMixedTypes="0" containsString="0" containsNumber="1" containsInteger="1" minValue="1" maxValue="37"/>
    </cacheField>
    <cacheField name="วันที่" numFmtId="172">
      <sharedItems containsDate="1" containsMixedTypes="1" minDate="1965-12-08T00:00:00" maxDate="2568-12-13T00:00:00" count="1417">
        <d v="2568-01-12T00:00:00"/>
        <d v="2568-02-12T00:00:00"/>
        <d v="2568-03-12T00:00:00"/>
        <d v="2568-04-12T00:00:00"/>
        <d v="2568-05-12T00:00:00"/>
        <d v="2568-06-12T00:00:00"/>
        <d v="2568-07-12T00:00:00"/>
        <d v="2568-08-12T00:00:00"/>
        <d v="2568-09-12T00:00:00"/>
        <d v="2568-10-12T00:00:00"/>
        <d v="2568-11-12T00:00:00"/>
        <d v="2568-12-12T00:00:00"/>
        <s v="13/12/2568"/>
        <s v="14/12/2568"/>
        <s v="15/12/2568"/>
        <s v="16/12/2568"/>
        <s v="17/12/2568"/>
        <s v="18/12/2568"/>
        <s v="19/12/2568"/>
        <s v="20/12/2568"/>
        <s v="21/12/2568"/>
        <s v="22/12/2568"/>
        <s v="23/12/2568"/>
        <s v="24/12/2568"/>
        <s v="25/12/2568"/>
        <s v="26/12/2568"/>
        <s v="27/12/2568"/>
        <s v="28/12/2568"/>
        <s v="29/12/2568"/>
        <s v="30/12/2568"/>
        <s v="31/12/2568"/>
        <d v="2568-04-13T00:00:00" u="1"/>
        <d v="2565-06-05T00:00:00" u="1"/>
        <d v="2567-05-09T00:00:00" u="1"/>
        <d v="2566-06-05T00:00:00" u="1"/>
        <d v="2568-05-09T00:00:00" u="1"/>
        <d v="2565-07-01T00:00:00" u="1"/>
        <d v="2567-06-05T00:00:00" u="1"/>
        <d v="2568-06-05T00:00:00" u="1"/>
        <d v="2567-07-01T00:00:00" u="1"/>
        <d v="2017-10-25T00:00:00" u="1"/>
        <d v="2018-10-25T00:00:00" u="1"/>
        <d v="2018-11-21T00:00:00" u="1"/>
        <d v="2565-01-27T00:00:00" u="1"/>
        <d v="2566-01-27T00:00:00" u="1"/>
        <d v="2018-12-17T00:00:00" u="1"/>
        <d v="2565-02-23T00:00:00" u="1"/>
        <d v="2567-01-27T00:00:00" u="1"/>
        <d v="2566-02-23T00:00:00" u="1"/>
        <d v="2568-01-27T00:00:00" u="1"/>
        <d v="2565-03-19T00:00:00" u="1"/>
        <d v="2567-02-23T00:00:00" u="1"/>
        <d v="2566-03-19T00:00:00" u="1"/>
        <d v="2568-02-23T00:00:00" u="1"/>
        <d v="2565-04-15T00:00:00" u="1"/>
        <d v="2567-03-19T00:00:00" u="1"/>
        <d v="2566-04-15T00:00:00" u="1"/>
        <d v="2568-03-19T00:00:00" u="1"/>
        <d v="2565-05-11T00:00:00" u="1"/>
        <d v="2567-04-15T00:00:00" u="1"/>
        <d v="2568-04-15T00:00:00" u="1"/>
        <d v="2565-06-07T00:00:00" u="1"/>
        <d v="2567-05-11T00:00:00" u="1"/>
        <d v="2566-06-07T00:00:00" u="1"/>
        <d v="2568-05-11T00:00:00" u="1"/>
        <d v="2565-07-03T00:00:00" u="1"/>
        <d v="2567-06-07T00:00:00" u="1"/>
        <d v="2568-06-07T00:00:00" u="1"/>
        <d v="2567-07-03T00:00:00" u="1"/>
        <d v="2017-10-27T00:00:00" u="1"/>
        <d v="2018-10-27T00:00:00" u="1"/>
        <d v="2018-11-23T00:00:00" u="1"/>
        <d v="2565-01-29T00:00:00" u="1"/>
        <d v="2566-01-29T00:00:00" u="1"/>
        <d v="2018-12-19T00:00:00" u="1"/>
        <d v="2565-02-25T00:00:00" u="1"/>
        <d v="2567-01-29T00:00:00" u="1"/>
        <d v="2566-02-25T00:00:00" u="1"/>
        <d v="2568-01-29T00:00:00" u="1"/>
        <d v="2565-03-21T00:00:00" u="1"/>
        <d v="2567-02-25T00:00:00" u="1"/>
        <d v="2566-03-21T00:00:00" u="1"/>
        <d v="2568-02-25T00:00:00" u="1"/>
        <d v="2565-04-17T00:00:00" u="1"/>
        <d v="2567-03-21T00:00:00" u="1"/>
        <d v="2566-04-17T00:00:00" u="1"/>
        <d v="2568-03-21T00:00:00" u="1"/>
        <d v="2565-05-13T00:00:00" u="1"/>
        <d v="2567-04-17T00:00:00" u="1"/>
        <d v="2568-04-17T00:00:00" u="1"/>
        <d v="2565-06-09T00:00:00" u="1"/>
        <d v="2567-05-13T00:00:00" u="1"/>
        <d v="2566-06-09T00:00:00" u="1"/>
        <d v="2568-05-13T00:00:00" u="1"/>
        <d v="2565-07-05T00:00:00" u="1"/>
        <d v="2567-06-09T00:00:00" u="1"/>
        <d v="2568-06-09T00:00:00" u="1"/>
        <d v="2565-08-01T00:00:00" u="1"/>
        <d v="2567-07-05T00:00:00" u="1"/>
        <d v="2567-08-01T00:00:00" u="1"/>
        <d v="2018-10-29T00:00:00" u="1"/>
        <d v="2565-01-31T00:00:00" u="1"/>
        <d v="2566-01-31T00:00:00" u="1"/>
        <d v="2565-02-27T00:00:00" u="1"/>
        <d v="2567-01-31T00:00:00" u="1"/>
        <d v="2566-02-27T00:00:00" u="1"/>
        <d v="2568-01-31T00:00:00" u="1"/>
        <d v="2565-03-23T00:00:00" u="1"/>
        <d v="2567-02-27T00:00:00" u="1"/>
        <d v="2566-03-23T00:00:00" u="1"/>
        <d v="2568-02-27T00:00:00" u="1"/>
        <d v="2565-04-19T00:00:00" u="1"/>
        <d v="2567-03-23T00:00:00" u="1"/>
        <d v="2566-04-19T00:00:00" u="1"/>
        <d v="2568-03-23T00:00:00" u="1"/>
        <d v="2565-05-15T00:00:00" u="1"/>
        <d v="2567-04-19T00:00:00" u="1"/>
        <d v="2568-04-19T00:00:00" u="1"/>
        <d v="2565-06-11T00:00:00" u="1"/>
        <d v="2567-05-15T00:00:00" u="1"/>
        <d v="2566-06-11T00:00:00" u="1"/>
        <d v="2568-05-15T00:00:00" u="1"/>
        <d v="2565-07-07T00:00:00" u="1"/>
        <d v="2567-06-11T00:00:00" u="1"/>
        <d v="2568-06-11T00:00:00" u="1"/>
        <d v="2565-08-03T00:00:00" u="1"/>
        <d v="2567-07-07T00:00:00" u="1"/>
        <d v="2568-07-07T00:00:00" u="1"/>
        <d v="2567-08-03T00:00:00" u="1"/>
        <d v="2017-10-31T00:00:00" u="1"/>
        <d v="2018-10-31T00:00:00" u="1"/>
        <d v="2018-11-27T00:00:00" u="1"/>
        <d v="2565-03-25T00:00:00" u="1"/>
        <d v="2566-03-25T00:00:00" u="1"/>
        <d v="2565-04-21T00:00:00" u="1"/>
        <d v="2567-03-25T00:00:00" u="1"/>
        <d v="2566-04-21T00:00:00" u="1"/>
        <d v="2568-03-25T00:00:00" u="1"/>
        <d v="2565-05-17T00:00:00" u="1"/>
        <d v="2567-04-21T00:00:00" u="1"/>
        <d v="2568-04-21T00:00:00" u="1"/>
        <d v="2565-06-13T00:00:00" u="1"/>
        <d v="2567-05-17T00:00:00" u="1"/>
        <d v="2566-06-13T00:00:00" u="1"/>
        <d v="2568-05-17T00:00:00" u="1"/>
        <d v="2565-07-09T00:00:00" u="1"/>
        <d v="2567-06-13T00:00:00" u="1"/>
        <d v="2568-06-13T00:00:00" u="1"/>
        <d v="2565-08-05T00:00:00" u="1"/>
        <d v="2567-07-09T00:00:00" u="1"/>
        <d v="2568-07-09T00:00:00" u="1"/>
        <d v="2565-09-01T00:00:00" u="1"/>
        <d v="2567-08-05T00:00:00" u="1"/>
        <d v="2566-09-01T00:00:00" u="1"/>
        <d v="2567-09-01T00:00:00" u="1"/>
        <d v="2018-11-29T00:00:00" u="1"/>
        <d v="2018-12-25T00:00:00" u="1"/>
        <d v="2565-03-27T00:00:00" u="1"/>
        <d v="2566-03-27T00:00:00" u="1"/>
        <d v="2565-04-23T00:00:00" u="1"/>
        <d v="2567-03-27T00:00:00" u="1"/>
        <d v="2566-04-23T00:00:00" u="1"/>
        <d v="2568-03-27T00:00:00" u="1"/>
        <d v="2565-05-19T00:00:00" u="1"/>
        <d v="2567-04-23T00:00:00" u="1"/>
        <d v="2568-04-23T00:00:00" u="1"/>
        <d v="2565-06-15T00:00:00" u="1"/>
        <d v="2567-05-19T00:00:00" u="1"/>
        <d v="2566-06-15T00:00:00" u="1"/>
        <d v="2568-05-19T00:00:00" u="1"/>
        <d v="2565-07-11T00:00:00" u="1"/>
        <d v="2567-06-15T00:00:00" u="1"/>
        <d v="2568-06-15T00:00:00" u="1"/>
        <d v="2565-08-07T00:00:00" u="1"/>
        <d v="2567-07-11T00:00:00" u="1"/>
        <d v="2568-07-11T00:00:00" u="1"/>
        <d v="2565-09-03T00:00:00" u="1"/>
        <d v="2567-08-07T00:00:00" u="1"/>
        <d v="2566-09-03T00:00:00" u="1"/>
        <d v="2568-08-07T00:00:00" u="1"/>
        <d v="2567-09-03T00:00:00" u="1"/>
        <d v="2018-12-27T00:00:00" u="1"/>
        <d v="2565-03-29T00:00:00" u="1"/>
        <d v="2566-03-29T00:00:00" u="1"/>
        <d v="2565-04-25T00:00:00" u="1"/>
        <d v="2567-03-29T00:00:00" u="1"/>
        <d v="2566-04-25T00:00:00" u="1"/>
        <d v="2568-03-29T00:00:00" u="1"/>
        <d v="2565-05-21T00:00:00" u="1"/>
        <d v="2567-04-25T00:00:00" u="1"/>
        <d v="2568-04-25T00:00:00" u="1"/>
        <d v="2565-06-17T00:00:00" u="1"/>
        <d v="2567-05-21T00:00:00" u="1"/>
        <d v="2566-06-17T00:00:00" u="1"/>
        <d v="2568-05-21T00:00:00" u="1"/>
        <d v="2565-07-13T00:00:00" u="1"/>
        <d v="2567-06-17T00:00:00" u="1"/>
        <d v="2568-06-17T00:00:00" u="1"/>
        <d v="2565-08-09T00:00:00" u="1"/>
        <d v="2567-07-13T00:00:00" u="1"/>
        <d v="2568-07-13T00:00:00" u="1"/>
        <d v="2565-09-05T00:00:00" u="1"/>
        <d v="2567-08-09T00:00:00" u="1"/>
        <d v="2564-10-01T00:00:00" u="1"/>
        <d v="2566-09-05T00:00:00" u="1"/>
        <d v="2568-08-09T00:00:00" u="1"/>
        <d v="2565-10-01T00:00:00" u="1"/>
        <d v="2567-09-05T00:00:00" u="1"/>
        <d v="2566-10-01T00:00:00" u="1"/>
        <d v="2567-10-01T00:00:00" u="1"/>
        <d v="2565-03-31T00:00:00" u="1"/>
        <d v="2566-03-31T00:00:00" u="1"/>
        <d v="2565-04-27T00:00:00" u="1"/>
        <d v="2567-03-31T00:00:00" u="1"/>
        <d v="2566-04-27T00:00:00" u="1"/>
        <d v="2568-03-31T00:00:00" u="1"/>
        <d v="2565-05-23T00:00:00" u="1"/>
        <d v="2567-04-27T00:00:00" u="1"/>
        <d v="2568-04-27T00:00:00" u="1"/>
        <d v="2565-06-19T00:00:00" u="1"/>
        <d v="2567-05-23T00:00:00" u="1"/>
        <d v="2566-06-19T00:00:00" u="1"/>
        <d v="2568-05-23T00:00:00" u="1"/>
        <d v="2018-01-10T00:00:00" u="1"/>
        <d v="2565-07-15T00:00:00" u="1"/>
        <d v="2567-06-19T00:00:00" u="1"/>
        <d v="2568-06-19T00:00:00" u="1"/>
        <d v="2565-08-11T00:00:00" u="1"/>
        <d v="2567-07-15T00:00:00" u="1"/>
        <d v="2565-09-07T00:00:00" u="1"/>
        <d v="2567-08-11T00:00:00" u="1"/>
        <d v="2564-10-03T00:00:00" u="1"/>
        <d v="2566-09-07T00:00:00" u="1"/>
        <d v="2568-08-11T00:00:00" u="1"/>
        <d v="2565-10-03T00:00:00" u="1"/>
        <d v="2567-09-07T00:00:00" u="1"/>
        <d v="2568-09-07T00:00:00" u="1"/>
        <d v="2567-10-03T00:00:00" u="1"/>
        <d v="2018-12-31T00:00:00" u="1"/>
        <d v="2565-04-29T00:00:00" u="1"/>
        <d v="2565-05-25T00:00:00" u="1"/>
        <d v="2567-04-29T00:00:00" u="1"/>
        <d v="2568-04-29T00:00:00" u="1"/>
        <d v="2565-06-21T00:00:00" u="1"/>
        <d v="2567-05-25T00:00:00" u="1"/>
        <d v="2566-06-21T00:00:00" u="1"/>
        <d v="2568-05-25T00:00:00" u="1"/>
        <d v="2018-01-12T00:00:00" u="1"/>
        <d v="2565-07-17T00:00:00" u="1"/>
        <d v="2567-06-21T00:00:00" u="1"/>
        <d v="2568-06-21T00:00:00" u="1"/>
        <d v="2565-08-13T00:00:00" u="1"/>
        <d v="2567-07-17T00:00:00" u="1"/>
        <d v="2565-09-09T00:00:00" u="1"/>
        <d v="2567-08-13T00:00:00" u="1"/>
        <d v="2564-10-05T00:00:00" u="1"/>
        <d v="2566-09-09T00:00:00" u="1"/>
        <d v="2565-10-05T00:00:00" u="1"/>
        <d v="2567-09-09T00:00:00" u="1"/>
        <d v="2564-11-01T00:00:00" u="1"/>
        <d v="2566-10-05T00:00:00" u="1"/>
        <d v="2568-09-09T00:00:00" u="1"/>
        <d v="2565-11-01T00:00:00" u="1"/>
        <d v="2567-10-05T00:00:00" u="1"/>
        <d v="2566-11-01T00:00:00" u="1"/>
        <d v="2567-11-01T00:00:00" u="1"/>
        <d v="2565-05-27T00:00:00" u="1"/>
        <d v="2565-06-23T00:00:00" u="1"/>
        <d v="2567-05-27T00:00:00" u="1"/>
        <d v="2566-06-23T00:00:00" u="1"/>
        <d v="2568-05-27T00:00:00" u="1"/>
        <d v="2565-07-19T00:00:00" u="1"/>
        <d v="2567-06-23T00:00:00" u="1"/>
        <d v="2019-01-14T00:00:00" u="1"/>
        <d v="2568-06-23T00:00:00" u="1"/>
        <d v="2565-08-15T00:00:00" u="1"/>
        <d v="2567-07-19T00:00:00" u="1"/>
        <d v="2019-02-10T00:00:00" u="1"/>
        <d v="2565-09-11T00:00:00" u="1"/>
        <d v="2567-08-15T00:00:00" u="1"/>
        <d v="2564-10-07T00:00:00" u="1"/>
        <d v="2566-09-11T00:00:00" u="1"/>
        <d v="2565-10-07T00:00:00" u="1"/>
        <d v="2567-09-11T00:00:00" u="1"/>
        <d v="2564-11-03T00:00:00" u="1"/>
        <d v="2566-10-07T00:00:00" u="1"/>
        <d v="2568-09-11T00:00:00" u="1"/>
        <d v="2565-11-03T00:00:00" u="1"/>
        <d v="2567-10-07T00:00:00" u="1"/>
        <d v="2566-11-03T00:00:00" u="1"/>
        <d v="2568-10-07T00:00:00" u="1"/>
        <d v="2567-11-03T00:00:00" u="1"/>
        <d v="2565-05-29T00:00:00" u="1"/>
        <d v="2565-06-25T00:00:00" u="1"/>
        <d v="2567-05-29T00:00:00" u="1"/>
        <d v="2566-06-25T00:00:00" u="1"/>
        <d v="2568-05-29T00:00:00" u="1"/>
        <d v="2565-07-21T00:00:00" u="1"/>
        <d v="2567-06-25T00:00:00" u="1"/>
        <d v="2019-01-16T00:00:00" u="1"/>
        <d v="2568-06-25T00:00:00" u="1"/>
        <d v="2565-08-17T00:00:00" u="1"/>
        <d v="2567-07-21T00:00:00" u="1"/>
        <d v="2565-09-13T00:00:00" u="1"/>
        <d v="2567-08-17T00:00:00" u="1"/>
        <d v="2564-10-09T00:00:00" u="1"/>
        <d v="2566-09-13T00:00:00" u="1"/>
        <d v="2565-10-09T00:00:00" u="1"/>
        <d v="2567-09-13T00:00:00" u="1"/>
        <d v="2564-11-05T00:00:00" u="1"/>
        <d v="2566-10-09T00:00:00" u="1"/>
        <d v="2565-11-05T00:00:00" u="1"/>
        <d v="2567-10-09T00:00:00" u="1"/>
        <d v="2564-12-01T00:00:00" u="1"/>
        <d v="2566-11-05T00:00:00" u="1"/>
        <d v="2568-10-09T00:00:00" u="1"/>
        <d v="2565-12-01T00:00:00" u="1"/>
        <d v="2567-11-05T00:00:00" u="1"/>
        <d v="2566-12-01T00:00:00" u="1"/>
        <d v="2567-12-01T00:00:00" u="1"/>
        <d v="2565-05-31T00:00:00" u="1"/>
        <d v="2567-05-31T00:00:00" u="1"/>
        <d v="2566-06-27T00:00:00" u="1"/>
        <d v="2568-05-31T00:00:00" u="1"/>
        <d v="2565-07-23T00:00:00" u="1"/>
        <d v="2567-06-27T00:00:00" u="1"/>
        <d v="2019-01-18T00:00:00" u="1"/>
        <d v="2568-06-27T00:00:00" u="1"/>
        <d v="2565-08-19T00:00:00" u="1"/>
        <d v="2567-07-23T00:00:00" u="1"/>
        <d v="2565-09-15T00:00:00" u="1"/>
        <d v="2567-08-19T00:00:00" u="1"/>
        <d v="2566-09-15T00:00:00" u="1"/>
        <d v="2565-10-11T00:00:00" u="1"/>
        <d v="2567-09-15T00:00:00" u="1"/>
        <d v="2564-11-07T00:00:00" u="1"/>
        <d v="2566-10-11T00:00:00" u="1"/>
        <d v="2565-11-07T00:00:00" u="1"/>
        <d v="2567-10-11T00:00:00" u="1"/>
        <d v="2564-12-03T00:00:00" u="1"/>
        <d v="2566-11-07T00:00:00" u="1"/>
        <d v="2568-10-11T00:00:00" u="1"/>
        <d v="2565-12-03T00:00:00" u="1"/>
        <d v="2567-11-07T00:00:00" u="1"/>
        <d v="2566-12-03T00:00:00" u="1"/>
        <d v="2568-11-07T00:00:00" u="1"/>
        <d v="2567-12-03T00:00:00" u="1"/>
        <d v="2565-06-29T00:00:00" u="1"/>
        <d v="2566-06-29T00:00:00" u="1"/>
        <d v="2565-07-25T00:00:00" u="1"/>
        <d v="2567-06-29T00:00:00" u="1"/>
        <d v="2568-06-29T00:00:00" u="1"/>
        <d v="2565-08-21T00:00:00" u="1"/>
        <d v="2567-07-25T00:00:00" u="1"/>
        <d v="2018-03-12T00:00:00" u="1"/>
        <d v="2565-09-17T00:00:00" u="1"/>
        <d v="2567-08-21T00:00:00" u="1"/>
        <d v="2564-10-13T00:00:00" u="1"/>
        <d v="2566-09-17T00:00:00" u="1"/>
        <d v="2565-10-13T00:00:00" u="1"/>
        <d v="2567-09-17T00:00:00" u="1"/>
        <d v="2564-11-09T00:00:00" u="1"/>
        <d v="2566-10-13T00:00:00" u="1"/>
        <d v="2565-11-09T00:00:00" u="1"/>
        <d v="2567-10-13T00:00:00" u="1"/>
        <d v="2566-11-09T00:00:00" u="1"/>
        <d v="2567-11-09T00:00:00" u="1"/>
        <d v="2566-12-05T00:00:00" u="1"/>
        <d v="2568-11-09T00:00:00" u="1"/>
        <d v="2567-12-05T00:00:00" u="1"/>
        <d v="2565-07-27T00:00:00" u="1"/>
        <d v="2565-08-23T00:00:00" u="1"/>
        <d v="2567-07-27T00:00:00" u="1"/>
        <d v="2019-02-18T00:00:00" u="1"/>
        <d v="2565-09-19T00:00:00" u="1"/>
        <d v="2567-08-23T00:00:00" u="1"/>
        <d v="2564-10-15T00:00:00" u="1"/>
        <d v="2566-09-19T00:00:00" u="1"/>
        <d v="2018-04-10T00:00:00" u="1"/>
        <d v="2565-10-15T00:00:00" u="1"/>
        <d v="2567-09-19T00:00:00" u="1"/>
        <d v="2564-11-11T00:00:00" u="1"/>
        <d v="2566-10-15T00:00:00" u="1"/>
        <d v="2565-11-11T00:00:00" u="1"/>
        <d v="2567-10-15T00:00:00" u="1"/>
        <d v="2564-12-07T00:00:00" u="1"/>
        <d v="2566-11-11T00:00:00" u="1"/>
        <d v="2565-12-07T00:00:00" u="1"/>
        <d v="2567-11-11T00:00:00" u="1"/>
        <d v="2566-12-07T00:00:00" u="1"/>
        <d v="2568-11-11T00:00:00" u="1"/>
        <d v="2567-12-07T00:00:00" u="1"/>
        <d v="2568-12-07T00:00:00" u="1"/>
        <d v="2565-07-29T00:00:00" u="1"/>
        <d v="2565-08-25T00:00:00" u="1"/>
        <d v="2567-07-29T00:00:00" u="1"/>
        <d v="2019-02-20T00:00:00" u="1"/>
        <d v="2565-09-21T00:00:00" u="1"/>
        <d v="2567-08-25T00:00:00" u="1"/>
        <d v="2564-10-17T00:00:00" u="1"/>
        <d v="2566-09-21T00:00:00" u="1"/>
        <d v="2018-04-12T00:00:00" u="1"/>
        <d v="2565-10-17T00:00:00" u="1"/>
        <d v="2567-09-21T00:00:00" u="1"/>
        <d v="2564-11-13T00:00:00" u="1"/>
        <d v="2566-10-17T00:00:00" u="1"/>
        <d v="2565-11-13T00:00:00" u="1"/>
        <d v="2567-10-17T00:00:00" u="1"/>
        <d v="2564-12-09T00:00:00" u="1"/>
        <d v="2566-11-13T00:00:00" u="1"/>
        <d v="2565-12-09T00:00:00" u="1"/>
        <d v="2567-11-13T00:00:00" u="1"/>
        <d v="2566-12-09T00:00:00" u="1"/>
        <d v="2567-12-09T00:00:00" u="1"/>
        <d v="2568-12-09T00:00:00" u="1"/>
        <d v="2565-07-31T00:00:00" u="1"/>
        <d v="2565-08-27T00:00:00" u="1"/>
        <d v="2567-07-31T00:00:00" u="1"/>
        <d v="2565-09-23T00:00:00" u="1"/>
        <d v="2567-08-27T00:00:00" u="1"/>
        <d v="2564-10-19T00:00:00" u="1"/>
        <d v="2566-09-23T00:00:00" u="1"/>
        <d v="2565-10-19T00:00:00" u="1"/>
        <d v="2567-09-23T00:00:00" u="1"/>
        <d v="2564-11-15T00:00:00" u="1"/>
        <d v="2566-10-19T00:00:00" u="1"/>
        <d v="2565-11-15T00:00:00" u="1"/>
        <d v="2567-10-19T00:00:00" u="1"/>
        <d v="2564-12-11T00:00:00" u="1"/>
        <d v="2566-11-15T00:00:00" u="1"/>
        <d v="2565-12-11T00:00:00" u="1"/>
        <d v="2567-11-15T00:00:00" u="1"/>
        <d v="2566-12-11T00:00:00" u="1"/>
        <d v="2567-12-11T00:00:00" u="1"/>
        <d v="2568-12-11T00:00:00" u="1"/>
        <d v="2565-08-29T00:00:00" u="1"/>
        <d v="2567-08-29T00:00:00" u="1"/>
        <d v="2564-10-21T00:00:00" u="1"/>
        <d v="2566-09-25T00:00:00" u="1"/>
        <d v="2565-10-21T00:00:00" u="1"/>
        <d v="2567-09-25T00:00:00" u="1"/>
        <d v="2564-11-17T00:00:00" u="1"/>
        <d v="2566-10-21T00:00:00" u="1"/>
        <d v="2018-05-12T00:00:00" u="1"/>
        <d v="2565-11-17T00:00:00" u="1"/>
        <d v="2567-10-21T00:00:00" u="1"/>
        <d v="2564-12-13T00:00:00" u="1"/>
        <d v="2566-11-17T00:00:00" u="1"/>
        <d v="2565-12-13T00:00:00" u="1"/>
        <d v="2567-11-17T00:00:00" u="1"/>
        <d v="2566-12-13T00:00:00" u="1"/>
        <d v="2567-12-13T00:00:00" u="1"/>
        <d v="2565-08-31T00:00:00" u="1"/>
        <d v="2565-09-27T00:00:00" u="1"/>
        <d v="2567-08-31T00:00:00" u="1"/>
        <d v="2564-10-23T00:00:00" u="1"/>
        <d v="2566-09-27T00:00:00" u="1"/>
        <d v="2565-10-23T00:00:00" u="1"/>
        <d v="2567-09-27T00:00:00" u="1"/>
        <d v="2564-11-19T00:00:00" u="1"/>
        <d v="2566-10-23T00:00:00" u="1"/>
        <d v="2565-11-19T00:00:00" u="1"/>
        <d v="2567-10-23T00:00:00" u="1"/>
        <d v="2564-12-15T00:00:00" u="1"/>
        <d v="2566-11-19T00:00:00" u="1"/>
        <d v="2565-12-15T00:00:00" u="1"/>
        <d v="2567-11-19T00:00:00" u="1"/>
        <d v="2566-12-15T00:00:00" u="1"/>
        <d v="2567-12-15T00:00:00" u="1"/>
        <d v="2565-09-29T00:00:00" u="1"/>
        <d v="2564-10-25T00:00:00" u="1"/>
        <d v="2566-09-29T00:00:00" u="1"/>
        <d v="2565-10-25T00:00:00" u="1"/>
        <d v="2567-09-29T00:00:00" u="1"/>
        <d v="2564-11-21T00:00:00" u="1"/>
        <d v="2566-10-25T00:00:00" u="1"/>
        <d v="2565-11-21T00:00:00" u="1"/>
        <d v="2567-10-25T00:00:00" u="1"/>
        <d v="2564-12-17T00:00:00" u="1"/>
        <d v="2566-11-21T00:00:00" u="1"/>
        <d v="2018-06-12T00:00:00" u="1"/>
        <d v="2565-12-17T00:00:00" u="1"/>
        <d v="2567-11-21T00:00:00" u="1"/>
        <d v="2566-12-17T00:00:00" u="1"/>
        <d v="2567-12-17T00:00:00" u="1"/>
        <d v="2023-06-12T00:00:00" u="1"/>
        <d v="2564-10-27T00:00:00" u="1"/>
        <d v="2565-10-27T00:00:00" u="1"/>
        <d v="2564-11-23T00:00:00" u="1"/>
        <d v="2566-10-27T00:00:00" u="1"/>
        <d v="2565-11-23T00:00:00" u="1"/>
        <d v="2567-10-27T00:00:00" u="1"/>
        <d v="2564-12-19T00:00:00" u="1"/>
        <d v="2566-11-23T00:00:00" u="1"/>
        <d v="2565-12-19T00:00:00" u="1"/>
        <d v="2567-11-23T00:00:00" u="1"/>
        <d v="2566-12-19T00:00:00" u="1"/>
        <d v="2567-12-19T00:00:00" u="1"/>
        <d v="2017-09-02T00:00:00" u="1"/>
        <d v="2564-10-29T00:00:00" u="1"/>
        <d v="2565-10-29T00:00:00" u="1"/>
        <d v="2564-11-25T00:00:00" u="1"/>
        <d v="2566-10-29T00:00:00" u="1"/>
        <d v="2565-11-25T00:00:00" u="1"/>
        <d v="2567-10-29T00:00:00" u="1"/>
        <d v="2564-12-21T00:00:00" u="1"/>
        <d v="2566-11-25T00:00:00" u="1"/>
        <d v="2565-12-21T00:00:00" u="1"/>
        <d v="2567-11-25T00:00:00" u="1"/>
        <d v="2566-12-21T00:00:00" u="1"/>
        <d v="2018-07-12T00:00:00" u="1"/>
        <d v="2567-12-21T00:00:00" u="1"/>
        <d v="2017-09-04T00:00:00" u="1"/>
        <d v="2565-01-02T00:00:00" u="1"/>
        <d v="2566-01-02T00:00:00" u="1"/>
        <d v="2567-01-02T00:00:00" u="1"/>
        <d v="2568-01-02T00:00:00" u="1"/>
        <d v="2564-10-31T00:00:00" u="1"/>
        <d v="2565-10-31T00:00:00" u="1"/>
        <d v="2564-11-27T00:00:00" u="1"/>
        <d v="2566-10-31T00:00:00" u="1"/>
        <d v="2565-11-27T00:00:00" u="1"/>
        <d v="2567-10-31T00:00:00" u="1"/>
        <d v="2564-12-23T00:00:00" u="1"/>
        <d v="2566-11-27T00:00:00" u="1"/>
        <d v="2565-12-23T00:00:00" u="1"/>
        <d v="2567-11-27T00:00:00" u="1"/>
        <d v="2566-12-23T00:00:00" u="1"/>
        <d v="2017-09-06T00:00:00" u="1"/>
        <d v="2017-10-02T00:00:00" u="1"/>
        <d v="2565-01-04T00:00:00" u="1"/>
        <d v="2566-01-04T00:00:00" u="1"/>
        <d v="2567-01-04T00:00:00" u="1"/>
        <d v="2568-01-04T00:00:00" u="1"/>
        <d v="2564-11-29T00:00:00" u="1"/>
        <d v="2565-11-29T00:00:00" u="1"/>
        <d v="2564-12-25T00:00:00" u="1"/>
        <d v="2566-11-29T00:00:00" u="1"/>
        <d v="2565-12-25T00:00:00" u="1"/>
        <d v="2567-11-29T00:00:00" u="1"/>
        <d v="2566-12-25T00:00:00" u="1"/>
        <d v="2567-12-25T00:00:00" u="1"/>
        <d v="2017-09-08T00:00:00" u="1"/>
        <d v="2565-01-06T00:00:00" u="1"/>
        <d v="2565-02-02T00:00:00" u="1"/>
        <d v="2567-01-06T00:00:00" u="1"/>
        <d v="2566-02-02T00:00:00" u="1"/>
        <d v="2568-01-06T00:00:00" u="1"/>
        <d v="2567-02-02T00:00:00" u="1"/>
        <d v="2568-02-02T00:00:00" u="1"/>
        <d v="2564-12-27T00:00:00" u="1"/>
        <d v="2565-12-27T00:00:00" u="1"/>
        <d v="2566-12-27T00:00:00" u="1"/>
        <d v="2567-12-27T00:00:00" u="1"/>
        <d v="2017-09-10T00:00:00" u="1"/>
        <d v="2565-01-08T00:00:00" u="1"/>
        <d v="2566-01-08T00:00:00" u="1"/>
        <d v="2565-02-04T00:00:00" u="1"/>
        <d v="2567-01-08T00:00:00" u="1"/>
        <d v="2566-02-04T00:00:00" u="1"/>
        <d v="2568-01-08T00:00:00" u="1"/>
        <d v="2567-02-04T00:00:00" u="1"/>
        <d v="2568-02-04T00:00:00" u="1"/>
        <d v="2564-12-29T00:00:00" u="1"/>
        <d v="2565-12-29T00:00:00" u="1"/>
        <d v="2566-12-29T00:00:00" u="1"/>
        <d v="2567-12-29T00:00:00" u="1"/>
        <d v="2017-09-12T00:00:00" u="1"/>
        <d v="2566-01-10T00:00:00" u="1"/>
        <d v="2565-02-06T00:00:00" u="1"/>
        <d v="2567-01-10T00:00:00" u="1"/>
        <d v="2566-02-06T00:00:00" u="1"/>
        <d v="2568-01-10T00:00:00" u="1"/>
        <d v="2565-03-02T00:00:00" u="1"/>
        <d v="2567-02-06T00:00:00" u="1"/>
        <d v="2566-03-02T00:00:00" u="1"/>
        <d v="2568-02-06T00:00:00" u="1"/>
        <d v="2567-03-02T00:00:00" u="1"/>
        <d v="2568-03-02T00:00:00" u="1"/>
        <d v="2564-12-31T00:00:00" u="1"/>
        <d v="2565-12-31T00:00:00" u="1"/>
        <d v="2566-12-31T00:00:00" u="1"/>
        <d v="2567-12-31T00:00:00" u="1"/>
        <d v="2017-09-14T00:00:00" u="1"/>
        <d v="2017-10-10T00:00:00" u="1"/>
        <d v="2565-01-12T00:00:00" u="1"/>
        <d v="2566-01-12T00:00:00" u="1"/>
        <d v="2565-02-08T00:00:00" u="1"/>
        <d v="2567-01-12T00:00:00" u="1"/>
        <d v="2023-10-10T00:00:00" u="1"/>
        <d v="2566-02-08T00:00:00" u="1"/>
        <d v="2565-03-04T00:00:00" u="1"/>
        <d v="2567-02-08T00:00:00" u="1"/>
        <d v="2566-03-04T00:00:00" u="1"/>
        <d v="2568-02-08T00:00:00" u="1"/>
        <d v="2567-03-04T00:00:00" u="1"/>
        <d v="2568-03-04T00:00:00" u="1"/>
        <d v="2017-09-16T00:00:00" u="1"/>
        <d v="2018-10-12T00:00:00" u="1"/>
        <d v="2565-01-14T00:00:00" u="1"/>
        <d v="2566-01-14T00:00:00" u="1"/>
        <d v="2565-02-10T00:00:00" u="1"/>
        <d v="2567-01-14T00:00:00" u="1"/>
        <d v="2566-02-10T00:00:00" u="1"/>
        <d v="2568-01-14T00:00:00" u="1"/>
        <d v="2565-03-06T00:00:00" u="1"/>
        <d v="2567-02-10T00:00:00" u="1"/>
        <d v="2566-03-06T00:00:00" u="1"/>
        <d v="2568-02-10T00:00:00" u="1"/>
        <d v="2565-04-02T00:00:00" u="1"/>
        <d v="2567-03-06T00:00:00" u="1"/>
        <d v="2566-04-02T00:00:00" u="1"/>
        <d v="2568-03-06T00:00:00" u="1"/>
        <d v="2567-04-02T00:00:00" u="1"/>
        <d v="2568-04-02T00:00:00" u="1"/>
        <d v="1965-12-08T00:00:00" u="1"/>
        <d v="2017-09-18T00:00:00" u="1"/>
        <d v="2565-01-16T00:00:00" u="1"/>
        <d v="2566-01-16T00:00:00" u="1"/>
        <d v="2565-02-12T00:00:00" u="1"/>
        <d v="2567-01-16T00:00:00" u="1"/>
        <d v="2566-02-12T00:00:00" u="1"/>
        <d v="2568-01-16T00:00:00" u="1"/>
        <d v="2565-03-08T00:00:00" u="1"/>
        <d v="2567-02-12T00:00:00" u="1"/>
        <d v="2566-03-08T00:00:00" u="1"/>
        <d v="2565-04-04T00:00:00" u="1"/>
        <d v="2567-03-08T00:00:00" u="1"/>
        <d v="2566-04-04T00:00:00" u="1"/>
        <d v="2568-03-08T00:00:00" u="1"/>
        <d v="2567-04-04T00:00:00" u="1"/>
        <d v="2568-04-04T00:00:00" u="1"/>
        <d v="2017-09-20T00:00:00" u="1"/>
        <d v="2017-10-16T00:00:00" u="1"/>
        <d v="2018-10-16T00:00:00" u="1"/>
        <d v="2018-11-12T00:00:00" u="1"/>
        <d v="2565-01-18T00:00:00" u="1"/>
        <d v="2566-01-18T00:00:00" u="1"/>
        <d v="2565-02-14T00:00:00" u="1"/>
        <d v="2567-01-18T00:00:00" u="1"/>
        <d v="2566-02-14T00:00:00" u="1"/>
        <d v="2568-01-18T00:00:00" u="1"/>
        <d v="2565-03-10T00:00:00" u="1"/>
        <d v="2567-02-14T00:00:00" u="1"/>
        <d v="2566-03-10T00:00:00" u="1"/>
        <d v="2568-02-14T00:00:00" u="1"/>
        <d v="2565-04-06T00:00:00" u="1"/>
        <d v="2567-03-10T00:00:00" u="1"/>
        <d v="2566-04-06T00:00:00" u="1"/>
        <d v="2568-03-10T00:00:00" u="1"/>
        <d v="2565-05-02T00:00:00" u="1"/>
        <d v="2567-04-06T00:00:00" u="1"/>
        <d v="2568-04-06T00:00:00" u="1"/>
        <d v="2567-05-02T00:00:00" u="1"/>
        <d v="2568-05-02T00:00:00" u="1"/>
        <d v="2017-09-22T00:00:00" u="1"/>
        <d v="2018-11-14T00:00:00" u="1"/>
        <d v="2565-01-20T00:00:00" u="1"/>
        <d v="2566-01-20T00:00:00" u="1"/>
        <d v="2565-02-16T00:00:00" u="1"/>
        <d v="2567-01-20T00:00:00" u="1"/>
        <d v="2566-02-16T00:00:00" u="1"/>
        <d v="2568-01-20T00:00:00" u="1"/>
        <d v="2565-03-12T00:00:00" u="1"/>
        <d v="2567-02-16T00:00:00" u="1"/>
        <d v="2566-03-12T00:00:00" u="1"/>
        <d v="2568-02-16T00:00:00" u="1"/>
        <d v="2565-04-08T00:00:00" u="1"/>
        <d v="2567-03-12T00:00:00" u="1"/>
        <d v="2566-04-08T00:00:00" u="1"/>
        <d v="2565-05-04T00:00:00" u="1"/>
        <d v="2567-04-08T00:00:00" u="1"/>
        <d v="2568-04-08T00:00:00" u="1"/>
        <d v="2567-05-04T00:00:00" u="1"/>
        <d v="2568-05-04T00:00:00" u="1"/>
        <d v="2565-01-22T00:00:00" u="1"/>
        <d v="2566-01-22T00:00:00" u="1"/>
        <d v="2018-12-12T00:00:00" u="1"/>
        <d v="2565-02-18T00:00:00" u="1"/>
        <d v="2567-01-22T00:00:00" u="1"/>
        <d v="2566-02-18T00:00:00" u="1"/>
        <d v="2568-01-22T00:00:00" u="1"/>
        <d v="2565-03-14T00:00:00" u="1"/>
        <d v="2567-02-18T00:00:00" u="1"/>
        <d v="2566-03-14T00:00:00" u="1"/>
        <d v="2568-02-18T00:00:00" u="1"/>
        <d v="2565-04-10T00:00:00" u="1"/>
        <d v="2567-03-14T00:00:00" u="1"/>
        <d v="2566-04-10T00:00:00" u="1"/>
        <d v="2568-03-14T00:00:00" u="1"/>
        <d v="2565-05-06T00:00:00" u="1"/>
        <d v="2567-04-10T00:00:00" u="1"/>
        <d v="2568-04-10T00:00:00" u="1"/>
        <d v="2565-06-02T00:00:00" u="1"/>
        <d v="2567-05-06T00:00:00" u="1"/>
        <d v="2566-06-02T00:00:00" u="1"/>
        <d v="2568-05-06T00:00:00" u="1"/>
        <d v="2567-06-02T00:00:00" u="1"/>
        <d v="2568-06-02T00:00:00" u="1"/>
        <d v="2565-01-24T00:00:00" u="1"/>
        <d v="2566-01-24T00:00:00" u="1"/>
        <d v="2565-02-20T00:00:00" u="1"/>
        <d v="2567-01-24T00:00:00" u="1"/>
        <d v="2566-02-20T00:00:00" u="1"/>
        <d v="2568-01-24T00:00:00" u="1"/>
        <d v="2565-03-16T00:00:00" u="1"/>
        <d v="2567-02-20T00:00:00" u="1"/>
        <d v="2566-03-16T00:00:00" u="1"/>
        <d v="2568-02-20T00:00:00" u="1"/>
        <d v="2565-04-12T00:00:00" u="1"/>
        <d v="2567-03-16T00:00:00" u="1"/>
        <d v="2566-04-12T00:00:00" u="1"/>
        <d v="2568-03-16T00:00:00" u="1"/>
        <d v="2565-05-08T00:00:00" u="1"/>
        <d v="2567-04-12T00:00:00" u="1"/>
        <d v="2565-06-04T00:00:00" u="1"/>
        <d v="2567-05-08T00:00:00" u="1"/>
        <d v="2566-06-04T00:00:00" u="1"/>
        <d v="2568-05-08T00:00:00" u="1"/>
        <d v="2567-06-04T00:00:00" u="1"/>
        <d v="2568-06-04T00:00:00" u="1"/>
        <d v="2017-09-28T00:00:00" u="1"/>
        <d v="2017-10-24T00:00:00" u="1"/>
        <d v="2565-01-26T00:00:00" u="1"/>
        <d v="2566-01-26T00:00:00" u="1"/>
        <d v="2565-02-22T00:00:00" u="1"/>
        <d v="2567-01-26T00:00:00" u="1"/>
        <d v="2566-02-22T00:00:00" u="1"/>
        <d v="2568-01-26T00:00:00" u="1"/>
        <d v="2565-03-18T00:00:00" u="1"/>
        <d v="2567-02-22T00:00:00" u="1"/>
        <d v="2566-03-18T00:00:00" u="1"/>
        <d v="2568-02-22T00:00:00" u="1"/>
        <d v="2565-04-14T00:00:00" u="1"/>
        <d v="2567-03-18T00:00:00" u="1"/>
        <d v="2566-04-14T00:00:00" u="1"/>
        <d v="2568-03-18T00:00:00" u="1"/>
        <d v="2565-05-10T00:00:00" u="1"/>
        <d v="2567-04-14T00:00:00" u="1"/>
        <d v="2568-04-14T00:00:00" u="1"/>
        <d v="2565-06-06T00:00:00" u="1"/>
        <d v="2567-05-10T00:00:00" u="1"/>
        <d v="2566-06-06T00:00:00" u="1"/>
        <d v="2568-05-10T00:00:00" u="1"/>
        <d v="2565-07-02T00:00:00" u="1"/>
        <d v="2567-06-06T00:00:00" u="1"/>
        <d v="2568-06-06T00:00:00" u="1"/>
        <d v="2567-07-02T00:00:00" u="1"/>
        <d v="2018-11-22T00:00:00" u="1"/>
        <d v="2565-01-28T00:00:00" u="1"/>
        <d v="2566-01-28T00:00:00" u="1"/>
        <d v="2565-02-24T00:00:00" u="1"/>
        <d v="2567-01-28T00:00:00" u="1"/>
        <d v="2566-02-24T00:00:00" u="1"/>
        <d v="2568-01-28T00:00:00" u="1"/>
        <d v="2565-03-20T00:00:00" u="1"/>
        <d v="2567-02-24T00:00:00" u="1"/>
        <d v="2566-03-20T00:00:00" u="1"/>
        <d v="2568-02-24T00:00:00" u="1"/>
        <d v="2565-04-16T00:00:00" u="1"/>
        <d v="2567-03-20T00:00:00" u="1"/>
        <d v="2566-04-16T00:00:00" u="1"/>
        <d v="2568-03-20T00:00:00" u="1"/>
        <d v="2565-05-12T00:00:00" u="1"/>
        <d v="2567-04-16T00:00:00" u="1"/>
        <d v="2568-04-16T00:00:00" u="1"/>
        <d v="2565-06-08T00:00:00" u="1"/>
        <d v="2567-05-12T00:00:00" u="1"/>
        <d v="2566-06-08T00:00:00" u="1"/>
        <d v="2565-07-04T00:00:00" u="1"/>
        <d v="2567-06-08T00:00:00" u="1"/>
        <d v="2568-06-08T00:00:00" u="1"/>
        <d v="2567-07-04T00:00:00" u="1"/>
        <d v="2018-11-24T00:00:00" u="1"/>
        <d v="2565-01-30T00:00:00" u="1"/>
        <d v="2566-01-30T00:00:00" u="1"/>
        <d v="2018-12-20T00:00:00" u="1"/>
        <d v="2565-02-26T00:00:00" u="1"/>
        <d v="2567-01-30T00:00:00" u="1"/>
        <d v="2566-02-26T00:00:00" u="1"/>
        <d v="2568-01-30T00:00:00" u="1"/>
        <d v="2565-03-22T00:00:00" u="1"/>
        <d v="2567-02-26T00:00:00" u="1"/>
        <d v="2566-03-22T00:00:00" u="1"/>
        <d v="2568-02-26T00:00:00" u="1"/>
        <d v="2565-04-18T00:00:00" u="1"/>
        <d v="2567-03-22T00:00:00" u="1"/>
        <d v="2566-04-18T00:00:00" u="1"/>
        <d v="2568-03-22T00:00:00" u="1"/>
        <d v="2565-05-14T00:00:00" u="1"/>
        <d v="2567-04-18T00:00:00" u="1"/>
        <d v="2568-04-18T00:00:00" u="1"/>
        <d v="2565-06-10T00:00:00" u="1"/>
        <d v="2567-05-14T00:00:00" u="1"/>
        <d v="2566-06-10T00:00:00" u="1"/>
        <d v="2568-05-14T00:00:00" u="1"/>
        <d v="2565-07-06T00:00:00" u="1"/>
        <d v="2567-06-10T00:00:00" u="1"/>
        <d v="2568-06-10T00:00:00" u="1"/>
        <d v="2565-08-02T00:00:00" u="1"/>
        <d v="2567-07-06T00:00:00" u="1"/>
        <d v="2567-08-02T00:00:00" u="1"/>
        <d v="2017-10-30T00:00:00" u="1"/>
        <d v="2018-10-30T00:00:00" u="1"/>
        <d v="2018-11-26T00:00:00" u="1"/>
        <d v="2018-12-22T00:00:00" u="1"/>
        <d v="2565-02-28T00:00:00" u="1"/>
        <d v="2566-02-28T00:00:00" u="1"/>
        <d v="2565-03-24T00:00:00" u="1"/>
        <d v="2567-02-28T00:00:00" u="1"/>
        <d v="2566-03-24T00:00:00" u="1"/>
        <d v="2568-02-28T00:00:00" u="1"/>
        <d v="2024-11-26T00:00:00" u="1"/>
        <d v="2565-04-20T00:00:00" u="1"/>
        <d v="2567-03-24T00:00:00" u="1"/>
        <d v="2566-04-20T00:00:00" u="1"/>
        <d v="2568-03-24T00:00:00" u="1"/>
        <d v="2565-05-16T00:00:00" u="1"/>
        <d v="2567-04-20T00:00:00" u="1"/>
        <d v="2568-04-20T00:00:00" u="1"/>
        <d v="2565-06-12T00:00:00" u="1"/>
        <d v="2567-05-16T00:00:00" u="1"/>
        <d v="2566-06-12T00:00:00" u="1"/>
        <d v="2568-05-16T00:00:00" u="1"/>
        <d v="2565-07-08T00:00:00" u="1"/>
        <d v="2567-06-12T00:00:00" u="1"/>
        <d v="2565-08-04T00:00:00" u="1"/>
        <d v="2567-07-08T00:00:00" u="1"/>
        <d v="2568-07-08T00:00:00" u="1"/>
        <d v="2567-08-04T00:00:00" u="1"/>
        <d v="2018-11-28T00:00:00" u="1"/>
        <d v="2018-12-24T00:00:00" u="1"/>
        <d v="2565-03-26T00:00:00" u="1"/>
        <d v="2566-03-26T00:00:00" u="1"/>
        <d v="2565-04-22T00:00:00" u="1"/>
        <d v="2567-03-26T00:00:00" u="1"/>
        <d v="2566-04-22T00:00:00" u="1"/>
        <d v="2568-03-26T00:00:00" u="1"/>
        <d v="2565-05-18T00:00:00" u="1"/>
        <d v="2567-04-22T00:00:00" u="1"/>
        <d v="2568-04-22T00:00:00" u="1"/>
        <d v="2565-06-14T00:00:00" u="1"/>
        <d v="2567-05-18T00:00:00" u="1"/>
        <d v="2566-06-14T00:00:00" u="1"/>
        <d v="2568-05-18T00:00:00" u="1"/>
        <d v="2565-07-10T00:00:00" u="1"/>
        <d v="2567-06-14T00:00:00" u="1"/>
        <d v="2568-06-14T00:00:00" u="1"/>
        <d v="2567-07-10T00:00:00" u="1"/>
        <d v="2019-02-01T00:00:00" u="1"/>
        <d v="2568-07-10T00:00:00" u="1"/>
        <d v="2565-09-02T00:00:00" u="1"/>
        <d v="2567-08-06T00:00:00" u="1"/>
        <d v="2566-09-02T00:00:00" u="1"/>
        <d v="2567-09-02T00:00:00" u="1"/>
        <d v="2018-11-30T00:00:00" u="1"/>
        <d v="2018-12-26T00:00:00" u="1"/>
        <d v="2565-03-28T00:00:00" u="1"/>
        <d v="2566-03-28T00:00:00" u="1"/>
        <d v="2565-04-24T00:00:00" u="1"/>
        <d v="2567-03-28T00:00:00" u="1"/>
        <d v="2566-04-24T00:00:00" u="1"/>
        <d v="2568-03-28T00:00:00" u="1"/>
        <d v="2565-05-20T00:00:00" u="1"/>
        <d v="2567-04-24T00:00:00" u="1"/>
        <d v="2568-04-24T00:00:00" u="1"/>
        <d v="2565-06-16T00:00:00" u="1"/>
        <d v="2567-05-20T00:00:00" u="1"/>
        <d v="2566-06-16T00:00:00" u="1"/>
        <d v="2568-05-20T00:00:00" u="1"/>
        <d v="2565-07-12T00:00:00" u="1"/>
        <d v="2567-06-16T00:00:00" u="1"/>
        <d v="2568-06-16T00:00:00" u="1"/>
        <d v="2565-08-08T00:00:00" u="1"/>
        <d v="2567-07-12T00:00:00" u="1"/>
        <d v="2565-09-04T00:00:00" u="1"/>
        <d v="2567-08-08T00:00:00" u="1"/>
        <d v="2566-09-04T00:00:00" u="1"/>
        <d v="2568-08-08T00:00:00" u="1"/>
        <d v="2567-09-04T00:00:00" u="1"/>
        <d v="2565-03-30T00:00:00" u="1"/>
        <d v="2566-03-30T00:00:00" u="1"/>
        <d v="2565-04-26T00:00:00" u="1"/>
        <d v="2567-03-30T00:00:00" u="1"/>
        <d v="2566-04-26T00:00:00" u="1"/>
        <d v="2568-03-30T00:00:00" u="1"/>
        <d v="2565-05-22T00:00:00" u="1"/>
        <d v="2567-04-26T00:00:00" u="1"/>
        <d v="2568-04-26T00:00:00" u="1"/>
        <d v="2565-06-18T00:00:00" u="1"/>
        <d v="2567-05-22T00:00:00" u="1"/>
        <d v="2566-06-18T00:00:00" u="1"/>
        <d v="2568-05-22T00:00:00" u="1"/>
        <d v="2565-07-14T00:00:00" u="1"/>
        <d v="2567-06-18T00:00:00" u="1"/>
        <d v="2568-06-18T00:00:00" u="1"/>
        <d v="2565-08-10T00:00:00" u="1"/>
        <d v="2567-07-14T00:00:00" u="1"/>
        <d v="2565-09-06T00:00:00" u="1"/>
        <d v="2567-08-10T00:00:00" u="1"/>
        <d v="2019-03-01T00:00:00" u="1"/>
        <d v="2564-10-02T00:00:00" u="1"/>
        <d v="2566-09-06T00:00:00" u="1"/>
        <d v="2568-08-10T00:00:00" u="1"/>
        <d v="2565-10-02T00:00:00" u="1"/>
        <d v="2567-09-06T00:00:00" u="1"/>
        <d v="2566-10-02T00:00:00" u="1"/>
        <d v="2567-10-02T00:00:00" u="1"/>
        <d v="2565-04-28T00:00:00" u="1"/>
        <d v="2566-04-28T00:00:00" u="1"/>
        <d v="2565-05-24T00:00:00" u="1"/>
        <d v="2567-04-28T00:00:00" u="1"/>
        <d v="2568-04-28T00:00:00" u="1"/>
        <d v="2565-06-20T00:00:00" u="1"/>
        <d v="2567-05-24T00:00:00" u="1"/>
        <d v="2566-06-20T00:00:00" u="1"/>
        <d v="2568-05-24T00:00:00" u="1"/>
        <d v="2018-01-11T00:00:00" u="1"/>
        <d v="2565-07-16T00:00:00" u="1"/>
        <d v="2567-06-20T00:00:00" u="1"/>
        <d v="2568-06-20T00:00:00" u="1"/>
        <d v="2565-08-12T00:00:00" u="1"/>
        <d v="2567-07-16T00:00:00" u="1"/>
        <d v="2565-09-08T00:00:00" u="1"/>
        <d v="2567-08-12T00:00:00" u="1"/>
        <d v="2564-10-04T00:00:00" u="1"/>
        <d v="2566-09-08T00:00:00" u="1"/>
        <d v="2565-10-04T00:00:00" u="1"/>
        <d v="2567-09-08T00:00:00" u="1"/>
        <d v="2566-10-04T00:00:00" u="1"/>
        <d v="2568-09-08T00:00:00" u="1"/>
        <d v="2567-10-04T00:00:00" u="1"/>
        <d v="2565-04-30T00:00:00" u="1"/>
        <d v="2565-05-26T00:00:00" u="1"/>
        <d v="2567-04-30T00:00:00" u="1"/>
        <d v="2568-04-30T00:00:00" u="1"/>
        <d v="2565-06-22T00:00:00" u="1"/>
        <d v="2567-05-26T00:00:00" u="1"/>
        <d v="2566-06-22T00:00:00" u="1"/>
        <d v="2568-05-26T00:00:00" u="1"/>
        <d v="2565-07-18T00:00:00" u="1"/>
        <d v="2567-06-22T00:00:00" u="1"/>
        <d v="2568-06-22T00:00:00" u="1"/>
        <d v="2565-08-14T00:00:00" u="1"/>
        <d v="2567-07-18T00:00:00" u="1"/>
        <d v="2565-09-10T00:00:00" u="1"/>
        <d v="2567-08-14T00:00:00" u="1"/>
        <d v="2564-10-06T00:00:00" u="1"/>
        <d v="2566-09-10T00:00:00" u="1"/>
        <d v="2565-10-06T00:00:00" u="1"/>
        <d v="2567-09-10T00:00:00" u="1"/>
        <d v="2019-04-01T00:00:00" u="1"/>
        <d v="2564-11-02T00:00:00" u="1"/>
        <d v="2566-10-06T00:00:00" u="1"/>
        <d v="2568-09-10T00:00:00" u="1"/>
        <d v="2565-11-02T00:00:00" u="1"/>
        <d v="2567-10-06T00:00:00" u="1"/>
        <d v="2566-11-02T00:00:00" u="1"/>
        <d v="2567-11-02T00:00:00" u="1"/>
        <d v="2565-05-28T00:00:00" u="1"/>
        <d v="2565-06-24T00:00:00" u="1"/>
        <d v="2567-05-28T00:00:00" u="1"/>
        <d v="2566-06-24T00:00:00" u="1"/>
        <d v="2568-05-28T00:00:00" u="1"/>
        <d v="2565-07-20T00:00:00" u="1"/>
        <d v="2567-06-24T00:00:00" u="1"/>
        <d v="2019-01-15T00:00:00" u="1"/>
        <d v="2568-06-24T00:00:00" u="1"/>
        <d v="2565-08-16T00:00:00" u="1"/>
        <d v="2567-07-20T00:00:00" u="1"/>
        <d v="2565-09-12T00:00:00" u="1"/>
        <d v="2567-08-16T00:00:00" u="1"/>
        <d v="2564-10-08T00:00:00" u="1"/>
        <d v="2566-09-12T00:00:00" u="1"/>
        <d v="2565-10-08T00:00:00" u="1"/>
        <d v="2567-09-12T00:00:00" u="1"/>
        <d v="2564-11-04T00:00:00" u="1"/>
        <d v="2566-10-08T00:00:00" u="1"/>
        <d v="2565-11-04T00:00:00" u="1"/>
        <d v="2567-10-08T00:00:00" u="1"/>
        <d v="2566-11-04T00:00:00" u="1"/>
        <d v="2568-10-08T00:00:00" u="1"/>
        <d v="2567-11-04T00:00:00" u="1"/>
        <d v="2565-05-30T00:00:00" u="1"/>
        <d v="2565-06-26T00:00:00" u="1"/>
        <d v="2567-05-30T00:00:00" u="1"/>
        <d v="2566-06-26T00:00:00" u="1"/>
        <d v="2568-05-30T00:00:00" u="1"/>
        <d v="2565-07-22T00:00:00" u="1"/>
        <d v="2567-06-26T00:00:00" u="1"/>
        <d v="2019-01-17T00:00:00" u="1"/>
        <d v="2568-06-26T00:00:00" u="1"/>
        <d v="2565-08-18T00:00:00" u="1"/>
        <d v="2567-07-22T00:00:00" u="1"/>
        <d v="2565-09-14T00:00:00" u="1"/>
        <d v="2567-08-18T00:00:00" u="1"/>
        <d v="2564-10-10T00:00:00" u="1"/>
        <d v="2566-09-14T00:00:00" u="1"/>
        <d v="2567-09-14T00:00:00" u="1"/>
        <d v="2564-11-06T00:00:00" u="1"/>
        <d v="2566-10-10T00:00:00" u="1"/>
        <d v="2565-11-06T00:00:00" u="1"/>
        <d v="2567-10-10T00:00:00" u="1"/>
        <d v="2564-12-02T00:00:00" u="1"/>
        <d v="2566-11-06T00:00:00" u="1"/>
        <d v="2568-10-10T00:00:00" u="1"/>
        <d v="2565-12-02T00:00:00" u="1"/>
        <d v="2567-11-06T00:00:00" u="1"/>
        <d v="2566-12-02T00:00:00" u="1"/>
        <d v="2567-12-02T00:00:00" u="1"/>
        <d v="2565-06-28T00:00:00" u="1"/>
        <d v="2566-06-28T00:00:00" u="1"/>
        <d v="2565-07-24T00:00:00" u="1"/>
        <d v="2567-06-28T00:00:00" u="1"/>
        <d v="2568-06-28T00:00:00" u="1"/>
        <d v="2565-08-20T00:00:00" u="1"/>
        <d v="2567-07-24T00:00:00" u="1"/>
        <d v="2019-02-15T00:00:00" u="1"/>
        <d v="2565-09-16T00:00:00" u="1"/>
        <d v="2567-08-20T00:00:00" u="1"/>
        <d v="2564-10-12T00:00:00" u="1"/>
        <d v="2566-09-16T00:00:00" u="1"/>
        <d v="2565-10-12T00:00:00" u="1"/>
        <d v="2567-09-16T00:00:00" u="1"/>
        <d v="2564-11-08T00:00:00" u="1"/>
        <d v="2566-10-12T00:00:00" u="1"/>
        <d v="2565-11-08T00:00:00" u="1"/>
        <d v="2567-10-12T00:00:00" u="1"/>
        <d v="2564-12-04T00:00:00" u="1"/>
        <d v="2566-11-08T00:00:00" u="1"/>
        <d v="2565-12-04T00:00:00" u="1"/>
        <d v="2567-11-08T00:00:00" u="1"/>
        <d v="2566-12-04T00:00:00" u="1"/>
        <d v="2568-11-08T00:00:00" u="1"/>
        <d v="2567-12-04T00:00:00" u="1"/>
        <d v="2565-06-30T00:00:00" u="1"/>
        <d v="2566-06-30T00:00:00" u="1"/>
        <d v="2565-07-26T00:00:00" u="1"/>
        <d v="2567-06-30T00:00:00" u="1"/>
        <d v="2568-06-30T00:00:00" u="1"/>
        <d v="2565-08-22T00:00:00" u="1"/>
        <d v="2567-07-26T00:00:00" u="1"/>
        <d v="2565-09-18T00:00:00" u="1"/>
        <d v="2567-08-22T00:00:00" u="1"/>
        <d v="2564-10-14T00:00:00" u="1"/>
        <d v="2566-09-18T00:00:00" u="1"/>
        <d v="2565-10-14T00:00:00" u="1"/>
        <d v="2567-09-18T00:00:00" u="1"/>
        <d v="2564-11-10T00:00:00" u="1"/>
        <d v="2566-10-14T00:00:00" u="1"/>
        <d v="2565-11-10T00:00:00" u="1"/>
        <d v="2567-10-14T00:00:00" u="1"/>
        <d v="2564-12-06T00:00:00" u="1"/>
        <d v="2566-11-10T00:00:00" u="1"/>
        <d v="2565-12-06T00:00:00" u="1"/>
        <d v="2567-11-10T00:00:00" u="1"/>
        <d v="2566-12-06T00:00:00" u="1"/>
        <d v="2568-11-10T00:00:00" u="1"/>
        <d v="2567-12-06T00:00:00" u="1"/>
        <d v="2565-07-28T00:00:00" u="1"/>
        <d v="2565-08-24T00:00:00" u="1"/>
        <d v="2567-07-28T00:00:00" u="1"/>
        <d v="2565-09-20T00:00:00" u="1"/>
        <d v="2567-08-24T00:00:00" u="1"/>
        <d v="2564-10-16T00:00:00" u="1"/>
        <d v="2565-10-16T00:00:00" u="1"/>
        <d v="2567-09-20T00:00:00" u="1"/>
        <d v="2564-11-12T00:00:00" u="1"/>
        <d v="2565-11-12T00:00:00" u="1"/>
        <d v="2567-10-16T00:00:00" u="1"/>
        <d v="2564-12-08T00:00:00" u="1"/>
        <d v="2566-11-12T00:00:00" u="1"/>
        <d v="2565-12-08T00:00:00" u="1"/>
        <d v="2567-11-12T00:00:00" u="1"/>
        <d v="2566-12-08T00:00:00" u="1"/>
        <d v="2567-12-08T00:00:00" u="1"/>
        <d v="2568-12-08T00:00:00" u="1"/>
        <d v="2565-07-30T00:00:00" u="1"/>
        <d v="2565-08-26T00:00:00" u="1"/>
        <d v="2567-07-30T00:00:00" u="1"/>
        <d v="2565-09-22T00:00:00" u="1"/>
        <d v="2567-08-26T00:00:00" u="1"/>
        <d v="2564-10-18T00:00:00" u="1"/>
        <d v="2566-09-22T00:00:00" u="1"/>
        <d v="2567-09-22T00:00:00" u="1"/>
        <d v="2564-11-14T00:00:00" u="1"/>
        <d v="2566-10-18T00:00:00" u="1"/>
        <d v="2565-11-14T00:00:00" u="1"/>
        <d v="2567-10-18T00:00:00" u="1"/>
        <d v="2564-12-10T00:00:00" u="1"/>
        <d v="2566-11-14T00:00:00" u="1"/>
        <d v="2565-12-10T00:00:00" u="1"/>
        <d v="2567-11-14T00:00:00" u="1"/>
        <d v="2566-12-10T00:00:00" u="1"/>
        <d v="2567-12-10T00:00:00" u="1"/>
        <d v="2019-07-01T00:00:00" u="1"/>
        <d v="2568-12-10T00:00:00" u="1"/>
        <d v="2565-08-28T00:00:00" u="1"/>
        <d v="2565-09-24T00:00:00" u="1"/>
        <d v="2567-08-28T00:00:00" u="1"/>
        <d v="2564-10-20T00:00:00" u="1"/>
        <d v="2566-09-24T00:00:00" u="1"/>
        <d v="2565-10-20T00:00:00" u="1"/>
        <d v="2567-09-24T00:00:00" u="1"/>
        <d v="2564-11-16T00:00:00" u="1"/>
        <d v="2566-10-20T00:00:00" u="1"/>
        <d v="2565-11-16T00:00:00" u="1"/>
        <d v="2567-10-20T00:00:00" u="1"/>
        <d v="2564-12-12T00:00:00" u="1"/>
        <d v="2566-11-16T00:00:00" u="1"/>
        <d v="2565-12-12T00:00:00" u="1"/>
        <d v="2567-11-16T00:00:00" u="1"/>
        <d v="2566-12-12T00:00:00" u="1"/>
        <d v="2567-12-12T00:00:00" u="1"/>
        <d v="2565-08-30T00:00:00" u="1"/>
        <d v="2565-09-26T00:00:00" u="1"/>
        <d v="2567-08-30T00:00:00" u="1"/>
        <d v="2564-10-22T00:00:00" u="1"/>
        <d v="2565-10-22T00:00:00" u="1"/>
        <d v="2567-09-26T00:00:00" u="1"/>
        <d v="2564-11-18T00:00:00" u="1"/>
        <d v="2566-10-22T00:00:00" u="1"/>
        <d v="2565-11-18T00:00:00" u="1"/>
        <d v="2567-10-22T00:00:00" u="1"/>
        <d v="2564-12-14T00:00:00" u="1"/>
        <d v="2566-11-18T00:00:00" u="1"/>
        <d v="2565-12-14T00:00:00" u="1"/>
        <d v="2567-11-18T00:00:00" u="1"/>
        <d v="2566-12-14T00:00:00" u="1"/>
        <d v="2567-12-14T00:00:00" u="1"/>
        <d v="2019-08-01T00:00:00" u="1"/>
        <d v="2565-09-28T00:00:00" u="1"/>
        <d v="2564-10-24T00:00:00" u="1"/>
        <d v="2566-09-28T00:00:00" u="1"/>
        <d v="2565-10-24T00:00:00" u="1"/>
        <d v="2567-09-28T00:00:00" u="1"/>
        <d v="2564-11-20T00:00:00" u="1"/>
        <d v="2566-10-24T00:00:00" u="1"/>
        <d v="2565-11-20T00:00:00" u="1"/>
        <d v="2567-10-24T00:00:00" u="1"/>
        <d v="2564-12-16T00:00:00" u="1"/>
        <d v="2566-11-20T00:00:00" u="1"/>
        <d v="2018-06-11T00:00:00" u="1"/>
        <d v="2565-12-16T00:00:00" u="1"/>
        <d v="2567-11-20T00:00:00" u="1"/>
        <d v="2566-12-16T00:00:00" u="1"/>
        <d v="2567-12-16T00:00:00" u="1"/>
        <d v="2565-09-30T00:00:00" u="1"/>
        <d v="2564-10-26T00:00:00" u="1"/>
        <d v="2566-09-30T00:00:00" u="1"/>
        <d v="2565-10-26T00:00:00" u="1"/>
        <d v="2567-09-30T00:00:00" u="1"/>
        <d v="2564-11-22T00:00:00" u="1"/>
        <d v="2566-10-26T00:00:00" u="1"/>
        <d v="2565-11-22T00:00:00" u="1"/>
        <d v="2567-10-26T00:00:00" u="1"/>
        <d v="2564-12-18T00:00:00" u="1"/>
        <d v="2566-11-22T00:00:00" u="1"/>
        <d v="2565-12-18T00:00:00" u="1"/>
        <d v="2567-11-22T00:00:00" u="1"/>
        <d v="2566-12-18T00:00:00" u="1"/>
        <d v="2567-12-18T00:00:00" u="1"/>
        <d v="2017-09-01T00:00:00" u="1"/>
        <d v="2019-09-01T00:00:00" u="1"/>
        <d v="2564-10-28T00:00:00" u="1"/>
        <d v="2565-10-28T00:00:00" u="1"/>
        <d v="2564-11-24T00:00:00" u="1"/>
        <d v="2566-10-28T00:00:00" u="1"/>
        <d v="2565-11-24T00:00:00" u="1"/>
        <d v="2567-10-28T00:00:00" u="1"/>
        <d v="2564-12-20T00:00:00" u="1"/>
        <d v="2566-11-24T00:00:00" u="1"/>
        <d v="2565-12-20T00:00:00" u="1"/>
        <d v="2567-11-24T00:00:00" u="1"/>
        <d v="2566-12-20T00:00:00" u="1"/>
        <d v="2018-07-11T00:00:00" u="1"/>
        <d v="2567-12-20T00:00:00" u="1"/>
        <d v="2017-09-03T00:00:00" u="1"/>
        <d v="2565-01-01T00:00:00" u="1"/>
        <d v="2566-01-01T00:00:00" u="1"/>
        <d v="2567-01-01T00:00:00" u="1"/>
        <d v="2568-01-01T00:00:00" u="1"/>
        <d v="2564-10-30T00:00:00" u="1"/>
        <d v="2565-10-30T00:00:00" u="1"/>
        <d v="2564-11-26T00:00:00" u="1"/>
        <d v="2566-10-30T00:00:00" u="1"/>
        <d v="2565-11-26T00:00:00" u="1"/>
        <d v="2567-10-30T00:00:00" u="1"/>
        <d v="2564-12-22T00:00:00" u="1"/>
        <d v="2566-11-26T00:00:00" u="1"/>
        <d v="2565-12-22T00:00:00" u="1"/>
        <d v="2567-11-26T00:00:00" u="1"/>
        <d v="2566-12-22T00:00:00" u="1"/>
        <d v="2567-12-22T00:00:00" u="1"/>
        <d v="2017-09-05T00:00:00" u="1"/>
        <d v="2017-10-01T00:00:00" u="1"/>
        <d v="2019-10-01T00:00:00" u="1"/>
        <d v="2565-01-03T00:00:00" u="1"/>
        <d v="2566-01-03T00:00:00" u="1"/>
        <d v="2567-01-03T00:00:00" u="1"/>
        <d v="2568-01-03T00:00:00" u="1"/>
        <d v="2564-11-28T00:00:00" u="1"/>
        <d v="2565-11-28T00:00:00" u="1"/>
        <d v="2564-12-24T00:00:00" u="1"/>
        <d v="2566-11-28T00:00:00" u="1"/>
        <d v="2565-12-24T00:00:00" u="1"/>
        <d v="2567-11-28T00:00:00" u="1"/>
        <d v="2566-12-24T00:00:00" u="1"/>
        <d v="2017-09-07T00:00:00" u="1"/>
        <d v="2565-01-05T00:00:00" u="1"/>
        <d v="2565-02-01T00:00:00" u="1"/>
        <d v="2567-01-05T00:00:00" u="1"/>
        <d v="2566-02-01T00:00:00" u="1"/>
        <d v="2568-01-05T00:00:00" u="1"/>
        <d v="2567-02-01T00:00:00" u="1"/>
        <d v="2568-02-01T00:00:00" u="1"/>
        <d v="2564-11-30T00:00:00" u="1"/>
        <d v="2565-11-30T00:00:00" u="1"/>
        <d v="2564-12-26T00:00:00" u="1"/>
        <d v="2566-11-30T00:00:00" u="1"/>
        <d v="2565-12-26T00:00:00" u="1"/>
        <d v="2567-11-30T00:00:00" u="1"/>
        <d v="2566-12-26T00:00:00" u="1"/>
        <d v="2567-12-26T00:00:00" u="1"/>
        <d v="2017-09-09T00:00:00" u="1"/>
        <d v="2017-10-05T00:00:00" u="1"/>
        <d v="2023-07-17T00:00:00" u="1"/>
        <d v="2565-01-07T00:00:00" u="1"/>
        <d v="2019-11-01T00:00:00" u="1"/>
        <d v="2566-01-07T00:00:00" u="1"/>
        <d v="2565-02-03T00:00:00" u="1"/>
        <d v="2567-01-07T00:00:00" u="1"/>
        <d v="2566-02-03T00:00:00" u="1"/>
        <d v="2568-01-07T00:00:00" u="1"/>
        <d v="2567-02-03T00:00:00" u="1"/>
        <d v="2568-02-03T00:00:00" u="1"/>
        <d v="2564-12-28T00:00:00" u="1"/>
        <d v="2565-12-28T00:00:00" u="1"/>
        <d v="2566-12-28T00:00:00" u="1"/>
        <d v="2567-12-28T00:00:00" u="1"/>
        <d v="2017-09-11T00:00:00" u="1"/>
        <d v="2018-09-11T00:00:00" u="1"/>
        <d v="2017-10-07T00:00:00" u="1"/>
        <d v="2565-01-09T00:00:00" u="1"/>
        <d v="2566-01-09T00:00:00" u="1"/>
        <d v="2565-02-05T00:00:00" u="1"/>
        <d v="2567-01-09T00:00:00" u="1"/>
        <d v="2566-02-05T00:00:00" u="1"/>
        <d v="2568-01-09T00:00:00" u="1"/>
        <d v="2565-03-01T00:00:00" u="1"/>
        <d v="2567-02-05T00:00:00" u="1"/>
        <d v="2566-03-01T00:00:00" u="1"/>
        <d v="2568-02-05T00:00:00" u="1"/>
        <d v="2567-03-01T00:00:00" u="1"/>
        <d v="2568-03-01T00:00:00" u="1"/>
        <d v="2564-12-30T00:00:00" u="1"/>
        <d v="2565-12-30T00:00:00" u="1"/>
        <d v="2566-12-30T00:00:00" u="1"/>
        <d v="2567-12-30T00:00:00" u="1"/>
        <d v="2017-10-09T00:00:00" u="1"/>
        <d v="2565-01-11T00:00:00" u="1"/>
        <d v="2566-01-11T00:00:00" u="1"/>
        <d v="2565-02-07T00:00:00" u="1"/>
        <d v="2567-01-11T00:00:00" u="1"/>
        <d v="2566-02-07T00:00:00" u="1"/>
        <d v="2568-01-11T00:00:00" u="1"/>
        <d v="2565-03-03T00:00:00" u="1"/>
        <d v="2567-02-07T00:00:00" u="1"/>
        <d v="2566-03-03T00:00:00" u="1"/>
        <d v="2568-02-07T00:00:00" u="1"/>
        <d v="2567-03-03T00:00:00" u="1"/>
        <d v="2568-03-03T00:00:00" u="1"/>
        <d v="2017-09-15T00:00:00" u="1"/>
        <d v="2565-01-13T00:00:00" u="1"/>
        <d v="2566-01-13T00:00:00" u="1"/>
        <d v="2565-02-09T00:00:00" u="1"/>
        <d v="2567-01-13T00:00:00" u="1"/>
        <d v="2023-10-11T00:00:00" u="1"/>
        <d v="2566-02-09T00:00:00" u="1"/>
        <d v="2568-01-13T00:00:00" u="1"/>
        <d v="2565-03-05T00:00:00" u="1"/>
        <d v="2567-02-09T00:00:00" u="1"/>
        <d v="2566-03-05T00:00:00" u="1"/>
        <d v="2568-02-09T00:00:00" u="1"/>
        <d v="2565-04-01T00:00:00" u="1"/>
        <d v="2567-03-05T00:00:00" u="1"/>
        <d v="2566-04-01T00:00:00" u="1"/>
        <d v="2568-03-05T00:00:00" u="1"/>
        <d v="2567-04-01T00:00:00" u="1"/>
        <d v="2568-04-01T00:00:00" u="1"/>
        <d v="2017-09-17T00:00:00" u="1"/>
        <d v="2565-01-15T00:00:00" u="1"/>
        <d v="2566-01-15T00:00:00" u="1"/>
        <d v="2565-02-11T00:00:00" u="1"/>
        <d v="2567-01-15T00:00:00" u="1"/>
        <d v="2566-02-11T00:00:00" u="1"/>
        <d v="2568-01-15T00:00:00" u="1"/>
        <d v="2565-03-07T00:00:00" u="1"/>
        <d v="2567-02-11T00:00:00" u="1"/>
        <d v="2566-03-07T00:00:00" u="1"/>
        <d v="2568-02-11T00:00:00" u="1"/>
        <d v="2565-04-03T00:00:00" u="1"/>
        <d v="2567-03-07T00:00:00" u="1"/>
        <d v="2566-04-03T00:00:00" u="1"/>
        <d v="2568-03-07T00:00:00" u="1"/>
        <d v="2567-04-03T00:00:00" u="1"/>
        <d v="2568-04-03T00:00:00" u="1"/>
        <d v="2017-09-19T00:00:00" u="1"/>
        <d v="2017-10-15T00:00:00" u="1"/>
        <d v="2565-01-17T00:00:00" u="1"/>
        <d v="2566-01-17T00:00:00" u="1"/>
        <d v="2565-02-13T00:00:00" u="1"/>
        <d v="2567-01-17T00:00:00" u="1"/>
        <d v="2566-02-13T00:00:00" u="1"/>
        <d v="2568-01-17T00:00:00" u="1"/>
        <d v="2565-03-09T00:00:00" u="1"/>
        <d v="2567-02-13T00:00:00" u="1"/>
        <d v="2566-03-09T00:00:00" u="1"/>
        <d v="2568-02-13T00:00:00" u="1"/>
        <d v="2565-04-05T00:00:00" u="1"/>
        <d v="2567-03-09T00:00:00" u="1"/>
        <d v="2566-04-05T00:00:00" u="1"/>
        <d v="2568-03-09T00:00:00" u="1"/>
        <d v="2565-05-01T00:00:00" u="1"/>
        <d v="2567-04-05T00:00:00" u="1"/>
        <d v="2566-05-01T00:00:00" u="1"/>
        <d v="2568-04-05T00:00:00" u="1"/>
        <d v="2567-05-01T00:00:00" u="1"/>
        <d v="2568-05-01T00:00:00" u="1"/>
        <d v="2017-09-21T00:00:00" u="1"/>
        <d v="2565-01-19T00:00:00" u="1"/>
        <d v="2566-01-19T00:00:00" u="1"/>
        <d v="2565-02-15T00:00:00" u="1"/>
        <d v="2567-01-19T00:00:00" u="1"/>
        <d v="2566-02-15T00:00:00" u="1"/>
        <d v="2568-01-19T00:00:00" u="1"/>
        <d v="2565-03-11T00:00:00" u="1"/>
        <d v="2567-02-15T00:00:00" u="1"/>
        <d v="2566-03-11T00:00:00" u="1"/>
        <d v="2568-02-15T00:00:00" u="1"/>
        <d v="2565-04-07T00:00:00" u="1"/>
        <d v="2567-03-11T00:00:00" u="1"/>
        <d v="2566-04-07T00:00:00" u="1"/>
        <d v="2568-03-11T00:00:00" u="1"/>
        <d v="2565-05-03T00:00:00" u="1"/>
        <d v="2567-04-07T00:00:00" u="1"/>
        <d v="2568-04-07T00:00:00" u="1"/>
        <d v="2567-05-03T00:00:00" u="1"/>
        <d v="2568-05-03T00:00:00" u="1"/>
        <d v="2017-09-23T00:00:00" u="1"/>
        <d v="2018-10-19T00:00:00" u="1"/>
        <d v="2565-01-21T00:00:00" u="1"/>
        <d v="2566-01-21T00:00:00" u="1"/>
        <d v="2565-02-17T00:00:00" u="1"/>
        <d v="2567-01-21T00:00:00" u="1"/>
        <d v="2566-02-17T00:00:00" u="1"/>
        <d v="2568-01-21T00:00:00" u="1"/>
        <d v="2565-03-13T00:00:00" u="1"/>
        <d v="2567-02-17T00:00:00" u="1"/>
        <d v="2566-03-13T00:00:00" u="1"/>
        <d v="2568-02-17T00:00:00" u="1"/>
        <d v="2565-04-09T00:00:00" u="1"/>
        <d v="2567-03-13T00:00:00" u="1"/>
        <d v="2568-03-13T00:00:00" u="1"/>
        <d v="2565-05-05T00:00:00" u="1"/>
        <d v="2567-04-09T00:00:00" u="1"/>
        <d v="2568-04-09T00:00:00" u="1"/>
        <d v="2565-06-01T00:00:00" u="1"/>
        <d v="2566-06-01T00:00:00" u="1"/>
        <d v="2568-05-05T00:00:00" u="1"/>
        <d v="2567-06-01T00:00:00" u="1"/>
        <d v="2568-06-01T00:00:00" u="1"/>
        <d v="2017-09-25T00:00:00" u="1"/>
        <d v="2017-10-21T00:00:00" u="1"/>
        <d v="2565-01-23T00:00:00" u="1"/>
        <d v="2566-01-23T00:00:00" u="1"/>
        <d v="2018-12-13T00:00:00" u="1"/>
        <d v="2565-02-19T00:00:00" u="1"/>
        <d v="2567-01-23T00:00:00" u="1"/>
        <d v="2566-02-19T00:00:00" u="1"/>
        <d v="2568-01-23T00:00:00" u="1"/>
        <d v="2565-03-15T00:00:00" u="1"/>
        <d v="2567-02-19T00:00:00" u="1"/>
        <d v="2566-03-15T00:00:00" u="1"/>
        <d v="2568-02-19T00:00:00" u="1"/>
        <d v="2565-04-11T00:00:00" u="1"/>
        <d v="2567-03-15T00:00:00" u="1"/>
        <d v="2566-04-11T00:00:00" u="1"/>
        <d v="2568-03-15T00:00:00" u="1"/>
        <d v="2565-05-07T00:00:00" u="1"/>
        <d v="2567-04-11T00:00:00" u="1"/>
        <d v="2568-04-11T00:00:00" u="1"/>
        <d v="2565-06-03T00:00:00" u="1"/>
        <d v="2567-05-07T00:00:00" u="1"/>
        <d v="2566-06-03T00:00:00" u="1"/>
        <d v="2568-05-07T00:00:00" u="1"/>
        <d v="2567-06-03T00:00:00" u="1"/>
        <d v="2568-06-03T00:00:00" u="1"/>
        <d v="2018-10-23T00:00:00" u="1"/>
        <d v="2018-11-19T00:00:00" u="1"/>
        <d v="2565-01-25T00:00:00" u="1"/>
        <d v="2566-01-25T00:00:00" u="1"/>
        <d v="2018-12-15T00:00:00" u="1"/>
        <d v="2565-02-21T00:00:00" u="1"/>
        <d v="2567-01-25T00:00:00" u="1"/>
        <d v="2566-02-21T00:00:00" u="1"/>
        <d v="2568-01-25T00:00:00" u="1"/>
        <d v="2565-03-17T00:00:00" u="1"/>
        <d v="2567-02-21T00:00:00" u="1"/>
        <d v="2566-03-17T00:00:00" u="1"/>
        <d v="2568-02-21T00:00:00" u="1"/>
        <d v="2565-04-13T00:00:00" u="1"/>
        <d v="2567-03-17T00:00:00" u="1"/>
        <d v="2566-04-13T00:00:00" u="1"/>
        <d v="2568-03-17T00:00:00" u="1"/>
        <d v="2565-05-09T00:00:00" u="1"/>
        <d v="2567-04-13T00:00:00" u="1"/>
      </sharedItems>
    </cacheField>
    <cacheField name="เลขเอกสาร" numFmtId="49">
      <sharedItems/>
    </cacheField>
    <cacheField name="คำอธิบาย" numFmtId="0">
      <sharedItems containsBlank="1" count="626">
        <s v="ยอดยกมา 01/12/2568"/>
        <s v="รายงานเงินสด"/>
        <s v="รายงานเงินสด, ค่าเช่าสถานที่ขายอุปกรณ์กอล์ฟ"/>
        <s v="ค่าภาษีสรรพสามิต ประจำเดือน พฤศจิกายน 2568"/>
        <s v="ค่าจ้างเหมาบริการบุคคบ ประจำเดือน พฤศจิกายน 2568"/>
        <s v="นำส่งเงินสนามกอล์ฟภูกระแตเข้าเป็นเงินรายได้คณะเทคโนโลยีอุตสาหกรรม"/>
        <s v="ดอกเบี้ยรับจากเงินฝากสถาบันการเงิน"/>
        <s v="a" u="1"/>
        <m u="1"/>
        <s v="P1812034 TIGER PARK - ENTERTAINMENT EXP." u="1"/>
        <s v="รายงานเงินสด, ค่าเช่าคลับเฮาส์ เดือน ก.ค. - ส.ค. 68" u="1"/>
        <s v="ซื้อโทรศัพท์ ขาว Panasonic KX-T2373MXW จำนวน 5 เครื่อง " u="1"/>
        <s v="ค่าเสื่อมราคาสะสม เครื่องถ่ายเอกสาร Sharp AR-5618S จำนวน 2 เครื่อง" u="1"/>
        <s v="ชำระค่าขนส่งเข้าสินค้า เลขที่ TR440138" u="1"/>
        <s v="ตอบแทนการปฏิบัติงานนอกเวลาราชการ เดือน กุมภาพันธ์ 2568" u="1"/>
        <s v="ฝากเงินด้วยเช็คเลขที่ 448093" u="1"/>
        <s v="ฝากเงินด้วยเช็คเลขที่ 448193" u="1"/>
        <s v="ฝากเงินด้วยเช็คเลขที่ 448285" u="1"/>
        <s v="ค่าไฟฟ้า เดือน สิงหาคม 2567 (3,149.39), ค่าไฟฟ้า เดือน กันยายน 2567 (3,766.78)" u="1"/>
        <s v="ค่าวัสดุ (วัสดุสำนักงาน) ค่าวัสดุ (มิเตอร์ 3 เฟส)" u="1"/>
        <s v="ค่าภาษีสรรพสามิต เดือน สิงหาคม 2566" u="1"/>
        <s v="ส่วนแบ่งรถกอล์ฟ ประจำเดือน เมษายน 2568, ค่าภาษีสรรพสามิต ประจำเดือน เมษายน 2568, ค่าวัสดุ (ใบมีด)" u="1"/>
        <s v="บันทึกภาษีเงินได้นิติบุคคล" u="1"/>
        <s v="eerwre" u="1"/>
        <s v="ค่าสนับสนุนการแข่งขันกอล์ฟการกุศล" u="1"/>
        <s v="P1812013 EK CHAI - INJECTION LINE PVC" u="1"/>
        <s v="กกกกก" u="1"/>
        <s v="ค่าภาษีสรรพสามิต เดือน พ.ย.64" u="1"/>
        <s v="ค่าวัสดุ (ตาข่าย) ค่าไฟฟ้า เดือน กันยายน 2564 ค่าไฟฟ้า เดือน ตุลาคม 2564 ค่าไฟฟ้า เดือน พฤศจิกายน 2564" u="1"/>
        <s v="ฝากเงินด้วยเช็คเลขที่ 448094" u="1"/>
        <s v="P1810006 HOMEPRODUCT CENTER - SUPPLY EXP." u="1"/>
        <s v="P1812029 TANTICHAREONPOKSUP - SUPPLY EXP." u="1"/>
        <s v="P1812035 TANTICHAROENPOKSUP - SUPPLY EXP." u="1"/>
        <s v="ฝากเงินด้วยเช็คเลขที่ 448286" u="1"/>
        <s v="ชำระค่าสินทรัพย์ เลขที่ FA09013109" u="1"/>
        <s v="กหดฟกหฟด" u="1"/>
        <s v="ค่าจ้างเหมาบริการบุคคล เดือน ธันวาคม 2566" u="1"/>
        <s v="ค่าจ้างเหมาบริการบุคคล เดือน ธันวาคม 2567" u="1"/>
        <s v="P1812004 DHL EXPRESS - COMMISSION CHARGE" u="1"/>
        <s v="P1812028 DHL EXPRESS - COMMISSION CHARGE" u="1"/>
        <s v="ยอดยกมา 01/01/2566" u="1"/>
        <s v="ยอดยกมา 01/01/2567" u="1"/>
        <s v="ยอดยกมา 01/01/2568" u="1"/>
        <s v="ค่าจ้างเหมาบริการบุคคล ประจำเดือน เมษายน 2568" u="1"/>
        <s v="ตอบแทนปฏิบัติงานนอกเวลาราชการ เดือน สิงหาคม 67" u="1"/>
        <s v="ขายสินค้า " u="1"/>
        <s v="ค่าสนับสนุนการแข่งขันกอล์ฟอาชีวะสัมพันธ์" u="1"/>
        <s v="สนับสนุนทุนการศึกษา ประจำปีการศึกษา 2568" u="1"/>
        <s v="ค่าโฆษณาสินค้าผ่านสื่อ หนังสือพิมพ์ จำนวน 7 วัน" u="1"/>
        <s v="ค่าน้ำมันเชื้อเพลิง ค่าภาษีสรรพสามิต เดือน สิงหาคม 2565" u="1"/>
        <s v="รายงานเงินสด/ค่าเช่าคลับเฮาส์ เดือน มกราคม 2567" u="1"/>
        <s v="ค่าจ้างเหมาบริการ เดือน ตุลาคม 2566, ส่วนแบ่งค่าเช่ารถกอล์ฟ เดือน ตุลาคม 2566" u="1"/>
        <s v="P1812037  CHONBURI LOHAKIJ - SUPPLY EXP." u="1"/>
        <s v="ค่าครุภัณฑ์ (เครื่องตัดหญ้าแบบนั่งขับ)" u="1"/>
        <s v="ฝากเงินด้วยเช็คเลขที่ 448287" u="1"/>
        <s v="ส่วนแบ่งค่าเช่ารถกอล์ฟ เดือน สิงหาคม 2566, ค่าน้ำมันเชื้อเพลิง" u="1"/>
        <s v="ส่วนแบ่งค่าเช่ารถกอล์ฟ เดือน พฤศจิกายน 2567" u="1"/>
        <s v="ส่วนแบ่งค่าเช่ารถกอล์ฟ เดือน ตุลาคม 2567" u="1"/>
        <s v="ซื้อเครื่องถ่ายเอกสาร Sharp AR-56185 จำนวน 2 เครื่อง" u="1"/>
        <s v="ค่าภาษีสรรพสามิต เดือน มิถุนายน 2567" u="1"/>
        <s v="ค่าวัสดุสำนักงาน/ค่าจ้างเหมางานปรับระดับดิน" u="1"/>
        <s v="fdsafds" u="1"/>
        <s v="ซื้อตู้เหล็ก Centure SD-023 จำนวน 5 ตู้ " u="1"/>
        <s v="ค่าภาษีสรรพสามิต เดือน กันยายน 2566, ส่วนแบ่งรถกอล์ฟ เดือน กันยายน 2566" u="1"/>
        <s v="ชำระค่า ยื่นแบบภาษีหัก ณ ที่จ่าย (ภ.ง.ด.1) 10/2017 เลขที่ 012303201710" u="1"/>
        <s v="ซื้อเครื่องเก็บเงิน SHARP XE-A217W/WH จำนวน 3 เครื่อง " u="1"/>
        <s v="ชำระค่าสินทรัพย์ เลขที่ FA09013300" u="1"/>
        <s v="ค่าบริการขนส่งสินค้า " u="1"/>
        <s v="ส่วนแบ่งค่าเช่ารถกอล์ฟ เดือน พฤษภาคม 2568" u="1"/>
        <s v="จ่ายเงินเดือนงวด 09/2017 และ ธ.หักค่าธรรมเนียมเข้าบัญชีไว้แล้ว" u="1"/>
        <s v="จ่ายเงินเดือนงวด 10/2017 และ ธ.หักค่าธรรมเนียมเข้าบัญชีไว้แล้ว" u="1"/>
        <s v="JV1812002 TRUE MONEY - INTERNET EXP." u="1"/>
        <s v="ฝากเงินด้วยเช็คเลขที่ 448288" u="1"/>
        <s v="รายงานเงินสด/ค่าสมัครสมาชิกสนามไดร์ฟกอล์ฟ" u="1"/>
        <s v="ใบแจ้งหนี้ ค่าโทรศัพท์พื้นฐาน " u="1"/>
        <s v="JV1812004  DEPRECIATION DEC'2018" u="1"/>
        <s v="ชำระค่าโทรศัพท์เคลื่อนที่ เลขที่ MP2358201709" u="1"/>
        <s v="ยอดยกมา 01/02/2565" u="1"/>
        <s v="ยอดยกมา 01/02/2566" u="1"/>
        <s v="ยอดยกมา 01/02/2567" u="1"/>
        <s v="ยอดยกมา 01/02/2568" u="1"/>
        <s v="ยอดยกมา 31/10/2566" u="1"/>
        <s v="ยอดยกมา 01/10/2567" u="1"/>
        <s v="ซื้อโต๊ะทำงานเฟอร์ราเดค 5 ตัว " u="1"/>
        <s v="ค่าคอริ่งกรีนและรอบกรีน, ค่าวัสดุเชื้อเพลิง" u="1"/>
        <s v="ยอดยกมา 01/10/2568" u="1"/>
        <s v="รายงานเงินสด/ค่าบริการสนามไดร์ฟ" u="1"/>
        <s v="ค่าไฟฟ้า เดือน มีนาคม 2565 ค่าภาษีสรรพสามิต เดือน พฤษภาคม 2565" u="1"/>
        <s v="ค่าเช่าคลังสินค้าระหว่าง 14/1/2019-13/2/2019 " u="1"/>
        <s v="รายงานเงินสด/ค่าสมัครแข่งขันกอล์ฟ NPU GOLF CHARITY 2023" u="1"/>
        <s v="ชำระค่าโทรศัพท์พื้นฐาน เลขที่ PH2358201709" u="1"/>
        <s v="ค่าจ้างเหมาบริการบุคคล เดือน มกราคม 2567" u="1"/>
        <s v="ชำระค่าเช่าคลังสินค้า เลขที่ WH1754201710" u="1"/>
        <s v="ค่าจ้างเหมาบริการ เดือน ตุลาคม 2567" u="1"/>
        <s v="ชำระค่าเช่าคลังสินค้า เลขที่ WH1754201711" u="1"/>
        <s v="P1812017 SAFE CHEMICAL - BOTTLE OF MEDICINE" u="1"/>
        <s v="P1901016  TANTICHAREONSUP - TUBE BRUSH" u="1"/>
        <s v="รายงานเงินสด/ค่าสมัคร-สนับสนุนการแข่งขันกอล์ฟการกุศล NPU GOLF CHARITY 2023" u="1"/>
        <s v="ใบแจ้งหนี้ ค่าโทรศัพท์เคลื่อนที่ " u="1"/>
        <s v="ค่าภาษีสรรพสามิต ประจำเดือน ธันวาคม 2567" u="1"/>
        <s v="ชำระค่า ยื่นแบบภาษีหัก ณ ที่จ่าย (ภ.ง.ด.53) 10/2017 เลขที่ 532303201710" u="1"/>
        <s v="ส่วนแบ่งรถกอล์ฟ ประจำเดือน เมษายน 2568, ค่าภาษีสรรพสามิต ประจำเดือน เมษายน 2568, ค่าวัสดุ (ใบมีดเครื่องตัดกรีน)" u="1"/>
        <s v="ส่วนแบ่งค่าเช่ารถกอล์ฟ ประจำเดือน กันยายน 2568" u="1"/>
        <s v="P1812002 NUTTY CORPORATION - USB TO LAN" u="1"/>
        <s v="ชำระค่าสินทรัพย์ เลขที่ FA09013428" u="1"/>
        <s v="ค่าธรรมเนียมออกเช็คเลขที่ 21430031 - 21430060" u="1"/>
        <s v="ค่าธรรมเนียมออกเช็คเลขที่ 21440031 - 21440060" u="1"/>
        <s v="ค่าภาษีสรรพสามิต เดือน มกราคม 2567, ส่วนแบ่งค่าเช่ารถกอล์ฟ เดือน มกราคม 2567" u="1"/>
        <s v="ตู้ 4 ชั้นบานเปิด เฟอร์ราเดค SC1692 จำนวน 6 ตู้" u="1"/>
        <s v="ชำระค่าสินค้า เลขที่ IV440003" u="1"/>
        <s v="ค่าปุ๋ยและฟูราดาน, ค่าวัสดุ, ค่าน้ำมันเชื้อเพลิง" u="1"/>
        <s v="ค่าจ้างเหมาบริการเดือน ต.ค. 64" u="1"/>
        <s v="ยอดยกมา 01/03/2565" u="1"/>
        <s v="P1811004 POWER BUY - LED TV" u="1"/>
        <s v="P1811018 KAYDEE - PLASTIC BAG" u="1"/>
        <s v="ยอดยกมา 01/03/2567" u="1"/>
        <s v="ยอดยกมา 01/03/2568" u="1"/>
        <s v="เงินสนับสนุนทุนการศึกษา แก่นักศึกษาคณะเทคโนโลยีอุตสาหกรรม" u="1"/>
        <s v="ยอดยกมา 01/11/2565" u="1"/>
        <s v="ยอดยกมา 01/11/2567" u="1"/>
        <s v="ยอดยกมา 01/11/2568" u="1"/>
        <s v="P1812016 RAKYA - DRUG" u="1"/>
        <s v="ชำระค่าโฆษณา เลขที่ AD09140935" u="1"/>
        <s v="ค่าจ้างเหมาบริการ เดือน พฤษภาคม 2565" u="1"/>
        <s v="ค่าภาษีสรรพสามิต เดือน กุมภาพันธ์ 2567, ส่วนแบ่งค่าเช่ารถกอล์ฟ เดือน กุมภาพันธ์ 2567" u="1"/>
        <s v="ค่าภาษีสรรพสามิต เดือน กันยายน 2567" u="1"/>
        <s v="ค่าสนับสนุนโครงการสืบสานประเพณีและอนุรักษ์วัฒนธรรม" u="1"/>
        <s v="ค่าจ้างเหมาบริการ ตุลาคม 2565 - ธันวาคม 2565" u="1"/>
        <s v="P1901004  BLUEFIN BEACH BAR - ENTERTAINMENT EXP." u="1"/>
        <s v="จ่ายชำระหนี้ค่าเครื่องถ่ายเอกสาร" u="1"/>
        <s v="ส่วนแบ่งค่าเช่ารถกอล์ฟ เดือน มกราคม 2568" u="1"/>
        <s v="ค่าภาษีสรรพสามิต เดือน มิถุนายน 2568" u="1"/>
        <s v="ค่าภาษีสรรพสามิต เดือน พฤศจิกายน 2566, ส่วนแบ่งค่าเช่ารถกอล์ฟ เดือน พฤศจิกายน 2566" u="1"/>
        <s v="เงิน" u="1"/>
        <s v="fdsafdsa" u="1"/>
        <s v="ชำระค่าสินค้า เลขที่ IV440012" u="1"/>
        <s v="P1901007  OFFICE CLUB CO.,LTD. - A4" u="1"/>
        <s v="รับใบแจ้งหนี้ค่าขนส่งสินค้า " u="1"/>
        <s v="รายงานเงินสด/ค่าสมัครสมาชิกสนามไดร์ฟ" u="1"/>
        <s v="รายงานเงินสด/ส่วนแบ่งรถกอล์ฟ เดือน ตุลาคม - ธันวาคม 2564 ส่วนแบ่งรถกอล์ฟ เดือน มกราคม - มีนาคม 2565" u="1"/>
        <s v="ยอดยกมา 01/04/2565" u="1"/>
        <s v="ยอดยกมา 01/04/2567" u="1"/>
        <s v="รายงานเงินสด/รายได้อื่น=ปป.ธนาคารฝากเงินผิดบัญชี" u="1"/>
        <s v="ยอดยกมา 01/04/2568" u="1"/>
        <s v="P1812010 INDEX LIVINGMALL - TABLE" u="1"/>
        <s v="ยอดยกมา 01/12/2565" u="1"/>
        <s v="ชำระค่าสินค้า เลขที่ IV440138" u="1"/>
        <s v="ค่าภาษีกรมสรรพสามิต มกราคม 2566" u="1"/>
        <s v="ยอดยกมา 31/12/2566" u="1"/>
        <s v="ยอดยกมา 01/12/2567" u="1"/>
        <s v="ค่าจ้างท็อปทรายแฟร์เวย์บริเวณหลุม 9" u="1"/>
        <s v="เปิดบัญชี" u="1"/>
        <s v="P1901009 PROMPT SCIENCE - SEMI MICRO ANALYTICAL BALANCE" u="1"/>
        <s v="ชำระค่าสินค้า เลขที่ IV440114" u="1"/>
        <s v="ซื้อสินค้าเป็นเงินเชื่อ" u="1"/>
        <s v="ค่าจ้างเหมาบริการ พย.64" u="1"/>
        <s v="ค่าเสื่อมราคาสะสม ตู้เหล็ก Centure SD-023 จำนวน 5 ตู้" u="1"/>
        <s v="ค่าสนับสนุนการแข่งขันกอล์ฟการกุศล, ตอบแทนการปฏิบัติงานนอกเวลาราชการ เดือน พฤษภาคม และมิถุนายน 2568" u="1"/>
        <s v="P1812008 KERRY EXPRESS - COMMISSION CHARGE" u="1"/>
        <s v="P1812015 KERRY EXPRESS - COMMISSION CHARGE" u="1"/>
        <s v="P1812022 THAILAND POST - COMMISSION CHARGE" u="1"/>
        <s v="รายงานเงินสด/ค่าสมัครแข่งขันกอล์ฟ" u="1"/>
        <s v="ซื้อสินค้าเป็นเงินสด" u="1"/>
        <s v="ค่าล่วงเวลา เดือน พฤศจิกายน 2566" u="1"/>
        <s v="ค่าเช่าพื้นที่ขายอุปกรณ์กอล์ฟ" u="1"/>
        <s v="ค่าน้ำมันเชื้อเพลิง" u="1"/>
        <s v="ยอดยกมา 30/04/2567" u="1"/>
        <s v="ค่าภาษีสรรพสามิต เดือน มีนาคม 2567" u="1"/>
        <s v="JV1812003  BARA SCIENTIFIC CO.,LTD." u="1"/>
        <s v="ค่าเสื่อมราคาสะสม ชุดโต๊ะประชุม 8 คน" u="1"/>
        <s v="ค่าจ้างเหมาบริการบุคคล เดือน พฤศจิกายน 2567" u="1"/>
        <s v="ค่าภาษีสรรพสามิต เดือน มกราคม 2565" u="1"/>
        <s v="รายงานเงินสด/ส่วนแบ่งรถกอล์ฟ เดือน มกราคม - มีนาคม 2565" u="1"/>
        <s v="ชำระค่าสินค้า เลขที่ IV440021" u="1"/>
        <s v="ค่าจ้างเหมาปรับปรุงสำนักงานสนามไดร์ฟกอล์ฟ ค่าภาษีสรรพสามิต เดือน กุมภาพันธ์ 2565" u="1"/>
        <s v="ค่าภาษีสรรพสามิต เดือน ตุลาคม 2565" u="1"/>
        <s v="ค่าภาษีสรรพสามิต เดือน มีนาคม 2568" u="1"/>
        <s v="ชำระค่าสินค้า เลขที่ IV440101" u="1"/>
        <s v="ค่าภาษีสรรพสามิต เดือน ธันวาคม 2564" u="1"/>
        <s v="P1901017  MR.PARATH - TRAVELLING EXP." u="1"/>
        <s v="เงินโอนเข้าผิดบัญชี" u="1"/>
        <s v="ค่าภาษีสรรพสามิต เดือน ตุลาคม 2566" u="1"/>
        <s v="รับใบแจ้งหนี้ค่าโฆษณาวิทยุ" u="1"/>
        <s v="ค่าภาษีสรรพสามิต เดือน พฤศจิกายน 2565" u="1"/>
        <s v="ค่าภาษีสรรพสามิต เดือน พฤศจิกายน 2567" u="1"/>
        <s v="RV1810003 ACCEPT PAYMENT FOR SHARE HOLDER - CHENGMING GROUP (H.K.) LIMITED (57,960 USD RATE 32.52 THB.1,884,859.20)" u="1"/>
        <s v="RV1810001 ACCEPT PAYMENT FOR SHARE HOLDER" u="1"/>
        <s v="P1811012 ROBINSON CHONBURI - BIN" u="1"/>
        <s v="ค่าล่วงเวลา เดือน ธันวาคม 2566" u="1"/>
        <s v="ค่าภาษีสรรพสามิต เดือน ตุลาคม 2567" u="1"/>
        <s v="ค่าจ้างเหมาบริการบุคคล เดือน พฤษภาคม 2567" u="1"/>
        <s v="ค่าจ้างเหมาบริการบุคคล เดือน พฤษภาคม 2568" u="1"/>
        <s v="ส่วนแบ่งรถกอล์ฟ กุมภาพันธ์ 2566" u="1"/>
        <s v="ค่าภาษีสรรพสามิต เดือน มกราคม 2568" u="1"/>
        <s v="ค่าเสื่อมราคาสะสม เครื่องปรับอากาศ พานาโซนิค CS- PC24NKT จำนวน 2 เครื่อง" u="1"/>
        <s v="ค่าไฟฟ้า เดือน เมษายน 2567, ค่าไฟฟ้า เดือน มีนาคม 2567" u="1"/>
        <s v="ซื้อเครื่องปรับอากาศ พานาโซนิค CS- PC24NKT จำนวน 2 เครื่อง " u="1"/>
        <s v="ชำระค่าสินค้า เลขที่ IV440043" u="1"/>
        <s v="ค่าใช้จ่ายในการเดินทางไปราชการ" u="1"/>
        <s v="ยอดยกมา  30/09/2566" u="1"/>
        <s v="ยอดยกมา 01/05/2565" u="1"/>
        <s v="ยอดยกมา 01/05/2566" u="1"/>
        <s v="รายงานเงินสด/รายได้ค่าเช่ารถกอล์ฟ=คืนเงินส่วนแบ่งรถกอล์ฟที่เหลือ" u="1"/>
        <s v="ยอดยกมา 01/05/2568" u="1"/>
        <s v="ค่าจ้างเหมาปรับปรุงภูมิทัศน์สนามไดร์ฟกอล์ฟ" u="1"/>
        <s v="ชำระค่าสินค้า เลขที่ IV440078" u="1"/>
        <s v="ชำระค่าสินค้า เลขที่ IV440054" u="1"/>
        <s v="JV1810001  DEPRECIATION ON OCT'2018" u="1"/>
        <s v="ค่าจ้างเหมาบริการ เดือน พฤษภาคม 2566" u="1"/>
        <s v="ชำระค่าสินค้า เลขที่ IV440122" u="1"/>
        <s v="ตอบแทนการปฏิบัติงานนอกเวลาราชการ เดือน มีนาคม-เมษายน 2568" u="1"/>
        <s v="P1811020 MARBLE SHRINE" u="1"/>
        <s v="ชำระค่าสินทรัพย์ เลขที่ FA09012911" u="1"/>
        <s v="ค่าไฟฟ้า พ.ค. 67" u="1"/>
        <s v="P1810002 CUSTOM - IMPORT DUTY" u="1"/>
        <s v="ค่าสนับสนุนมหาวิทยาลัยนครพนม และค่าสนับสนุนคณะเทคโนโลยีอุตสาหกรรม" u="1"/>
        <s v="ส่วนแบ่งรถกอล์ฟ เดือน พฤษภาคม 2566" u="1"/>
        <s v="ชำระค่าสินค้า เลขที่ IV440053" u="1"/>
        <s v="ค่าเสื่อมราคาสะสม SAMSUNG NP300E4X-S05TH จำนวน 5 เครื่อง" u="1"/>
        <s v="รายงานเงินสด/รายได้อื่น=รายได้ค่าเช่าสถานที่ขายอุปกรณ์" u="1"/>
        <s v="ค่าภาษีสรรพสามิต เดือน เมษายน 2565" u="1"/>
        <s v="รายงานเงินสด/รายได้อื่นๆ = เงินสนับสนุนการจัดซื้อเครื่องจักรใช้ในสนามกอล์ฟ" u="1"/>
        <s v="ค่าภาษีสรรพสามิต เดือน พฤษภาคม 2566" u="1"/>
        <s v="ซื้อ LENOVO AIO C325 /WHITE จำนวน 5 เครื่อง " u="1"/>
        <s v="P1811005 COM7 PUBLIC - COMPUTER" u="1"/>
        <s v="รายงานเงินสด/ค่าสนับสนุนแข่งขันกอล์ฟ NPU GOLF CHARITY 2023" u="1"/>
        <s v="P1812007 TMAX DESIGN-PVC LABEL" u="1"/>
        <s v="ซื้อเครื่องโทรสารแคนนอน L380S จำนวน 3 เครื่อง  " u="1"/>
        <s v="ชำระค่าสินค้า เลขที่ IV440040" u="1"/>
        <s v="ค่าภาษีสรรพสามิต เดือน เมษายน 2567" u="1"/>
        <s v="จ่ายค่าธรรมเนียมธนาคาร(ซื้อเช็ค)" u="1"/>
        <s v="ตู้เหล็ก Centure SD-023 จำนวน 5 ตู้" u="1"/>
        <s v="ค่าจ้างเหมาบริการ มกราคม 2566 -กุมภาพันธ์ 2566" u="1"/>
        <s v="ส่วนแบ่งค่าเช่ารถกอล์ฟ เดือน มีนาคม 2567" u="1"/>
        <s v="ค่าจ้างเหมาซ่อมเครื่องตัดกรีน ค่าวัสดุ(อะไหล่เครื่องตัดกรีน) " u="1"/>
        <s v="ค่าน้ำมันเชื้อเพลิง เดือน ตุลาคม - ธันวาคม 2565/ค่าจ้างเหมาบริการ เดือน มกราคม 2565" u="1"/>
        <s v="ค่าจ้างเหมางานขนย้ายและติดตั้งเสาไฟฟ้าแรงสูง" u="1"/>
        <s v="ส่วนแบ่งรถกอล์ฟ เดือน สิงหาคม 2567" u="1"/>
        <s v="ค่าธรรมเนียมธนาคาร(ซื้อเช็ค)" u="1"/>
        <s v="คำนวณต้นทุนขายสินค้า สนญ." u="1"/>
        <s v="ฝากเงินด้วยเช็คเลขที่ 448200" u="1"/>
        <s v="ชำระค่าสินค้า เลขที่ IV440143" u="1"/>
        <s v="ค่าไฟฟ้า เดือน พ.ย. - ธ.ค.66 และ ม.ค. 67" u="1"/>
        <s v="test" u="1"/>
        <s v="ยอดยกมา 01/06/2565" u="1"/>
        <s v="รายงานเงินสด/ค่าสมัคร-ค่าสนับสนุนแข่งขันกอล์ฟ NPU GOLF CHARITY 2023" u="1"/>
        <s v="ยอดยกมา 01/06/2566" u="1"/>
        <s v="ยอดยกมา 01/06/2567" u="1"/>
        <s v="ยอดยกมา 01/06/2568" u="1"/>
        <s v="ชำระค่าสินค้า เลขที่ IV440130" u="1"/>
        <s v="รายงานเงินสด/รายได้อื่นๆ=ค่าเช่าสถานที่ขายอุปกรณ์" u="1"/>
        <s v="ค่าหญ้า" u="1"/>
        <s v="ค่าจ้างเหมาบริการบุคคล เดือน มกราคม 2568" u="1"/>
        <s v="ฝากเงินด้วยเช็คเลขที่ 448201" u="1"/>
        <s v="ชำระค่าสินค้า เลขที่ IV440153" u="1"/>
        <s v="ค่าไฟฟ้า เดือน มิถุนายน 2567" u="1"/>
        <s v="P1811024 SOCIAL SECURITY OFFICE - SOCIAL SECURITY COMPENSATION FUND 2018" u="1"/>
        <s v="ชำระค่าสินค้า เลขที่ IV440141" u="1"/>
        <s v="รายการปรับปรุง" u="1"/>
        <s v="P1812006 THE PROVINCIAL WATER WORKS" u="1"/>
        <s v="P1812036  P.J.MUANGMAI - SUPPLY EXP." u="1"/>
        <s v="ค่าภาษีสรรพสามิต ประจำดือน กันยายน 2568" u="1"/>
        <s v="P1811006 MR.PARATH - BANK CHARGE" u="1"/>
        <s v="ชำระค่าสินค้า เลขที่ IV440175" u="1"/>
        <s v="ค่าไฟฟ้า เดือน มิถุนายน 2568" u="1"/>
        <s v="ค่าวัสดุ, ค่าวัสดุสำนักงาน" u="1"/>
        <s v="P1810007 GNINE CO.,LTD. - COMMUTER" u="1"/>
        <s v="ค่าวัสดุสำนักงาน" u="1"/>
        <s v="ยอดยกมา 01/07/2565" u="1"/>
        <s v="ยอดยกมา 01/07/2567" u="1"/>
        <s v="ยอดยกมา 01/07/2568" u="1"/>
        <s v="fdsfds" u="1"/>
        <s v="P1811014 TOPS MARKET CHONBURI - SUPPLY EXP." u="1"/>
        <s v="ค่าจ้างเหมาปรับระดับดิน ค่าจ้างเหมารื้อถอนเสาไฟฟ้าแรงสูง ค่าน้ำมันเชื้อเพลิง ค่าจ้างเหมาบริการ เดือน กุมภาพันธ์ 2565" u="1"/>
        <s v="ค่าภาษีสรรพสามิต เดือน กรกฎาคม 2567" u="1"/>
        <s v="ค่าธรรมเนียมออกเช็คเลขที่ 21370001 - 21370030" u="1"/>
        <s v="P1811009 OFFICE CLUB - SUPPLY EXP." u="1"/>
        <s v="ชำระค่า ยื่นแบบภาษีมูลค่าเพิ่ม 09/2017 เลขที่ VT2303201709" u="1"/>
        <s v="ฝากเงินด้วยเช็คเลขที่ 448011" u="1"/>
        <s v="รับใบแจ้งหนี้ค่าโฆษณาทีวี" u="1"/>
        <s v="ชำระค่าสินค้า เลขที่ IV440093" u="1"/>
        <s v="รายงานเงินสด,ค่าเช่าสถานที่ขายอุปกรณ์กอล์ฟ" u="1"/>
        <s v="รายงานเงินสด/ค่าเช่าสถานที่ขายอุปกรณ์กอล์ฟ" u="1"/>
        <s v="ชำระค่าสินค้า เลขที่ IV440081" u="1"/>
        <s v="ค่าภาษีสรรพสามิต เดือน สิงหาคม 67" u="1"/>
        <s v="ถอนเงินนำฝากเกิน" u="1"/>
        <s v="ค่าไฟฟ้า ประจำเดือน สิงหาคม 2568" u="1"/>
        <s v="P1811001 PENPIMOL - RENTAL OFFICE FEE ON NOV'2018" u="1"/>
        <s v="ชำระค่าสินค้า เลขที่ IV440092" u="1"/>
        <s v="ตอบแทนการปฏิบัติงานนอกเวลาราชการ เดือน เมษายน 67, ค่าสนับสนุนการแข่งขันกีฬามหาวิทยาลัยแห่งประเทศไทย ครั้งที่ 40" u="1"/>
        <s v="ชำระค่าสินค้า เลขที่ IV440160" u="1"/>
        <s v="ค่าจ้างเหมางานปรับพื้นที่ถนน, ค่าจ้างเหมางานขุดล้อมย้ายต้นไม้และนำกลับไปปลูกใหม่" u="1"/>
        <s v="ค่จ้างเหมาบริการบุคคล เดือน พฤศจิกายน 2566" u="1"/>
        <s v="P1811016 HAH SENG HUAD - STATIONARY" u="1"/>
        <s v="ค่าไฟฟ้า เดือน กรกรฎาคม 2565 ค่าน้ำมันเชื้อเพลิง" u="1"/>
        <s v="ค่าจ้างเหมาบริการ เดือน กันยายน 2566" u="1"/>
        <s v="P1811025 FOODLAND - SUPPLY EXP." u="1"/>
        <s v="sfdsaf" u="1"/>
        <s v="ใบแจ้งหนี้ ค่าน้ำประปา " u="1"/>
        <s v="รายได้สนามกอล์ฟ" u="1"/>
        <s v="ค่าไฟฟ้าสนามกอล์ฟ " u="1"/>
        <s v="P1812023 MR.PHONGSAKORN - MERIT MAKING COMPANY EXP." u="1"/>
        <s v="P1810009 HOMEPRODUCT CENTER CO.,LTD. - SUPPLY EXP." u="1"/>
        <s v="ยอดยกมา 01/08/2565" u="1"/>
        <s v="ค่าปุ๋ย" u="1"/>
        <s v="ยอดยกมา 01/08/2567" u="1"/>
        <s v="ยอดยกมา 01/08/2568" u="1"/>
        <s v="ค่าสนับสนุนการแข่งขันกอล์ฟมุทิตาจิต" u="1"/>
        <s v="ส่วนแบ่งค่าเช่ารถกอล์ฟ เดือน มิถุนายน 2567" u="1"/>
        <s v="P1811010 AKOMCHAREONYON - MOTOCYCLE " u="1"/>
        <s v="P1812009 COL PUBLIC - STEEL BOX" u="1"/>
        <s v="ชำระค่าสินค้า เลขที่ IV440090" u="1"/>
        <s v="P1901019  MR.PARATH - TV STAND" u="1"/>
        <s v="ค่าวัสดุ" u="1"/>
        <s v="b" u="1"/>
        <s v="คำนวณต้นทุนขายสินค้า ตะวันออก" u="1"/>
        <s v="P1812044  D PHARMACY - DRUG" u="1"/>
        <s v="P1810004 MS.PENPOMOL - RENTAL FEE OCT'2018" u="1"/>
        <s v="ยอดยกมา 1/11/2564" u="1"/>
        <s v="ค่าภาษีสรรพสามิต มกราคม 2566" u="1"/>
        <s v="รายงานเงินสด/ค่าเช่าสถานที่ขายอุปกรณ์" u="1"/>
        <s v="ชำระค่า ยื่นแบบภาษีหัก ณ ที่จ่าย (ภ.ง.ด.1) 09/2017 เลขที่ 012303201709" u="1"/>
        <s v="P1811019 CHONBURI W.PANIT - STATIONARY" u="1"/>
        <s v="ค่าภาษีสรรพสามิต เดือน ธันวาคม 2565" u="1"/>
        <s v="คำนวณต้นทุนขายสินค้า ใต้" u="1"/>
        <s v="ส่วนแบ่งค่าเช่ารถกอล์ฟ เดือน มิถุนายน 2568" u="1"/>
        <s v="รายได้ค่าบริการสนามกอล์ฟ" u="1"/>
        <s v="ปิดบัญชีภาษีมูลค่าเพิ่มงวด 09/2017 " u="1"/>
        <s v="ค่าอาหาร อาหารว่างและเครื่องดื่ม" u="1"/>
        <s v="ค่าจ้างเหมาบริการบุคคล เดือน มีนาคม 2567" u="1"/>
        <s v="ADVANCE MONEY FOR PETTY CASH" u="1"/>
        <s v="P1812038  CUSTOM - COMMISSION CHARGE" u="1"/>
        <s v="ค่าไฟฟ้า เดือน พฤศจิกายน 2567" u="1"/>
        <s v="ค่าจ้างเหมางานปรับระดับดิน" u="1"/>
        <s v="ส่วนแบ่งค่าเช่ารถกอล์ฟ เดือน เมษายน 2567" u="1"/>
        <s v="ค่าไฟฟ้า เดือน มกราคม - มีนาคม 2568" u="1"/>
        <s v="ฝากเงินด้วยเช็คเลขที่ 448022" u="1"/>
        <s v="ฝากเงินด้วยเช็คเลขที่ 448114" u="1"/>
        <s v="ค่าไฟฟ้า เดือน กรกฎาคม 2568" u="1"/>
        <s v="P1812011  S&amp;P CENDICATE - CAKE" u="1"/>
        <s v="ชำระค่าประปา เลขที่ WT2358201710" u="1"/>
        <s v="ชำระค่าไฟฟ้า เลขที่ EE2358201710" u="1"/>
        <s v="P1810001 MS.PENPIMOL - DEPOSIT FOR OFFICE " u="1"/>
        <s v="ฝากเงินด้วยเช็คเลขที่ 448314" u="1"/>
        <s v="ค่าจ้างเหมาบริการบุคคล เดือน กุมภาพันธ์ 2567" u="1"/>
        <s v="ยอดยกมา 01/09/2565" u="1"/>
        <s v="ยอดยกมา 01/09/2566" u="1"/>
        <s v="P1811026 CHULALONGKORN UNIVERSITY BOOK CENTER - COATS" u="1"/>
        <s v="ยอดยกมา 01/09/2567" u="1"/>
        <s v="ยอดยกมา 01/09/2568" u="1"/>
        <s v="ค่าภาษีสรรพสามิต เดือน มีนาคม 2565 ค่าจ้างเหมาบริการบุคคล เดือน มีนาคม 2565 ค่าวัสดุ (หญ้านวลน้อย)" u="1"/>
        <s v="ค่าสนับสนุนการแข่งขันกีฬากอล์ฟการกุศล" u="1"/>
        <s v="fsfdsaf" u="1"/>
        <s v="P1812033  MR.PHONGSAKORN - GRAND OPENING EXP." u="1"/>
        <s v="ค่าธรรมเนียม (ซื้อเช็ค)" u="1"/>
        <s v="ถอนเงินคืน" u="1"/>
        <s v="ยอดยกมา 30/09/2565" u="1"/>
        <s v="ค่าเสื่อมราคาสะสม ตู้เอกสาร 3 ชั้น เฟอร์ราเดค F10611N" u="1"/>
        <s v="รับเช็คเพื่อชำระค่าสินค้า" u="1"/>
        <s v="fdsfdsf" u="1"/>
        <s v="P1901013  TANTI CHAREONPOKSUP - BIGGER" u="1"/>
        <s v="P1811017 NAKAPONG CHONBURI - GASOLINE" u="1"/>
        <s v="ฝากเงินด้วยเช็คเลขที่ 448031" u="1"/>
        <s v="ฝากเงินด้วยเช็คเลขที่ 448315" u="1"/>
        <s v="ค่าภาษีสรรพสามิต มีนาคม 2566/ส่วนแบ่งรถกอล์ฟ มีนาคม 2566" u="1"/>
        <s v="P1812026 MOUDAENG - MAKE MARIT COMPANY" u="1"/>
        <s v="เครื่องถ่ายเอกสาร Sharp AR-5618S จำนวน 2 เครื่อง" u="1"/>
        <s v="P1901012 AIS WILESS NETWORK - INTERNET EXP." u="1"/>
        <s v="ชำระค่าโทรศัพท์เคลื่อนที่ เลขที่ MP2358201710" u="1"/>
        <s v="P1810008 THE INFINITY GRAND - VIEWSONIC PROJECTOR" u="1"/>
        <s v="P1901002 BIG C SUPERCENTER - T POL PURE" u="1"/>
        <s v="ส่วนแบ่งค่าเช่ารถกอล์ฟ เดือน มีนาคม 2568" u="1"/>
        <s v="P1901006  SOCIAL SECURITY OFFICE - SOCIAL SECURITY EXP." u="1"/>
        <s v="รายง่านเงินสด" u="1"/>
        <s v="safdsafds" u="1"/>
        <s v="P1811011 BIG C CHONBURI - GARBAGE BAG" u="1"/>
        <s v="ฝากเงินด้วยเช็คเลขที่ 448024" u="1"/>
        <s v="ส่วนแบ่งรถกอ์ฟ เดือน กรกฎาคม 2567" u="1"/>
        <s v="P1812043 PROVINCIAL ELECTRICITY - ELECTRIC CHARGE." u="1"/>
        <s v="ค่าจ้างเหมาบริการบุคคล เดือน มิถุนายน 2565" u="1"/>
        <s v="ฝากเงินด้วยเช็คเลขที่ 448232" u="1"/>
        <s v="รายงานเงินสด/ค่ามัดจำปิดสนาม" u="1"/>
        <s v="ขายหุ้นสามัญในราคาตามมูลค่าหุ้นละ 100 จำนวน 25,000 หุ้น " u="1"/>
        <s v="JV1811002  YIXING JIGRAN TRADING - FREENESS TESTER" u="1"/>
        <s v="ดอกเบี้ยรับ" u="1"/>
        <s v="ค่าจ้างเหมาบริการบุคคคล เดือน เมษายน 2565" u="1"/>
        <s v="ตอบแทนปฏิบัติงานนอกเวลาราชการ เดือน กรกฎาคม 67" u="1"/>
        <s v="P1811021  Z2ME SHOPPING - LED RING LIGHT" u="1"/>
        <s v="ชำระค่าเช่าคลังสินค้า เลขที่ WH1736201710" u="1"/>
        <s v="ชำระค่าเช่าคลังสินค้า เลขที่ WH1736201711" u="1"/>
        <s v="ค่าเสื่อมราคาสะสม ตู้ 4 ชั้นบานเปิด เฟอร์ราเดค SC1692 จำนวน 6 ตู้" u="1"/>
        <s v="ยอดยกมา 1/01/2565" u="1"/>
        <s v="ฝากเงินด้วยเช็คเลขที่ 448025" u="1"/>
        <s v="P1811027 COL PUBLIC - STATIONARY" u="1"/>
        <s v="ค่าไฟฟ้า เดือน พฤษภาคม 2565" u="1"/>
        <s v="ฝากเงินด้วยเช็คเลขที่ 448133" u="1"/>
        <s v="ฝากเงินด้วยเช็คเลขที่ 448225" u="1"/>
        <s v="P1901008  JEAMTONGKEE - SUPPLY EXP." u="1"/>
        <s v="ค่าภาษีสรรพสามิต ประจำเดือน สิงหาคม 2568" u="1"/>
        <s v="ฝากเงินด้วยเช็คเลขที่ 448141" u="1"/>
        <s v="ชำระค่าเช่าคลังสินค้า เลขที่ WH1746201710" u="1"/>
        <s v="ชำระค่าเช่าคลังสินค้า เลขที่ WH1746201711" u="1"/>
        <s v="ยอดยกมา 1/12/2564" u="1"/>
        <s v="ชำระค่าเช่าคลังสินค้า เลขที่ WH1756201710" u="1"/>
        <s v="หลักประกันสัญญา" u="1"/>
        <s v="ค่าจ้างเหมาบริการ เดือน สิงหาคม 2566" u="1"/>
        <s v="dsafdsaf" u="1"/>
        <s v="P1811022 FUJI ICE ONLINE - PLASTIC CYLINDER" u="1"/>
        <s v="ตอบแทนปฏิบัติงานนอกเวลาราชการ เดือน มิถุนายน 2567" u="1"/>
        <s v="ฝากเงินด้วยเช็คเลขที่ 448118" u="1"/>
        <s v="ค่าเดินทางไปราชการ   ค่าวัสดุ (ตาข่าย)" u="1"/>
        <s v="ส่วนแบ่งรถกอล์ฟ มกราคม 2566" u="1"/>
        <s v="ซื้อเก้าอี้หนังเฟอร์ราเดค LR/M 10 ตัว" u="1"/>
        <s v="P1812041  OFFICE CLUB - SUPPLY EXP." u="1"/>
        <s v="ส่วนแบ่งค่าเช่ารถกอล์ฟ เดือน กันยายน 2567" u="1"/>
        <s v="ค่าจ้างเหมาบริการบุคคล เดือน มิถุนายน 2567" u="1"/>
        <s v="ค่าวัสดุ, ค่าทราย" u="1"/>
        <s v="P1812018 TALADCARD - STRAP" u="1"/>
        <s v="ค่าไฟฟ้า เดือน กรกฎาคม 67" u="1"/>
        <s v="ตู้เอกสาร 3 ชั้น เฟอร์ราเดค F10611N" u="1"/>
        <s v="P1901014  MS.RASSARIN - GASOLINE" u="1"/>
        <s v="ค่าภาษีสรรพสามิต เดือน กันยายน 2565" u="1"/>
        <s v="ตอบแทนการปฏิบัติงานนอกเวลาราชการ เดือน มีนาคม 2567, ค่าไฟฟ้า " u="1"/>
        <s v="P1812021 SIAM MAKRO - SUPPLY EXP." u="1"/>
        <s v="ค่าสนับสนุนการแข่งขันกีฬาบุคลากรมหาวิทยาลัยแห่งประเทศไทย ครั้งที่ 41" u="1"/>
        <s v="ค่าธรรมเนียมออกเช็คเลขที่ 21430001 - 21430030" u="1"/>
        <s v="ค่าธรรมเนียมออกเช็คเลขที่ 21440001 - 21440030" u="1"/>
        <s v="ค่าไฟฟ้า เดือน ตุลาคม 2567" u="1"/>
        <s v="P1810010 ADVANCE WILESS NETWORK - INTERNET FEE." u="1"/>
        <s v="ค่าวัสดุ ค่าจ้างทำบัตรสมาชิก" u="1"/>
        <s v="P1811013  OFFICE CLUB (THAI) CO.,LTD. - STATIONARY " u="1"/>
        <s v="RV1810002 ACCEPT PAYMENT FOR SHARE HOLDER - CHENG MING GROUP(H.K.) (249,960 USD RATE 32.52 THB.8,128,699.20)" u="1"/>
        <s v="ลงทุนด้วยเงินสด" u="1"/>
        <s v="ถอนเงินคืนเจ้าของบัญชี" u="1"/>
        <s v="ค่าไฟฟ้า เดือน มิถุนายน 2565 ค่าภาษีสรรพสามิต เดือน กรกฎาคม 2565" u="1"/>
        <s v="P1811023 TOFFY CAKE CHONBURI - INTERMENT EXP." u="1"/>
        <s v="คำนวณต้นทุนขายสินค้า เหนือ" u="1"/>
        <s v="ค่าสนับสนุนการแข่งขันกอล์ฟการกุศล Charity Golf Tournament 2025" u="1"/>
        <s v="ฝากเงินด้วยเช็คเลขที่ 448119" u="1"/>
        <s v="ค่าภาษีสรรพสามิต เดือน กรกฎาคม 2568" u="1"/>
        <s v="ฝากเงินด้วยเช็คเลขที่ 448227" u="1"/>
        <s v="P1811030 OFFICE CLUB - STATIONARY" u="1"/>
        <s v="P1812030 OFFICE CLUB - STATIONARY" u="1"/>
        <s v="ฝากเงินด้วยเช็คเลขที่ 448235" u="1"/>
        <s v="ค่าใบมีดตัดหญ้า" u="1"/>
        <s v="ปิดบัญชีภาษีมูลค่าเพิ่มงวด 10/2017 " u="1"/>
        <s v="ค่าจ้างเหมาบริการบุคคล เดือน มิถุนายน 2568" u="1"/>
        <s v="ฝากเงินด้วยเช็คเลขที่ 448151" u="1"/>
        <s v="P1901011  MIT TECHNOLOGY - DIGITAL HOTPLATE" u="1"/>
        <s v="ตอบแทนการปฏิบัติงานนอกเวลาราชการ เดือน พฤศจิกายน 67" u="1"/>
        <s v="ค่าจ้างเหมาบริการบุคคล เดือน เมษายน 2567" u="1"/>
        <s v="ค่าจ้างเหมาบริการ มีนาคม 2566" u="1"/>
        <s v="SAMSUNG NP300E4X-S05TH จำนวน 5 เครื่อง" u="1"/>
        <s v="P1901015 MR.DANUSORN - GASOLINE" u="1"/>
        <s v="P1811028 COL PUBLIC - LAMINATING MACHINE" u="1"/>
        <s v="P1811007 TMAX DESIGN - NAME CARD" u="1"/>
        <s v="P1812012 TMAX DESIGN - NAME CARD" u="1"/>
        <s v="ส่วนแบ่งค่าเช่ารถกอล์ฟ เดือน ธันวาคม 2566, ค่าทราย" u="1"/>
        <s v="ส่วนแบ่งค่าเช่ารถกอล์ฟ เดือน กรกฎาคม 2568 , ค่าน้ำมันเชื้อเพลิง" u="1"/>
        <s v="P1812040 ROBINSON - BLENDER" u="1"/>
        <s v="จ่ายชำระหนี้เก้าอี้หนังเฟอร์ราเดค" u="1"/>
        <s v="ค่าจ้างเจาะหลุมและตืดตั้งเสาไฟฟ้าแรงสูงสนามไดร์ฟกอล์ฟ" u="1"/>
        <s v="ฝากเงินด้วยเช็คเลขที่ 448236" u="1"/>
        <s v="ฝากเงินด้วยเช็คเลขที่ 448152" u="1"/>
        <s v="P1812003 AIS WIRLESS NETWORK - INTERNET EXP." u="1"/>
        <s v="ค่าทราย" u="1"/>
        <s v="รายงานเงินสด/รายได้อื่น=ธนาคารฝากเงินผิดบัญชี" u="1"/>
        <s v="ชำระค่าโฆษณา เลขที่ AD09215000" u="1"/>
        <s v="ค่าเดินทางไปราชการ" u="1"/>
        <s v="ค่าจ้างเหมาคอริ่งกรีนและรอบกรีน ค่าน้ำมันเชื้อเพลิง ค่าวัสดุ (แกลบเผา)" u="1"/>
        <s v="ค่าภาษีสรรพสามิต กุมภาพันธ์ 2566" u="1"/>
        <s v="ตอบแทนปฏิบัติงานนอกเวลาราชการเดือน มกราคม 2568" u="1"/>
        <s v="ค่าไฟฟ้า มกราคม - กุมภาพันธ์ 2565 ค่าวัสดุ (ลูกซ้อมไดร์และทียาง)" u="1"/>
        <s v="P1812032  CHARIOT - ENTERTAINMENT EXP." u="1"/>
        <s v="ฝากเงินด้วยเช็คเลขที่ 448237" u="1"/>
        <s v="ชำระค่าขนส่งเข้าสินค้า เลขที่ TR440040" u="1"/>
        <s v="ชำระค่าขนส่งเข้าสินค้า เลขที่ TR440090" u="1"/>
        <s v="ค่าจ้างเหมาบริการบุคคล เดือน มีนาคม 2568" u="1"/>
        <s v="ใบแจ้งหนี้ค่าเช่าคลังสินค้า" u="1"/>
        <s v="ค่าภาษีสรรพสามิต เดือน ธันวาคม 2566" u="1"/>
        <s v="ชำระค่าขนส่งเข้าสินค้า เลขที่ TR440021" u="1"/>
        <s v="ค่าวัสดุ (ปุ๋ยและฟูราดาน)" u="1"/>
        <s v="ชำระค่าขนส่งเข้าสินค้า เลขที่ TR440081" u="1"/>
        <s v="ชุดโต๊ะประชุม 8 คน" u="1"/>
        <s v="รายงานเงินสด,ค่าเช่าสถานที่ขายของ(อุปกรณ์กอล์ฟ)" u="1"/>
        <s v="รายงานเงินสด, ค่าบำรุงสนาม (ค่าน้ำ-ค่าไฟฟ้า)" u="1"/>
        <s v="ชำระค่า ยื่นแบบภาษีหัก ณ ที่จ่าย (ภ.ง.ด.53) 09/2017 เลขที่ 532303201709" u="1"/>
        <s v="ฝากเงินด้วยเช็คเลขที่ 448238" u="1"/>
        <s v="ชำระค่าขนส่งเข้าสินค้า เลขที่ TR440012" u="1"/>
        <s v="ชำระค่า ยื่นแบบการส่งเงินสมทบ สปส. 10/2017 เลขที่ SS2305201710" u="1"/>
        <s v="ส่วนแบ่งค่าเช่ารถกอล์ฟ เดือน พฤษภาคม 2567, ค่าภาษีสรรพสามิต เดือน พฤษภาคม 2567" u="1"/>
        <s v="ฝากเงินด้วยเช็คเลขที่ 448154" u="1"/>
        <s v="ค่าจ้างเหมาบริการบุคคล ประจำเดือน ตุลาคม 2568" u="1"/>
        <s v="ฝากเงินด้วยเช็คเลขที่ 448070" u="1"/>
        <s v="ค่าวัสดุ (ทราย) ค่าจ้างทำหมุดทีออฟ" u="1"/>
        <s v="ชำระค่าขนส่งเข้าสินค้า เลขที่ TR440092" u="1"/>
        <s v="กระดานอิเล็กทรอนิกส์+ขาตั้ง พลัส BF-041S" u="1"/>
        <s v="ชำระค่าขนส่งเข้าสินค้า เลขที่ TR440003" u="1"/>
        <s v="ชำระค่าขนส่งเข้าสินค้า เลขที่ TR440043" u="1"/>
        <s v="PV1811001 YIXING JINGRAN TRADING CO.,LTD. - ADVANCE 30 % FOR MACHINE" u="1"/>
        <s v="ชำระค่าขนส่งเข้าสินค้า เลขที่ TR440053" u="1"/>
        <s v="ชำระค่าขนส่งเข้าสินค้า เลขที่ TR440093" u="1"/>
        <s v="P1901003  MJ PLUS CO.,LTD. - STAMPER" u="1"/>
        <s v="P1812045  SALARY DEC'2018" u="1"/>
        <s v="ฝากเงินด้วยเช็คเลขที่ 448055" u="1"/>
        <s v="ค่าน้ำมันเชื้อเพลิง ค่าสูบสิ่งปฏิกูล(สูบส้วม)" u="1"/>
        <s v="ฝากเงินด้วยเช็คเลขที่ 448155" u="1"/>
        <s v="ชำระค่าสินทรัพย์ เลขที่ FA09013031" u="1"/>
        <s v="ชำระค่าขนส่งเข้าสินค้า เลขที่ TR440054" u="1"/>
        <s v="ค่าไฟฟ้า เดือน พฤษภาคม 2568" u="1"/>
        <s v="ฝากเงินด้วยเช็คเลขที่ 448071" u="1"/>
        <s v="P1812031 TRUE MONEY - INTERNET EXP." u="1"/>
        <s v="กหฟดกห" u="1"/>
        <s v="P1901010  KAYDEE - SUPPLY EXP." u="1"/>
        <s v="ค่าภาษีสรรพสามิต ประจำเดือน ตุลาคม 2568" u="1"/>
        <s v="ค่าภาษีสรรพสามิต เดือน มิถุนายน 2565" u="1"/>
        <s v="ค่าภาษีสรรพสามิต เดือน พฤษภาคม 2568" u="1"/>
        <s v="ส่วนแบ่งค่าเช่ารถกอล์ฟ ประจำเดือน สิงหาคม 2568 และ เงินตอบแทนปฏิบัติงานนอกเวลาราชการ เดือน กรกรฎาคม 2568 " u="1"/>
        <s v="P1812024  MONTRI PUBLISHING - ENVELOPE" u="1"/>
        <s v="ค่าเสื่อมราคาสะสม กระดานอิเล็กทรอนิกส์+ขาตั้ง พลัส BF-041S" u="1"/>
        <s v="รายงานเงินสด/" u="1"/>
        <s v="ค่าเช่าสถานที่ขายอุปกรณ์กอล์ฟ/รายงานเงินสด" u="1"/>
        <s v="ค่าจ้างเหมาบริการบุคคล เดือน กันยายน 2565" u="1"/>
        <s v="ค่าจ้างเหมาบริการบุคคล เดือน กันยายน 2567" u="1"/>
        <s v="ค่าจ้างเหมาบริการบุคคล เดือน กันยายน 2568" u="1"/>
        <s v="ชำระค่าโทรศัพท์พื้นฐาน เลขที่ PH2358201710" u="1"/>
        <s v="P1812042 VIROJ VITTAYAPAN - SUPPLY EXP." u="1"/>
        <s v="P1812027 MR.PHONGSAKORN - MAKE MARIT COMPANY" u="1"/>
        <s v="P1811029 SUPER CENTER - PAPER CUP" u="1"/>
        <s v="ฝากเงินด้วยเช็คเลขที่ 448072" u="1"/>
        <s v="รายงานเงินสด/ค่าสมัรแข่งขันกอล์ฟการกุศล" u="1"/>
        <s v="P1811015 20 SHOP - BIN" u="1"/>
        <s v="ฝากเงินด้วยเช็คเลขที่ 448280" u="1"/>
        <s v="ฝากเงินด้วยเช็คเลขที่ 448372" u="1"/>
        <s v="P1810005 HOMEPRO - SUPPLY EXP." u="1"/>
        <s v="รายงานเงินสด/ส่วนแบ่งรถกอล์ฟ เดือน ตุลาคม - ธันวาคม 2564" u="1"/>
        <s v="JV1812001  AIS WILESS NETWORK - INTERNET FEE." u="1"/>
        <s v="R1810001 ADVANCE MONEY FOR PETTY CASH" u="1"/>
        <s v="R1810002 ADVANCE MONEY FOR PETTY CASH" u="1"/>
        <s v="R1810003 ADVANCE MONEY FOR PETTY CASH" u="1"/>
        <s v="R1811001 ADVANCE MONEY FOR PETTY CASH" u="1"/>
        <s v="ค่าจ้างเหมาบริการบุคคล เดือน กรกฎาคม 2565" u="1"/>
        <s v="ค่าจ้างเหมาบริการบุคคล เดือน กรกฎาคม 2567" u="1"/>
        <s v="ส่วนแบ่งค่าเช่ารถกอล์ฟ ประจำเดือน กุมภาพันธ์ 2568" u="1"/>
        <s v="ชำระค่าสินทรัพย์ เลขที่ FA09010610" u="1"/>
        <s v="ซื้อเครื่องอ่านลายนิ้วมือสำหรับการลงเวลา ฮิค T-1 จำนวน 1 เครื่อง " u="1"/>
        <s v="ค่าจ้างเหมาบริการบุคคล เดือน กรกฎาคม 2568" u="1"/>
        <s v="ปรับปรุงบัญชีเงินฝากธนาคาร เนื่องจากฝากผิดบัญชี" u="1"/>
        <s v="ส่วนแบ่งค่าเช่ารถกอล์ฟ เดือน ธันวาคม 2567" u="1"/>
        <s v="ค่าไฟฟ้า เดือน ธันวาคม 2567" u="1"/>
        <s v="P1811003 JANCHARM 2 BATH - SUPPLY EXP." u="1"/>
        <s v="ค่าภาษีสรรพสามิต เดือน กันยายน 2564 ค่าภาษีสรรพสามิต เดือน ตุลาคม 2564 ค่าไฟ เดือน สิงหาคม 2564 ค่าไฟฟ้าเดือน กันยายน 2564" u="1"/>
        <s v="ยอดยกมา 1/11/2567" u="1"/>
        <s v="JV1811001 DEPRECIATION ON NOV'2018" u="1"/>
        <s v="ค่าจ้างทำใบเสร็จรับเงิน ค่าวัสดุ (อะไหล่เครื่องตัดกรีน) ค่าวัสดุ ค่าน้ำมันเชื้อเพลิง" u="1"/>
        <s v="ฝากเงินด้วยเช็คเลขที่ 448049" u="1"/>
        <s v="บันทึกสินค้าคงเหลือสิ้นงวด" u="1"/>
        <s v="P1811002 P.PORNPAN SERVICE - COPY KEY" u="1"/>
        <s v="P1812014 P.PORNPAN SERVICE - COPY KEY" u="1"/>
        <s v="ชำระค่าขนส่งเข้าสินค้า เลขที่ TR440130" u="1"/>
        <s v="P1812005 PROVINCIAL ELECTRICITY " u="1"/>
        <s v="ชำระค่าขนส่งเข้าสินค้า เลขที่ TR440160" u="1"/>
        <s v="เครื่องปรับอากาศ พานาโซนิค CS- PC24NKT จำนวน 2 เครื่อง" u="1"/>
        <s v="ค่าล่วงเวลา เดือน ม.ค. 67" u="1"/>
        <s v="ยอดยกมา ณ 1 ต.ค. 64" u="1"/>
        <s v="ชำระค่าขนส่งเข้าสินค้า เลขที่ TR440078" u="1"/>
        <s v="ค่าจ้างคอริ่งกรีนและรอบกรีน" u="1"/>
        <s v="ตอบแทนปฏิบัติงานนอกเวลาราชการ เดือน สิงหาคม 2568" u="1"/>
        <s v="ชำระค่าขนส่งเข้าสินค้า เลขที่ TR440101" u="1"/>
        <s v="ชำระค่า ยื่นแบบการส่งเงินสมทบ สปส. 09/2017 เลขที่ SS2305201709" u="1"/>
        <s v="ปิดบัญชีรายได้" u="1"/>
        <s v="ชำระค่าขนส่งเข้าสินค้า เลขที่ TR440141" u="1"/>
        <s v="P1812020  DHL EXPRESS - COMMISSION CHARGE" u="1"/>
        <s v="ค่าน้ำมันเชื้อเพลิง. ค่าล่วงเวลา เดือน พ.ค. 67" u="1"/>
        <s v="รายงานเงินสด/ค่าเงินสนับสนุนแข่งกอล์ฟการกุศล NPU GOLF CHARITY 2023" u="1"/>
        <s v="ชำระค่าขนส่งเข้าสินค้า เลขที่ TR440122" u="1"/>
        <s v="P1901005  KERRY EXPRESS - COMMISSION CHARGE" u="1"/>
        <s v="ฝากเงินด้วยเช็คเลขที่ 448074" u="1"/>
        <s v="ค่าจ้างเหมาบริการบุคคล เดือน สิงหาคม 2565" u="1"/>
        <s v="ฝากเงินด้วยเช็คเลขที่ 448174" u="1"/>
        <s v="ค่าจ้างเหมาบริการบุคคล เดือน สิงหาคม 2567" u="1"/>
        <s v="ค่าจ้างเหมาบริการบุคคล เดือน สิงหาคม 2568" u="1"/>
        <s v="ค่าสนับสนุนทุนการศึกษา คณะเทคโนโลยีอุตสาหกรรม มหาวิทยาลัยนครพนม" u="1"/>
        <s v="ตอบแทนปฏิบัติงานนอกเวลาราชการ เดือน กุมภาพันธ์ 2567, ค่าไฟฟ้า เดือน กุมภาพันธ์ 2567" u="1"/>
        <s v="ชำระค่าโฆษณา เลขที่ AD09014718" u="1"/>
        <s v="sfsfdsfs" u="1"/>
        <s v="ตอบแทนปฏิบัติงานนอกเวลาราชการ เดือน ธันวาคม 2567" u="1"/>
        <s v="ปิดบัญชีค่าใช้จ่าย" u="1"/>
        <s v="ลงทุน" u="1"/>
        <s v="ค่าธรรมเนียมออกเช็คเลขที่ 21520001 - 21520030" u="1"/>
        <s v="ชำระค่าขนส่งเข้าสินค้า เลขที่ TR440143" u="1"/>
        <s v="รายงานเงินสด/ค่าเช่าสถานที่ขายอุปกรณ์กอล์ฟ/ค่าสมัคร-สนับสนุนการแข่งขันกอล์ฟการกุศล NPU GOLF CHARITY 2023" u="1"/>
        <s v="ชำระค่าขนส่งเข้าสินค้า เลขที่ TR440153" u="1"/>
        <s v="ใบแจ้งหนี้ ค่าไฟฟ้า " u="1"/>
        <s v="ค่าสนับสนุนมหาวิทยาลัยนครพนม,คณะเทคโนโลยีอุตสาหกรรม" u="1"/>
        <s v="P1812019 TUMMAROS - HOLY THREAD EXP." u="1"/>
        <s v="P1812025 TMAX-DESIGN - PVC LABEL" u="1"/>
        <s v="ชำระค่าสินทรัพย์ เลขที่ FA09013244" u="1"/>
        <s v="ซื้อตู้เอกสาร 3 ชั้น เฟอร์ราเดค F10611N " u="1"/>
        <s v="ชำระค่าสินทรัพย์ เลขที่ FA09010846" u="1"/>
        <s v="รานงานเงินสด" u="1"/>
        <s v="ชำระค่าขนส่งเข้าสินค้า เลขที่ TR440114" u="1"/>
        <s v="ค่าไฟฟ้า เดือน เมษายน 2565" u="1"/>
        <s v="ฝากเงินด้วยเช็คเลขที่ 448175" u="1"/>
        <s v="ค่าไฟฟ้า เดือน เมษายน 2567" u="1"/>
        <s v="ค่าภาษีสรรพสามิต ประจำเดือน กุมภาพันธ์ 2568" u="1"/>
        <s v="ค่าสมัครแข่งขันกอล์ฟการกุศล" u="1"/>
        <s v="ค่าไฟฟ้า เดือน เมษายน 2568" u="1"/>
        <s v="บันทึกกำไรสุทธิเข้ากำไรสะสม" u="1"/>
        <s v="P1812001 MS.PENPIMOL - RENTAL FEE DEC'2018" u="1"/>
        <s v="รายงานเงินสด/รายได้อื่นๆ = ค่าเช่าสถานที่ขายอุปกรณ์กอล์ฟ" u="1"/>
        <s v="P1811031 SALARY NOV'2018" u="1"/>
        <s v="ชำระค่าขนส่งเข้าสินค้า เลขที่ TR440175" u="1"/>
        <s v="ชำระค่าประปา เลขที่ WT2358201709" u="1"/>
        <s v="ชำระค่าไฟฟ้า เลขที่ EE2358201709" u="1"/>
        <s v="P1811008 JOB DB - COMMISSION CHARGE" u="1"/>
        <s v="ค่าสนับสนุนการแข่งขันกอล์ฟลาภู 2023" u="1"/>
        <s v="ค่าจ้างเหมาบริการบุคคล เดือน กุมภาพันธ์ 68" u="1"/>
        <s v="P1812039  DEPARTMENT OF EMPLOYMENT - COMMISSION CHARGE" u="1"/>
        <s v="ค่าน้ำมันเชื้อเพลิง/ค่าจ้างเหมาบริการ" u="1"/>
        <s v="ฝากเงินด้วยเช็คเลขที่ 448176" u="1"/>
        <s v="P1901018  MR.PARATH - MAKE MARIT COMPANY" u="1"/>
        <s v="P1810011 ADVANCE MONEY FOR MR.SUPACHOCK" u="1"/>
        <s v="ฝากเงินด้วยเช็คเลขที่ 448284" u="1"/>
        <s v="ค่าวัสดุ ค่าวัสดุ(งานบ้านงานครัว)" u="1"/>
        <s v="P1901001 MS.PENPIMOL - RENTAL FEE JAN'2019" u="1"/>
      </sharedItems>
    </cacheField>
    <cacheField name="เลขที่บัญชี" numFmtId="0">
      <sharedItems containsSemiMixedTypes="0" containsString="0" containsNumber="1" minValue="101001" maxValue="600002" count="92">
        <n v="101002"/>
        <n v="101003"/>
        <n v="101005"/>
        <n v="101007"/>
        <n v="101009"/>
        <n v="101011"/>
        <n v="101013"/>
        <n v="101015"/>
        <n v="101017"/>
        <n v="101019"/>
        <n v="101021"/>
        <n v="201002"/>
        <n v="201004"/>
        <n v="201008"/>
        <n v="301001"/>
        <n v="301002"/>
        <n v="301003"/>
        <n v="401003"/>
        <n v="401004"/>
        <n v="401005"/>
        <n v="401007"/>
        <n v="401008"/>
        <n v="401009"/>
        <n v="401010"/>
        <n v="401012"/>
        <n v="401013"/>
        <n v="401014"/>
        <n v="401016"/>
        <n v="401018"/>
        <n v="501001"/>
        <n v="501003"/>
        <n v="501022"/>
        <n v="501023"/>
        <n v="101001"/>
        <n v="501025"/>
        <n v="401017"/>
        <n v="502008" u="1"/>
        <n v="401019" u="1"/>
        <n v="502009" u="1"/>
        <n v="502010" u="1"/>
        <n v="202012" u="1"/>
        <n v="202013" u="1"/>
        <n v="202014" u="1"/>
        <n v="105001" u="1"/>
        <n v="501002" u="1"/>
        <n v="501004" u="1"/>
        <n v="501005" u="1"/>
        <n v="105002" u="1"/>
        <n v="501006" u="1"/>
        <n v="501007" u="1"/>
        <n v="501008" u="1"/>
        <n v="501009" u="1"/>
        <n v="501010" u="1"/>
        <n v="501011" u="1"/>
        <n v="201001" u="1"/>
        <n v="202005.1" u="1"/>
        <n v="201003" u="1"/>
        <n v="103001" u="1"/>
        <n v="201005" u="1"/>
        <n v="501024" u="1"/>
        <n v="201006" u="1"/>
        <n v="500000" u="1"/>
        <n v="202005.2" u="1"/>
        <n v="201007" u="1"/>
        <n v="102001" u="1"/>
        <n v="102002" u="1"/>
        <n v="509999" u="1"/>
        <n v="202001" u="1"/>
        <n v="401001" u="1"/>
        <n v="202002" u="1"/>
        <n v="401002" u="1"/>
        <n v="202003" u="1"/>
        <n v="104001.2" u="1"/>
        <n v="202004" u="1"/>
        <n v="104001.1" u="1"/>
        <n v="600002" u="1"/>
        <n v="501999" u="1"/>
        <n v="202006" u="1"/>
        <n v="401011" u="1"/>
        <n v="502001" u="1"/>
        <n v="202007" u="1"/>
        <n v="502002" u="1"/>
        <n v="202005.3" u="1"/>
        <n v="502003" u="1"/>
        <n v="202008" u="1"/>
        <n v="502004" u="1"/>
        <n v="401015" u="1"/>
        <n v="502005" u="1"/>
        <n v="202009" u="1"/>
        <n v="502006" u="1"/>
        <n v="502007" u="1"/>
        <n v="202010" u="1"/>
      </sharedItems>
    </cacheField>
    <cacheField name="ชื่อบัญชี" numFmtId="0">
      <sharedItems containsBlank="1" count="151">
        <s v="เงินฝากธนาคารกรุงไทย สนามกอล์ฟภูกระแตมหาวิทยาลัยนครพนม 408-0-989180"/>
        <s v="ครุภัณฑ์การเกษตร-เครื่องตัดหญ้าแบบนั่งขับ"/>
        <s v="ครุภัณฑ์การเกษตร-เครื่องสูบน้ำ 1"/>
        <s v="ครุภัณฑ์การเกษตร-เครื่องสูบน้ำ 2"/>
        <s v="ครุภัณฑ์การเกษตร-รถตัดหญ้า 2 ล้อตันจักรยาน"/>
        <s v="ครุภัณฑ์คอมพิวเตอร์-คอมพิวเตอร์โน๊ตบุ๊ก"/>
        <s v="ครุภัณฑ์การเกษตร-ปั๊มน้ำ 1"/>
        <s v="ครุภัณฑ์การเกษตร-ปั๊มน้ำ 2"/>
        <s v="ครุภัณฑ์การเกษตร-ปั๊มน้ำ 3"/>
        <s v="ครุภัณฑ์การเกษตร-เครื่องตัดหญ้าเดินตาม"/>
        <s v="ครุภัณฑ์การเกษตร-เครื่องตัดหญ้าติดท้ายรถไถ"/>
        <s v="เงินรับฝาก-สนามไดร์ฟ"/>
        <s v="เงินรับฝาก-ค่าเช่ารถกอล์ฟ 55%"/>
        <s v="ค่าภาษีสรรพสามิตค้างจ่าย"/>
        <s v="ทุน "/>
        <s v="รายได้สูง/(ต่ำ) กว่าค่าใช้จ่ายสะสมยกมา"/>
        <s v="ผลสะสมจากการแก้ไขข้อผิดพลาด"/>
        <s v="รายได้ค่าบริการสนามกอล์ฟ รหัส 03 (สมาชิก-วันธรรมดาถึงวันหยุด)"/>
        <s v="รายได้ค่าบริการสนามกอล์ฟ รหัส 04 (บุคคลทั่วไป-วันธรรมดา)"/>
        <s v="รายได้ค่าบริการสนามกอล์ฟ รหัส 05 (บุคคลทั่วไป-วันหยุดราชการ)"/>
        <s v="รายได้ค่าบริการสนามกอล์ฟ รหัส 07 (ค่าบริการสนาม-เพิ่มรอบที่ 3)"/>
        <s v="รายได้ค่าสมัครสมาชิกเก่า"/>
        <s v="รายได้ค่าสมัครสมาชิกใหม่"/>
        <s v="ค่าปิดสนาม วันธรรมดา/วันหยุด"/>
        <s v="รายได้ค่าแคดดี้"/>
        <s v="รายได้ค่าเช่ารถกอล์ฟ 45%"/>
        <s v="รายได้ค่าเช่าพื้นที่คลับเฮ้าส์"/>
        <s v="รายได้อื่น ๆ"/>
        <s v="ค่าบริการสนามผู้ติดตาม"/>
        <s v="ค่าจ้าง"/>
        <s v="ค่าภาษีสรรพสามิต"/>
        <s v="ค่าสนับสนุนมหาวิทยาลัยนครพนม 5%"/>
        <s v="ค่าสนับสนุนคณะเทคโนโลยีอุตสาหกรรม มหาวิทยาลัยนครพนม 5%"/>
        <s v="เงินสด"/>
        <s v="นำส่งเงินสนามกอล์ฟภูกระแตเข้าเป็นเงินรายได้คณะเทคโนโลยีอุตสาหกรรม"/>
        <s v="ดอกเบี้ยรับจากเงินฝากสถาบันการเงิน"/>
        <m u="1"/>
        <s v="ค่าขนส่งเข้า" u="1"/>
        <s v="ค่าใช้จ่ายเดินทางไปราชการ-ในประเทศ" u="1"/>
        <s v="ค่าเสื่อมราคาสะสม" u="1"/>
        <s v="เงินเดือนค้างจ่าย" u="1"/>
        <s v="ค่าส่วนแบ่งค่าเช่ารถกอล์ฟ" u="1"/>
        <s v="ค่าเช่าค้างจ่าย" u="1"/>
        <s v="SUNDRY EXPENSE" u="1"/>
        <s v="RENTAL FEES" u="1"/>
        <s v="เจ้าหนี้การค้า" u="1"/>
        <s v="รายได้ค่าเช่ารถกอล์ฟ" u="1"/>
        <s v="ขายสินค้า" u="1"/>
        <e v="#N/A" u="1"/>
        <s v="COMMISSION CHARGE" u="1"/>
        <s v="เงินรับฝากอื่น" u="1"/>
        <s v="TRANSPORTATION CHARGE" u="1"/>
        <s v="ค่าโทรศัพท์พื้นฐาน" u="1"/>
        <s v="SALARY" u="1"/>
        <s v="WELFARE EXPENSE" u="1"/>
        <s v="กำไรสะสม" u="1"/>
        <s v="เงินเบิกเกินบัญชีธนาคาร กระแสรายวัน เลขที่ 884-3-96048-4" u="1"/>
        <s v="ค่าบริการสนามไดร์ฟ" u="1"/>
        <s v="ACCU. DEPRE. - PLANT &amp; MACHINERY" u="1"/>
        <s v="DONATION" u="1"/>
        <s v="เงินรับฝาก-หลักประกันสัญญาซื้อขายเครื่องตัดหญ้า" u="1"/>
        <s v="ACCRUED SOCIAL SECURITY" u="1"/>
        <s v="ค่าโทรศัพท์เคลื่อนที่" u="1"/>
        <s v="WITHHOLDING TAX ( 3 )" u="1"/>
        <s v="ทุนเรือนหุ้น - หุ้นสามัญ" u="1"/>
        <s v="ค่าโฆษณาค้างจ่าย" u="1"/>
        <s v="รายได้รอการรับรู้-สนามไดร์ฟ" u="1"/>
        <s v="IMPORT DUTY" u="1"/>
        <s v="ส่วนลดรับ" u="1"/>
        <s v="อาคาร และ อุปกรณ์" u="1"/>
        <s v="เงินรับฝาก-รายได้รับบริจาค(สนับสนุนซื้อเครื่องจักร)" u="1"/>
        <s v="เจ้าหนี้อื่น" u="1"/>
        <s v="PETTY CASH" u="1"/>
        <s v="ค่าเสื่อมราคา" u="1"/>
        <s v="ค่าเช่าคลังสินค้า" u="1"/>
        <s v="TRAVELLING EXPENSE" u="1"/>
        <s v="ค่าสนับสนุน" u="1"/>
        <s v="เช็ครอเรียกเก็บ" u="1"/>
        <s v="ACCU. DEPRE. - FURNITURE &amp; FIXTURE" u="1"/>
        <s v="ค่าที่พัก (เดินทางไปราชการ-ในประเทศ)" u="1"/>
        <s v="DEPRECIATION" u="1"/>
        <s v="GUARANTEE DEPOSIT" u="1"/>
        <s v="ค่าโทรศัพท์พื้นฐานค้างจ่าย" u="1"/>
        <s v="ค่าจ้างค้างจ่าย" u="1"/>
        <s v="เงินฝากธนาคาร กระแสรายวัน เลขที่ 884-3-96048-4" u="1"/>
        <s v="COMMUNICATION EXPENSE" u="1"/>
        <s v="ค่าใช้สอยอื่น ๆ" u="1"/>
        <s v="SUPPLIES EXPENSE" u="1"/>
        <s v="ซื้อสินค้า" u="1"/>
        <s v="ค่าธรรมเนียมธนาคาร" u="1"/>
        <s v="ADVANCE MONEY" u="1"/>
        <s v="ELECTRICITY CHARGE" u="1"/>
        <s v="UN CLAIMED VAT" u="1"/>
        <s v="รายได้จากการรับบริจาค" u="1"/>
        <s v="ค่าโฆษณา" u="1"/>
        <s v="FURNITURE &amp; FIXTURE" u="1"/>
        <s v="ปิดสนามกอล์ฟการกุศล" u="1"/>
        <s v="ภาษีซื้อ" u="1"/>
        <s v="SUNDRY LOSS" u="1"/>
        <s v="WATER SUPPLY EXPENSE" u="1"/>
        <s v="ENTERTAINMENT EXPENSE" u="1"/>
        <s v="ภาษีซื้อยังไม่ครบกำหนด" u="1"/>
        <s v="MOTOR VEHICLE" u="1"/>
        <s v="เงินประกันสังคมค้างจ่าย" u="1"/>
        <s v="ค่าน้ำประปา" u="1"/>
        <s v="เงินรับฝาก-ค่าเช่ารถกอล์ฟ" u="1"/>
        <s v="ACCU. DEPRE. - EQUIPMENT &amp; TOOL" u="1"/>
        <s v="ค่าครุภัณฑ์การเกษตร-เครื่องตัดหญ้าแบบนั่งขับ" u="1"/>
        <s v="ลูกหนี้การค้า" u="1"/>
        <s v="ค่าเบี้ยเลี้ยง (เดินทางไปราชการ-ในประเทศ)" u="1"/>
        <s v="เงินรับฝาก-โอนเงินเกิน" u="1"/>
        <s v="VAT PURCHASE" u="1"/>
        <s v="ภาษีหัก ณ ที่จ่าย (ภ.ง.ด.1)" u="1"/>
        <s v="เงินฝากธนาคาร" u="1"/>
        <s v="ค่าล่วงเวลา" u="1"/>
        <s v="ACCOUNT PAYABLE" u="1"/>
        <s v="NON TRADE ACCOUNT RECEIVABLE" u="1"/>
        <s v="ACCRUED VAT" u="1"/>
        <s v="EQUIPMENT &amp; TOOL" u="1"/>
        <s v="ค่าไฟฟ้าค้างจ่าย" u="1"/>
        <s v="เงินเดือน" u="1"/>
        <s v="ค่าเงินประกันสังคม" u="1"/>
        <s v="ค่าโทรศัพท์เคลื่อนที่ค้างจ่าย" u="1"/>
        <s v="OVERTIME ALLOWANCE" u="1"/>
        <s v="CURRENT DEPOSIT KB 047-12975-34" u="1"/>
        <s v="ค่าขนส่งสินค้าค้างจ่าย" u="1"/>
        <s v="PLANT &amp; MACHINERY" u="1"/>
        <s v="สินค้าคงเหลือปลายงวด (ปรับปรุงต้นทุนขาย)" u="1"/>
        <s v="ค่าไฟฟ้า" u="1"/>
        <s v="สินค้าคงเหลือ" u="1"/>
        <s v="ภาษีเงินได้นิติบุคคล" u="1"/>
        <s v="ACCRUED EXPENSE" u="1"/>
        <s v="ค่าวัสดุ" u="1"/>
        <s v="ภาษีเงินได้นิติบุคคลค้างจ่าย" u="1"/>
        <s v="ส่วนลดจ่าย" u="1"/>
        <s v="บัญชีพัก-ปิดบัญชี" u="1"/>
        <s v="ต้นทุนขาย" u="1"/>
        <s v="PATENT FEE" u="1"/>
        <s v="รายได้รอการรับรู้-ค่าเช่ารถกอล์ฟ" u="1"/>
        <s v="รายได้รอการรับรู้" u="1"/>
        <s v="ค่าน้ำประปาค้างจ่าย" u="1"/>
        <s v="ค่าจ้างเหมาบริการ" u="1"/>
        <s v="ลูกหนี้กรมสรรพากร" u="1"/>
        <s v="ภาษีขาย" u="1"/>
        <s v="PAID-UP CAPITAL" u="1"/>
        <s v="ACCU. DEPRE. - MOTOR VEHICLE" u="1"/>
        <s v="ภาษีหัก ณ ที่จ่าย (ภ.ง.ด.53)" u="1"/>
        <s v="SUSPENSE RECEIVED" u="1"/>
        <s v="เจ้าหนี้กรมสรรพากร" u="1"/>
        <s v="LEGAL WELFARE EXPENSE" u="1"/>
        <s v="ค่าน้ำมันเชื้อเพลิง" u="1"/>
      </sharedItems>
    </cacheField>
    <cacheField name="เดบิต" numFmtId="165">
      <sharedItems containsString="0" containsBlank="1" containsNumber="1" minValue="0" maxValue="37629200" count="1725">
        <n v="3252387.82"/>
        <n v="133027.51"/>
        <n v="1"/>
        <n v="4878.6499999999996"/>
        <n v="6180.95"/>
        <n v="14704.62"/>
        <m/>
        <n v="61600"/>
        <n v="25984.2"/>
        <n v="106058.31"/>
        <n v="900"/>
        <n v="50"/>
        <n v="80"/>
        <n v="1030"/>
        <n v="1600"/>
        <n v="180"/>
        <n v="240"/>
        <n v="2020"/>
        <n v="10600"/>
        <n v="2000"/>
        <n v="800"/>
        <n v="10"/>
        <n v="810"/>
        <n v="1400"/>
        <n v="360"/>
        <n v="170"/>
        <n v="1980"/>
        <n v="4600"/>
        <n v="400"/>
        <n v="1200"/>
        <n v="70"/>
        <n v="1270"/>
        <n v="2100"/>
        <n v="270"/>
        <n v="2780"/>
        <n v="110"/>
        <n v="1510"/>
        <n v="200"/>
        <n v="190"/>
        <n v="1470"/>
        <n v="3300"/>
        <n v="490"/>
        <n v="5090"/>
        <n v="2800"/>
        <n v="480"/>
        <n v="250"/>
        <n v="530"/>
        <n v="4060"/>
        <n v="2500"/>
        <n v="2700"/>
        <n v="600"/>
        <n v="670"/>
        <n v="1700"/>
        <n v="150"/>
        <n v="310"/>
        <n v="2520"/>
        <n v="100"/>
        <n v="1990"/>
        <n v="12159.4"/>
        <n v="3100"/>
        <n v="720"/>
        <n v="510"/>
        <n v="4580"/>
        <n v="1000"/>
        <n v="1050"/>
        <n v="90"/>
        <n v="1090"/>
        <n v="1800"/>
        <n v="2230"/>
        <n v="2900"/>
        <n v="410"/>
        <n v="3550"/>
        <n v="370"/>
        <n v="3410"/>
        <n v="2550"/>
        <n v="1530"/>
        <n v="1300"/>
        <n v="1570"/>
        <n v="700"/>
        <n v="30"/>
        <n v="730"/>
        <n v="500"/>
        <n v="60"/>
        <n v="740"/>
        <n v="710"/>
        <n v="1040"/>
        <n v="1290"/>
        <n v="290"/>
        <n v="2300"/>
        <n v="210"/>
        <n v="1960"/>
        <n v="3580"/>
        <n v="1550"/>
        <n v="1100"/>
        <n v="1190"/>
        <n v="260"/>
        <n v="2460"/>
        <n v="1850"/>
        <n v="1840"/>
        <n v="2620"/>
        <n v="40"/>
        <n v="840"/>
        <n v="2470"/>
        <n v="350"/>
        <n v="3270"/>
        <n v="3360"/>
        <n v="330"/>
        <n v="6590"/>
        <n v="407022.3"/>
        <n v="280"/>
        <n v="1680"/>
        <n v="2680"/>
        <n v="300"/>
        <n v="2710"/>
        <n v="3400"/>
        <n v="3930"/>
        <n v="6479.13"/>
        <n v="0" u="1"/>
        <n v="4470" u="1"/>
        <n v="563000" u="1"/>
        <n v="786890" u="1"/>
        <n v="192118.5" u="1"/>
        <n v="94" u="1"/>
        <n v="100035.1" u="1"/>
        <n v="1233175" u="1"/>
        <n v="3654.21" u="1"/>
        <n v="20000" u="1"/>
        <n v="35470" u="1"/>
        <n v="4090" u="1"/>
        <n v="85580" u="1"/>
        <n v="1152500" u="1"/>
        <n v="0.05" u="1"/>
        <n v="3960" u="1"/>
        <n v="3830" u="1"/>
        <n v="3700" u="1"/>
        <n v="210693.7" u="1"/>
        <n v="3440" u="1"/>
        <n v="13729.1" u="1"/>
        <n v="92009.5" u="1"/>
        <n v="3310" u="1"/>
        <n v="3180" u="1"/>
        <n v="3050" u="1"/>
        <n v="2920" u="1"/>
        <n v="2790" u="1"/>
        <n v="762829.38" u="1"/>
        <n v="2660" u="1"/>
        <n v="2530" u="1"/>
        <n v="2400" u="1"/>
        <n v="3320.79" u="1"/>
        <n v="2270" u="1"/>
        <n v="2140" u="1"/>
        <n v="50220" u="1"/>
        <n v="450" u="1"/>
        <n v="163485.98000000001" u="1"/>
        <n v="11.34" u="1"/>
        <n v="22710.75" u="1"/>
        <n v="160825.28" u="1"/>
        <n v="11700" u="1"/>
        <n v="320" u="1"/>
        <n v="4872" u="1"/>
        <n v="962456.44" u="1"/>
        <n v="916000" u="1"/>
        <n v="419173.94" u="1"/>
        <n v="16660" u="1"/>
        <n v="13619.1" u="1"/>
        <n v="30590" u="1"/>
        <n v="11136.4" u="1"/>
        <n v="284799.76" u="1"/>
        <n v="8000" u="1"/>
        <n v="7480" u="1"/>
        <n v="4683" u="1"/>
        <n v="6440" u="1"/>
        <n v="6180" u="1"/>
        <n v="5920" u="1"/>
        <n v="914701.27" u="1"/>
        <n v="628.04" u="1"/>
        <n v="5660" u="1"/>
        <n v="5400" u="1"/>
        <n v="5140" u="1"/>
        <n v="21" u="1"/>
        <n v="4880" u="1"/>
        <n v="4620" u="1"/>
        <n v="4360" u="1"/>
        <n v="4100" u="1"/>
        <n v="89870" u="1"/>
        <n v="31000" u="1"/>
        <n v="2352094.56" u="1"/>
        <n v="910" u="1"/>
        <n v="266831.25" u="1"/>
        <n v="390.68" u="1"/>
        <n v="2751.6" u="1"/>
        <n v="780" u="1"/>
        <n v="324317" u="1"/>
        <n v="650" u="1"/>
        <n v="38.5" u="1"/>
        <n v="520" u="1"/>
        <n v="244840.61" u="1"/>
        <n v="228856.95" u="1"/>
        <n v="1931341.13" u="1"/>
        <n v="3269.9" u="1"/>
        <n v="53500" u="1"/>
        <n v="14600" u="1"/>
        <n v="242.65" u="1"/>
        <n v="4305" u="1"/>
        <n v="12000" u="1"/>
        <n v="21672" u="1"/>
        <n v="9400" u="1"/>
        <n v="1944.44" u="1"/>
        <n v="0.24" u="1"/>
        <n v="1970" u="1"/>
        <n v="71720" u="1"/>
        <n v="3191.76" u="1"/>
        <n v="245567.14" u="1"/>
        <n v="11284.74" u="1"/>
        <n v="1710" u="1"/>
        <n v="1580" u="1"/>
        <n v="1450" u="1"/>
        <n v="1320" u="1"/>
        <n v="1125" u="1"/>
        <n v="1060" u="1"/>
        <n v="4116" u="1"/>
        <n v="283990" u="1"/>
        <n v="1384580" u="1"/>
        <n v="7116.31" u="1"/>
        <n v="61380" u="1"/>
        <n v="14390.2" u="1"/>
        <n v="6070" u="1"/>
        <n v="175" u="1"/>
        <n v="5030" u="1"/>
        <n v="7.0000000000000007E-2" u="1"/>
        <n v="4770" u="1"/>
        <n v="4510" u="1"/>
        <n v="76260" u="1"/>
        <n v="4250" u="1"/>
        <n v="31600" u="1"/>
        <n v="300130" u="1"/>
        <n v="1186.9100000000001" u="1"/>
        <n v="602410" u="1"/>
        <n v="305869.13" u="1"/>
        <n v="9210.56" u="1"/>
        <n v="14725.81" u="1"/>
        <n v="75000" u="1"/>
        <n v="0.49" u="1"/>
        <n v="14175" u="1"/>
        <n v="3980" u="1"/>
        <n v="322579.32" u="1"/>
        <n v="3850" u="1"/>
        <n v="3720" u="1"/>
        <n v="3590" u="1"/>
        <n v="58590.89" u="1"/>
        <n v="3460" u="1"/>
        <n v="3330" u="1"/>
        <n v="19532.71" u="1"/>
        <n v="3200" u="1"/>
        <n v="3070" u="1"/>
        <n v="13040.5" u="1"/>
        <n v="2940" u="1"/>
        <n v="26810" u="1"/>
        <n v="1858463.74" u="1"/>
        <n v="2810" u="1"/>
        <n v="971.55" u="1"/>
        <n v="6916.17" u="1"/>
        <n v="2420" u="1"/>
        <n v="2290" u="1"/>
        <n v="2160" u="1"/>
        <n v="14900" u="1"/>
        <n v="14380" u="1"/>
        <n v="168637.35" u="1"/>
        <n v="13611.4" u="1"/>
        <n v="366700" u="1"/>
        <n v="420" u="1"/>
        <n v="80675" u="1"/>
        <n v="26180" u="1"/>
        <n v="8177.4" u="1"/>
        <n v="127318.5" u="1"/>
        <n v="321321" u="1"/>
        <n v="23.48" u="1"/>
        <n v="1729.39" u="1"/>
        <n v="68602.2" u="1"/>
        <n v="7260" u="1"/>
        <n v="7000" u="1"/>
        <n v="520000" u="1"/>
        <n v="2293.15" u="1"/>
        <n v="4920" u="1"/>
        <n v="44766.36" u="1"/>
        <n v="295106" u="1"/>
        <n v="4660" u="1"/>
        <n v="4400" u="1"/>
        <n v="4140" u="1"/>
        <n v="980" u="1"/>
        <n v="89151.7" u="1"/>
        <n v="627662" u="1"/>
        <n v="687297.38" u="1"/>
        <n v="16915" u="1"/>
        <n v="850" u="1"/>
        <n v="192" u="1"/>
        <n v="341500" u="1"/>
        <n v="898.13" u="1"/>
        <n v="109420" u="1"/>
        <n v="590" u="1"/>
        <n v="17640" u="1"/>
        <n v="525" u="1"/>
        <n v="2828.18" u="1"/>
        <n v="117293.4" u="1"/>
        <n v="2323.08" u="1"/>
        <n v="18702.78" u="1"/>
        <n v="90610.3" u="1"/>
        <n v="12600" u="1"/>
        <n v="128079" u="1"/>
        <n v="10000" u="1"/>
        <n v="27820" u="1"/>
        <n v="16695" u="1"/>
        <n v="201481" u="1"/>
        <n v="1720" u="1"/>
        <n v="1590" u="1"/>
        <n v="1525" u="1"/>
        <n v="187190.08" u="1"/>
        <n v="1460" u="1"/>
        <n v="79420" u="1"/>
        <n v="1330" u="1"/>
        <n v="38000" u="1"/>
        <n v="54010" u="1"/>
        <n v="224174" u="1"/>
        <n v="1070" u="1"/>
        <n v="24.88" u="1"/>
        <n v="7930" u="1"/>
        <n v="1094289" u="1"/>
        <n v="7150" u="1"/>
        <n v="225" u="1"/>
        <n v="13965.95" u="1"/>
        <n v="6110" u="1"/>
        <n v="5850" u="1"/>
        <n v="5590" u="1"/>
        <n v="55208" u="1"/>
        <n v="160" u="1"/>
        <n v="4810" u="1"/>
        <n v="4550" u="1"/>
        <n v="4290" u="1"/>
        <n v="1901.86" u="1"/>
        <n v="458000" u="1"/>
        <n v="142909.20000000001" u="1"/>
        <n v="505400" u="1"/>
        <n v="2581195.14" u="1"/>
        <n v="67320" u="1"/>
        <n v="17200" u="1"/>
        <n v="142399.88" u="1"/>
        <n v="1294000" u="1"/>
        <n v="4000" u="1"/>
        <n v="7938" u="1"/>
        <n v="3870" u="1"/>
        <n v="3740" u="1"/>
        <n v="57837.81" u="1"/>
        <n v="3610" u="1"/>
        <n v="3480" u="1"/>
        <n v="3350" u="1"/>
        <n v="3220" u="1"/>
        <n v="3090" u="1"/>
        <n v="2960" u="1"/>
        <n v="2830" u="1"/>
        <n v="85600" u="1"/>
        <n v="2570" u="1"/>
        <n v="2440" u="1"/>
        <n v="2310" u="1"/>
        <n v="2794.39" u="1"/>
        <n v="2180" u="1"/>
        <n v="2050" u="1"/>
        <n v="64964.9" u="1"/>
        <n v="15500" u="1"/>
        <n v="14980" u="1"/>
        <n v="1499872.5" u="1"/>
        <n v="390" u="1"/>
        <n v="33112.120000000003" u="1"/>
        <n v="2992411.13" u="1"/>
        <n v="7686" u="1"/>
        <n v="12018.71" u="1"/>
        <n v="49600" u="1"/>
        <n v="2331827.16" u="1"/>
        <n v="14304.67" u="1"/>
        <n v="213599.82" u="1"/>
        <n v="157.6" u="1"/>
        <n v="7623" u="1"/>
        <n v="235025" u="1"/>
        <n v="3192.5" u="1"/>
        <n v="265895" u="1"/>
        <n v="35" u="1"/>
        <n v="309765" u="1"/>
        <n v="2394607.7400000002" u="1"/>
        <n v="26750" u="1"/>
        <n v="52800.9" u="1"/>
        <n v="487374.3" u="1"/>
        <n v="890950" u="1"/>
        <n v="7040" u="1"/>
        <n v="6260" u="1"/>
        <n v="6000" u="1"/>
        <n v="18104.400000000001" u="1"/>
        <n v="5740" u="1"/>
        <n v="52500" u="1"/>
        <n v="71610" u="1"/>
        <n v="5220" u="1"/>
        <n v="4960" u="1"/>
        <n v="4700" u="1"/>
        <n v="4180" u="1"/>
        <n v="0.12" u="1"/>
        <n v="7434" u="1"/>
        <n v="920" u="1"/>
        <n v="273901.81" u="1"/>
        <n v="790" u="1"/>
        <n v="660" u="1"/>
        <n v="1307.3499999999999" u="1"/>
        <n v="19848.5" u="1"/>
        <n v="1225500" u="1"/>
        <n v="13049.3" u="1"/>
        <n v="45000" u="1"/>
        <n v="31.5" u="1"/>
        <n v="120" u="1"/>
        <n v="236234.6" u="1"/>
        <n v="7245" u="1"/>
        <n v="1013157.16" u="1"/>
        <n v="6627.85" u="1"/>
        <n v="58300" u="1"/>
        <n v="307322.19" u="1"/>
        <n v="220660" u="1"/>
        <n v="7.56" u="1"/>
        <n v="26215" u="1"/>
        <n v="1974.98" u="1"/>
        <n v="13200" u="1"/>
        <n v="190770.3" u="1"/>
        <n v="867780" u="1"/>
        <n v="10080" u="1"/>
        <n v="3310672.74" u="1"/>
        <n v="768950" u="1"/>
        <n v="121660" u="1"/>
        <n v="292065.06" u="1"/>
        <n v="2500000" u="1"/>
        <n v="489" u="1"/>
        <n v="1844.86" u="1"/>
        <n v="1860" u="1"/>
        <n v="865544.4" u="1"/>
        <n v="1730" u="1"/>
        <n v="23505" u="1"/>
        <n v="1340" u="1"/>
        <n v="139.51" u="1"/>
        <n v="228714.64" u="1"/>
        <n v="1210" u="1"/>
        <n v="308775.25" u="1"/>
        <n v="1080" u="1"/>
        <n v="185.05" u="1"/>
        <n v="199.27" u="1"/>
        <n v="1189.04" u="1"/>
        <n v="7190" u="1"/>
        <n v="6930" u="1"/>
        <n v="5630" u="1"/>
        <n v="17990" u="1"/>
        <n v="5370" u="1"/>
        <n v="5110" u="1"/>
        <n v="4850" u="1"/>
        <n v="162016.19" u="1"/>
        <n v="4330" u="1"/>
        <n v="31920" u="1"/>
        <n v="9050.43" u="1"/>
        <n v="733.33" u="1"/>
        <n v="9450" u="1"/>
        <n v="13995.3" u="1"/>
        <n v="31668" u="1"/>
        <n v="310228.31" u="1"/>
        <n v="9324" u="1"/>
        <n v="1346595" u="1"/>
        <n v="17360" u="1"/>
        <n v="58365" u="1"/>
        <n v="4020" u="1"/>
        <n v="3890" u="1"/>
        <n v="3760" u="1"/>
        <n v="3630" u="1"/>
        <n v="3500" u="1"/>
        <n v="275000" u="1"/>
        <n v="3370" u="1"/>
        <n v="3240" u="1"/>
        <n v="3473.83" u="1"/>
        <n v="3110" u="1"/>
        <n v="255.79" u="1"/>
        <n v="2980" u="1"/>
        <n v="2850" u="1"/>
        <n v="2720" u="1"/>
        <n v="2590" u="1"/>
        <n v="0.15" u="1"/>
        <n v="875973.22" u="1"/>
        <n v="2330" u="1"/>
        <n v="6615" u="1"/>
        <n v="59500" u="1"/>
        <n v="2200" u="1"/>
        <n v="2616.54" u="1"/>
        <n v="1274000" u="1"/>
        <n v="2070" u="1"/>
        <n v="5019.63" u="1"/>
        <n v="10831.7" u="1"/>
        <n v="239260.56" u="1"/>
        <n v="44940" u="1"/>
        <n v="1393.37" u="1"/>
        <n v="996897.81" u="1"/>
        <n v="1008000" u="1"/>
        <n v="8883" u="1"/>
        <n v="2345.88" u="1"/>
        <n v="126455" u="1"/>
        <n v="1806500" u="1"/>
        <n v="1068598.32" u="1"/>
        <n v="25208" u="1"/>
        <n v="826254.4" u="1"/>
        <n v="2009581.98" u="1"/>
        <n v="40402.5" u="1"/>
        <n v="6363" u="1"/>
        <n v="223951" u="1"/>
        <n v="249926.32" u="1"/>
        <n v="265430" u="1"/>
        <n v="7600" u="1"/>
        <n v="1866" u="1"/>
        <n v="9319.2000000000007" u="1"/>
        <n v="77040" u="1"/>
        <n v="85.1" u="1"/>
        <n v="6300" u="1"/>
        <n v="8442" u="1"/>
        <n v="16636" u="1"/>
        <n v="6040" u="1"/>
        <n v="5780" u="1"/>
        <n v="65644.67" u="1"/>
        <n v="5520" u="1"/>
        <n v="29652" u="1"/>
        <n v="5260" u="1"/>
        <n v="20544" u="1"/>
        <n v="5000" u="1"/>
        <n v="4480" u="1"/>
        <n v="2764888.2" u="1"/>
        <n v="4220" u="1"/>
        <n v="6237" u="1"/>
        <n v="990" u="1"/>
        <n v="36180" u="1"/>
        <n v="119650" u="1"/>
        <n v="338.42" u="1"/>
        <n v="3638" u="1"/>
        <n v="8253" u="1"/>
        <n v="311658.90000000002" u="1"/>
        <n v="860" u="1"/>
        <n v="6174" u="1"/>
        <n v="22120" u="1"/>
        <n v="105153.25" u="1"/>
        <n v="29148" u="1"/>
        <n v="162" u="1"/>
        <n v="8584" u="1"/>
        <n v="12943.7" u="1"/>
        <n v="346554.81" u="1"/>
        <n v="3077.06" u="1"/>
        <n v="161484.4" u="1"/>
        <n v="679.45" u="1"/>
        <n v="11515" u="1"/>
        <n v="12274.9" u="1"/>
        <n v="6308" u="1"/>
        <n v="83723.5" u="1"/>
        <n v="119749.3" u="1"/>
        <n v="369820" u="1"/>
        <n v="6822.43" u="1"/>
        <n v="72000" u="1"/>
        <n v="5574.77" u="1"/>
        <n v="5985" u="1"/>
        <n v="197736" u="1"/>
        <n v="14840" u="1"/>
        <n v="3101617.76" u="1"/>
        <n v="2758460" u="1"/>
        <n v="13800" u="1"/>
        <n v="4165" u="1"/>
        <n v="11200" u="1"/>
        <n v="286118" u="1"/>
        <n v="1738000" u="1"/>
        <n v="97754.13" u="1"/>
        <n v="450000" u="1"/>
        <n v="11679.8" u="1"/>
        <n v="993923" u="1"/>
        <n v="8600" u="1"/>
        <n v="233987.6" u="1"/>
        <n v="3969" u="1"/>
        <n v="51526.2" u="1"/>
        <n v="1870" u="1"/>
        <n v="1064329" u="1"/>
        <n v="1740" u="1"/>
        <n v="11011" u="1"/>
        <n v="1610" u="1"/>
        <n v="1480" u="1"/>
        <n v="294581.7" u="1"/>
        <n v="157.01" u="1"/>
        <n v="42800" u="1"/>
        <n v="57.7" u="1"/>
        <n v="1350" u="1"/>
        <n v="1220" u="1"/>
        <n v="308468.15999999997" u="1"/>
        <n v="72" u="1"/>
        <n v="8046.59" u="1"/>
        <n v="7750" u="1"/>
        <n v="83600" u="1"/>
        <n v="7230" u="1"/>
        <n v="38136" u="1"/>
        <n v="1848960" u="1"/>
        <n v="6190" u="1"/>
        <n v="93.46" u="1"/>
        <n v="5670" u="1"/>
        <n v="5150" u="1"/>
        <n v="4630" u="1"/>
        <n v="4370" u="1"/>
        <n v="4110" u="1"/>
        <n v="130" u="1"/>
        <n v="30000" u="1"/>
        <n v="10570" u="1"/>
        <n v="382440" u="1"/>
        <n v="9530" u="1"/>
        <n v="41330.300000000003" u="1"/>
        <n v="106799.91" u="1"/>
        <n v="3910" u="1"/>
        <n v="3780" u="1"/>
        <n v="3650" u="1"/>
        <n v="382881.31" u="1"/>
        <n v="3520" u="1"/>
        <n v="3390" u="1"/>
        <n v="3260" u="1"/>
        <n v="284620" u="1"/>
        <n v="3130" u="1"/>
        <n v="10255" u="1"/>
        <n v="3000" u="1"/>
        <n v="2870" u="1"/>
        <n v="2740" u="1"/>
        <n v="5418" u="1"/>
        <n v="2610" u="1"/>
        <n v="2480" u="1"/>
        <n v="2350" u="1"/>
        <n v="2220" u="1"/>
        <n v="2090" u="1"/>
        <n v="63665" u="1"/>
        <n v="460" u="1"/>
        <n v="864769.59" u="1"/>
        <n v="852.46" u="1"/>
        <n v="11500" u="1"/>
        <n v="5292" u="1"/>
        <n v="0.44" u="1"/>
        <n v="22155.42" u="1"/>
        <n v="4.25" u="1"/>
        <n v="145306" u="1"/>
        <n v="1728000" u="1"/>
        <n v="228" u="1"/>
        <n v="11930.11" u="1"/>
        <n v="2603039.6800000002" u="1"/>
        <n v="394.94" u="1"/>
        <n v="215779.41" u="1"/>
        <n v="24990" u="1"/>
        <n v="1157205" u="1"/>
        <n v="6860" u="1"/>
        <n v="6600" u="1"/>
        <n v="6080" u="1"/>
        <n v="5560" u="1"/>
        <n v="5300" u="1"/>
        <n v="5040" u="1"/>
        <n v="4780" u="1"/>
        <n v="66284.92" u="1"/>
        <n v="6537" u="1"/>
        <n v="8911043.1325000003" u="1"/>
        <n v="351.37" u="1"/>
        <n v="4260" u="1"/>
        <n v="40660" u="1"/>
        <n v="3543.75" u="1"/>
        <n v="667.7" u="1"/>
        <n v="930" u="1"/>
        <n v="2566861.42" u="1"/>
        <n v="329.88" u="1"/>
        <n v="71000" u="1"/>
        <n v="390.23" u="1"/>
        <n v="278260.99" u="1"/>
        <n v="19160" u="1"/>
        <n v="42089.3" u="1"/>
        <n v="540" u="1"/>
        <n v="12417.9" u="1"/>
        <n v="69740" u="1"/>
        <n v="11205.61" u="1"/>
        <n v="31010" u="1"/>
        <n v="879.39" u="1"/>
        <n v="9600.7999999999993" u="1"/>
        <n v="287664.75" u="1"/>
        <n v="105" u="1"/>
        <n v="118778.5" u="1"/>
        <n v="23856" u="1"/>
        <n v="229830.65" u="1"/>
        <n v="669222.03" u="1"/>
        <n v="14400" u="1"/>
        <n v="325.17" u="1"/>
        <n v="32460" u="1"/>
        <n v="9200" u="1"/>
        <n v="4365.41" u="1"/>
        <n v="2010" u="1"/>
        <n v="509.66" u="1"/>
        <n v="1880" u="1"/>
        <n v="4647545" u="1"/>
        <n v="1750" u="1"/>
        <n v="1620" u="1"/>
        <n v="1490" u="1"/>
        <n v="1425" u="1"/>
        <n v="288177.75" u="1"/>
        <n v="1360" u="1"/>
        <n v="782571.79" u="1"/>
        <n v="1230" u="1"/>
        <n v="11810.7" u="1"/>
        <n v="55033" u="1"/>
        <n v="1165" u="1"/>
        <n v="1035" u="1"/>
        <n v="3827.87" u="1"/>
        <n v="7790" u="1"/>
        <n v="544220" u="1"/>
        <n v="682351.53" u="1"/>
        <n v="62.87" u="1"/>
        <n v="6750" u="1"/>
        <n v="4473" u="1"/>
        <n v="6490" u="1"/>
        <n v="6230" u="1"/>
        <n v="5970" u="1"/>
        <n v="7733.31" u="1"/>
        <n v="15330" u="1"/>
        <n v="5450" u="1"/>
        <n v="5190" u="1"/>
        <n v="318774.40000000002" u="1"/>
        <n v="4930" u="1"/>
        <n v="4410" u="1"/>
        <n v="4150" u="1"/>
        <n v="11690" u="1"/>
        <n v="13698.3" u="1"/>
        <n v="297877.3" u="1"/>
        <n v="61.56" u="1"/>
        <n v="250652.85" u="1"/>
        <n v="692383.09" u="1"/>
        <n v="3800" u="1"/>
        <n v="3670" u="1"/>
        <n v="3540" u="1"/>
        <n v="3280" u="1"/>
        <n v="100000" u="1"/>
        <n v="3150" u="1"/>
        <n v="3020" u="1"/>
        <n v="2890" u="1"/>
        <n v="906290" u="1"/>
        <n v="2760" u="1"/>
        <n v="15834.5" u="1"/>
        <n v="21336" u="1"/>
        <n v="295944.88" u="1"/>
        <n v="2630" u="1"/>
        <n v="2370" u="1"/>
        <n v="2240" u="1"/>
        <n v="2110" u="1"/>
        <n v="2585727.7599999998" u="1"/>
        <n v="25660.799999999999" u="1"/>
        <n v="3211368.64" u="1"/>
        <n v="430" u="1"/>
        <n v="3087" u="1"/>
        <n v="11060" u="1"/>
        <n v="20706" u="1"/>
        <n v="301697.2" u="1"/>
        <n v="99777.7" u="1"/>
        <n v="20580" u="1"/>
        <n v="592.19000000000005" u="1"/>
        <n v="3793.34" u="1"/>
        <n v="0.32" u="1"/>
        <n v="451.4" u="1"/>
        <n v="20265" u="1"/>
        <n v="260352.4" u="1"/>
        <n v="3881.42" u="1"/>
        <n v="7420" u="1"/>
        <n v="338120" u="1"/>
        <n v="7160" u="1"/>
        <n v="6900" u="1"/>
        <n v="6640" u="1"/>
        <n v="6380" u="1"/>
        <n v="6120" u="1"/>
        <n v="10424.700000000001" u="1"/>
        <n v="5600" u="1"/>
        <n v="5340" u="1"/>
        <n v="836.38" u="1"/>
        <n v="5080" u="1"/>
        <n v="4820" u="1"/>
        <n v="13550" u="1"/>
        <n v="4560" u="1"/>
        <n v="4300" u="1"/>
        <n v="935" u="1"/>
        <n v="10430" u="1"/>
        <n v="870" u="1"/>
        <n v="805" u="1"/>
        <n v="22523.360000000001" u="1"/>
        <n v="2801114.55" u="1"/>
        <n v="610" u="1"/>
        <n v="13755" u="1"/>
        <n v="193991" u="1"/>
        <n v="3074.77" u="1"/>
        <n v="77999.899999999994" u="1"/>
        <n v="11729.3" u="1"/>
        <n v="2257537.96" u="1"/>
        <n v="2243.04" u="1"/>
        <n v="278628" u="1"/>
        <n v="22850" u="1"/>
        <n v="1043" u="1"/>
        <n v="7713.45" u="1"/>
        <n v="3942" u="1"/>
        <n v="2943497.33" u="1"/>
        <n v="15000" u="1"/>
        <n v="5109.58" u="1"/>
        <n v="183085.56" u="1"/>
        <n v="593700" u="1"/>
        <n v="9800" u="1"/>
        <n v="71390" u="1"/>
        <n v="64240" u="1"/>
        <n v="892178.84" u="1"/>
        <n v="1890" u="1"/>
        <n v="500000" u="1"/>
        <n v="1760" u="1"/>
        <n v="306.74" u="1"/>
        <n v="1630" u="1"/>
        <n v="12365.1" u="1"/>
        <n v="1500" u="1"/>
        <n v="13125" u="1"/>
        <n v="1370" u="1"/>
        <n v="7535.85" u="1"/>
        <n v="1240" u="1"/>
        <n v="28001.599999999999" u="1"/>
        <n v="1110" u="1"/>
        <n v="1002" u="1"/>
        <n v="230" u="1"/>
        <n v="7050" u="1"/>
        <n v="10367.5" u="1"/>
        <n v="5230" u="1"/>
        <n v="4970" u="1"/>
        <n v="1363180" u="1"/>
        <n v="4710" u="1"/>
        <n v="84.12" u="1"/>
        <n v="4450" u="1"/>
        <n v="1216.56" u="1"/>
        <n v="1650.6" u="1"/>
        <n v="4190" u="1"/>
        <n v="266034.75" u="1"/>
        <n v="13506.9" u="1"/>
        <n v="9690" u="1"/>
        <n v="8650" u="1"/>
        <n v="277130" u="1"/>
        <n v="24080" u="1"/>
        <n v="4080" u="1"/>
        <n v="3950" u="1"/>
        <n v="3820" u="1"/>
        <n v="43000" u="1"/>
        <n v="3690" u="1"/>
        <n v="12495" u="1"/>
        <n v="1865.71" u="1"/>
        <n v="13484.62" u="1"/>
        <n v="3430" u="1"/>
        <n v="97740.5" u="1"/>
        <n v="2847232.35" u="1"/>
        <n v="3170" u="1"/>
        <n v="3040" u="1"/>
        <n v="2910" u="1"/>
        <n v="2650" u="1"/>
        <n v="42370" u="1"/>
        <n v="75680" u="1"/>
        <n v="173580" u="1"/>
        <n v="2390" u="1"/>
        <n v="778357.44" u="1"/>
        <n v="2260" u="1"/>
        <n v="2130" u="1"/>
        <n v="205600.5" u="1"/>
        <n v="1028400" u="1"/>
        <n v="12080.2" u="1"/>
        <n v="173.36" u="1"/>
        <n v="31203" u="1"/>
        <n v="1002573.95" u="1"/>
        <n v="12180" u="1"/>
        <n v="30100" u="1"/>
        <n v="201248.81" u="1"/>
        <n v="1449.42" u="1"/>
        <n v="2516399.34" u="1"/>
        <n v="8540" u="1"/>
        <n v="214.25" u="1"/>
        <n v="439510" u="1"/>
        <n v="12815.38" u="1"/>
        <n v="8043" u="1"/>
        <n v="400180" u="1"/>
        <n v="7200" u="1"/>
        <n v="6160" u="1"/>
        <n v="5900" u="1"/>
        <n v="7917" u="1"/>
        <n v="5640" u="1"/>
        <n v="5120" u="1"/>
        <n v="4860" u="1"/>
        <n v="11550" u="1"/>
        <n v="45208" u="1"/>
        <n v="940" u="1"/>
        <n v="68750" u="1"/>
        <n v="265909.98" u="1"/>
        <n v="62920" u="1"/>
        <n v="2326.04" u="1"/>
        <n v="49626.17" u="1"/>
        <n v="680" u="1"/>
        <n v="14875" u="1"/>
        <n v="550" u="1"/>
        <n v="2476.64" u="1"/>
        <n v="2855" u="1"/>
        <n v="7665" u="1"/>
        <n v="23073" u="1"/>
        <n v="39410" u="1"/>
        <n v="2251.4" u="1"/>
        <n v="10037.5" u="1"/>
        <n v="60.75" u="1"/>
        <n v="588.77" u="1"/>
        <n v="148938.65" u="1"/>
        <n v="13000" u="1"/>
        <n v="10920" u="1"/>
        <n v="29.4" u="1"/>
        <n v="4992.5600000000004" u="1"/>
        <n v="2030" u="1"/>
        <n v="1900" u="1"/>
        <n v="6941.47" u="1"/>
        <n v="61851.33" u="1"/>
        <n v="1770" u="1"/>
        <n v="1640" u="1"/>
        <n v="50000" u="1"/>
        <n v="14245" u="1"/>
        <n v="365405" u="1"/>
        <n v="831.78" u="1"/>
        <n v="170052.96" u="1"/>
        <n v="339409.35" u="1"/>
        <n v="231890.4" u="1"/>
        <n v="1380" u="1"/>
        <n v="7413" u="1"/>
        <n v="39600" u="1"/>
        <n v="325066" u="1"/>
        <n v="1250" u="1"/>
        <n v="1120" u="1"/>
        <n v="2059.14" u="1"/>
        <n v="268816.09999999998" u="1"/>
        <n v="7610" u="1"/>
        <n v="7350" u="1"/>
        <n v="113099.8" u="1"/>
        <n v="6570" u="1"/>
        <n v="6158.55" u="1"/>
        <n v="5530" u="1"/>
        <n v="236122.25" u="1"/>
        <n v="5270" u="1"/>
        <n v="47668.5" u="1"/>
        <n v="220138.59" u="1"/>
        <n v="4750" u="1"/>
        <n v="285526.28999999998" u="1"/>
        <n v="4490" u="1"/>
        <n v="214888.1" u="1"/>
        <n v="4230" u="1"/>
        <n v="544281.59" u="1"/>
        <n v="2666451.62" u="1"/>
        <n v="7224" u="1"/>
        <n v="65534.7" u="1"/>
        <n v="755059.59" u="1"/>
        <n v="64120" u="1"/>
        <n v="111795.74" u="1"/>
        <n v="3466.36" u="1"/>
        <n v="0.16" u="1"/>
        <n v="20" u="1"/>
        <n v="3970" u="1"/>
        <n v="3840" u="1"/>
        <n v="3710" u="1"/>
        <n v="169060" u="1"/>
        <n v="7098" u="1"/>
        <n v="3450" u="1"/>
        <n v="3320" u="1"/>
        <n v="13249.1" u="1"/>
        <n v="35000" u="1"/>
        <n v="3190" u="1"/>
        <n v="316000" u="1"/>
        <n v="3060" u="1"/>
        <n v="5514.03" u="1"/>
        <n v="2930" u="1"/>
        <n v="286979.34999999998" u="1"/>
        <n v="2670" u="1"/>
        <n v="2578000" u="1"/>
        <n v="2540" u="1"/>
        <n v="7035" u="1"/>
        <n v="40673" u="1"/>
        <n v="2410" u="1"/>
        <n v="72160" u="1"/>
        <n v="272636" u="1"/>
        <n v="980.65" u="1"/>
        <n v="2280" u="1"/>
        <n v="2150" u="1"/>
        <n v="18410" u="1"/>
        <n v="121800.8" u="1"/>
        <n v="9723" u="1"/>
        <n v="10700" u="1"/>
        <n v="41.21" u="1"/>
        <n v="28180" u="1"/>
        <n v="67090.3" u="1"/>
        <n v="209907.25" u="1"/>
        <n v="991.01" u="1"/>
        <n v="9660" u="1"/>
        <n v="1258500" u="1"/>
        <n v="9597" u="1"/>
        <n v="579770.93999999994" u="1"/>
        <n v="4085787.97" u="1"/>
        <n v="5058.72" u="1"/>
        <n v="77330" u="1"/>
        <n v="0.33" u="1"/>
        <n v="89180" u="1"/>
        <n v="94.57" u="1"/>
        <n v="7760" u="1"/>
        <n v="7500" u="1"/>
        <n v="64500" u="1"/>
        <n v="374000" u="1"/>
        <n v="6460" u="1"/>
        <n v="2747.31" u="1"/>
        <n v="6200" u="1"/>
        <n v="548450" u="1"/>
        <n v="5940" u="1"/>
        <n v="5680" u="1"/>
        <n v="7602.98" u="1"/>
        <n v="5420" u="1"/>
        <n v="17150" u="1"/>
        <n v="244200" u="1"/>
        <n v="312370.45" u="1"/>
        <n v="5160" u="1"/>
        <n v="4900" u="1"/>
        <n v="4640" u="1"/>
        <n v="4380" u="1"/>
        <n v="254285.5" u="1"/>
        <n v="824.3" u="1"/>
        <n v="4120" u="1"/>
        <n v="1010" u="1"/>
        <n v="11630" u="1"/>
        <n v="258180.3" u="1"/>
        <n v="250000" u="1"/>
        <n v="880" u="1"/>
        <n v="204926.4" u="1"/>
        <n v="750" u="1"/>
        <n v="8967" u="1"/>
        <n v="57000" u="1"/>
        <n v="117196.2" u="1"/>
        <n v="620" u="1"/>
        <n v="8904" u="1"/>
        <n v="184538.62" u="1"/>
        <n v="8841" u="1"/>
        <n v="168554.96" u="1"/>
        <n v="346777.75" u="1"/>
        <n v="625110" u="1"/>
        <n v="6145773.1200000001" u="1"/>
        <n v="160750" u="1"/>
        <n v="3098341.87" u="1"/>
        <n v="6208" u="1"/>
        <n v="8785.0499999999993" u="1"/>
        <n v="7705" u="1"/>
        <n v="2485" u="1"/>
        <n v="16200" u="1"/>
        <n v="57757" u="1"/>
        <n v="1011" u="1"/>
        <n v="15680" u="1"/>
        <n v="2266.6799999999998" u="1"/>
        <n v="15" u="1"/>
        <n v="663.98" u="1"/>
        <n v="13600" u="1"/>
        <n v="11248.6" u="1"/>
        <n v="302408.75" u="1"/>
        <n v="11000" u="1"/>
        <n v="29820" u="1"/>
        <n v="8463" u="1"/>
        <n v="295855" u="1"/>
        <n v="8400" u="1"/>
        <n v="2040" u="1"/>
        <n v="23580" u="1"/>
        <n v="42630" u="1"/>
        <n v="1910" u="1"/>
        <n v="164031" u="1"/>
        <n v="299240.48" u="1"/>
        <n v="1780" u="1"/>
        <n v="1634.86" u="1"/>
        <n v="15365" u="1"/>
        <n v="1650" u="1"/>
        <n v="1431264.1" u="1"/>
        <n v="1520" u="1"/>
        <n v="108500.7" u="1"/>
        <n v="980120" u="1"/>
        <n v="1390" u="1"/>
        <n v="29316" u="1"/>
        <n v="42000" u="1"/>
        <n v="1260" u="1"/>
        <n v="847000" u="1"/>
        <n v="1130" u="1"/>
        <n v="167416.48000000001" u="1"/>
        <n v="1859660" u="1"/>
        <n v="8994.39" u="1"/>
        <n v="7130" u="1"/>
        <n v="6610" u="1"/>
        <n v="51392" u="1"/>
        <n v="6090" u="1"/>
        <n v="5570" u="1"/>
        <n v="15050" u="1"/>
        <n v="609000" u="1"/>
        <n v="160000" u="1"/>
        <n v="2145.16" u="1"/>
        <n v="5050" u="1"/>
        <n v="4790" u="1"/>
        <n v="148027.41" u="1"/>
        <n v="4530" u="1"/>
        <n v="4270" u="1"/>
        <n v="0.4" u="1"/>
        <n v="38660" u="1"/>
        <n v="13124.1" u="1"/>
        <n v="29600" u="1"/>
        <n v="884092.21" u="1"/>
        <n v="9330" u="1"/>
        <n v="256465.09" u="1"/>
        <n v="5964" u="1"/>
        <n v="11207.69" u="1"/>
        <n v="21280" u="1"/>
        <n v="2618.2800000000002" u="1"/>
        <n v="3990" u="1"/>
        <n v="3860" u="1"/>
        <n v="4632.5" u="1"/>
        <n v="812987.07" u="1"/>
        <n v="3730" u="1"/>
        <n v="3600" u="1"/>
        <n v="3470" u="1"/>
        <n v="3340" u="1"/>
        <n v="849.32" u="1"/>
        <n v="3210" u="1"/>
        <n v="3080" u="1"/>
        <n v="2950" u="1"/>
        <n v="2820" u="1"/>
        <n v="430000" u="1"/>
        <n v="2690" u="1"/>
        <n v="2560" u="1"/>
        <n v="2430" u="1"/>
        <n v="37050.199999999997" u="1"/>
        <n v="2170" u="1"/>
        <n v="7964.29" u="1"/>
        <n v="0.46" u="1"/>
        <n v="167176.79999999999" u="1"/>
        <n v="470" u="1"/>
        <n v="79860" u="1"/>
        <n v="85785" u="1"/>
        <n v="345289" u="1"/>
        <n v="4428.97" u="1"/>
        <n v="340" u="1"/>
        <n v="54398.3" u="1"/>
        <n v="815893.19" u="1"/>
        <n v="275" u="1"/>
        <n v="37716" u="1"/>
        <n v="203428.4" u="1"/>
        <n v="65450" u="1"/>
        <n v="45" u="1"/>
        <n v="61.32" u="1"/>
        <n v="12178.41" u="1"/>
        <n v="13177.42" u="1"/>
        <n v="2304" u="1"/>
        <n v="7800" u="1"/>
        <n v="250465.6" u="1"/>
        <n v="6500" u="1"/>
        <n v="5720" u="1"/>
        <n v="310000" u="1"/>
        <n v="434045.5" u="1"/>
        <n v="5460" u="1"/>
        <n v="5200" u="1"/>
        <n v="305966.5" u="1"/>
        <n v="4940" u="1"/>
        <n v="4680" u="1"/>
        <n v="4420" u="1"/>
        <n v="4160" u="1"/>
        <n v="960000" u="1"/>
        <n v="950" u="1"/>
        <n v="820" u="1"/>
        <n v="17704.52" u="1"/>
        <n v="25000" u="1"/>
        <n v="4223.26" u="1"/>
        <n v="690" u="1"/>
        <n v="5334" u="1"/>
        <n v="625" u="1"/>
        <n v="121338" u="1"/>
        <n v="560" u="1"/>
        <n v="120960" u="1"/>
        <n v="203630" u="1"/>
        <n v="777470" u="1"/>
        <n v="824860.81" u="1"/>
        <n v="3675" u="1"/>
        <n v="343791" u="1"/>
        <n v="932522.43" u="1"/>
        <n v="220865.12" u="1"/>
        <n v="10262.94" u="1"/>
        <n v="245484.75" u="1"/>
        <n v="90580" u="1"/>
        <n v="213465" u="1"/>
        <n v="4688.74" u="1"/>
        <n v="14200" u="1"/>
        <n v="181445.25" u="1"/>
        <n v="13680" u="1"/>
        <n v="201" u="1"/>
        <n v="32060" u="1"/>
        <n v="39420" u="1"/>
        <n v="11600" u="1"/>
        <n v="33180" u="1"/>
        <n v="0.08" u="1"/>
        <n v="9000" u="1"/>
        <n v="2052" u="1"/>
        <n v="1920" u="1"/>
        <n v="1790" u="1"/>
        <n v="1660" u="1"/>
        <n v="31664.6" u="1"/>
        <n v="158000" u="1"/>
        <n v="1335" u="1"/>
        <n v="13030.6" u="1"/>
        <n v="36080" u="1"/>
        <n v="1140" u="1"/>
        <n v="2065073.73" u="1"/>
        <n v="7950" u="1"/>
        <n v="7430" u="1"/>
        <n v="177415" u="1"/>
        <n v="7170" u="1"/>
        <n v="66000" u="1"/>
        <n v="6130" u="1"/>
        <n v="5610" u="1"/>
        <n v="5350" u="1"/>
        <n v="1225.72" u="1"/>
        <n v="95.57" u="1"/>
        <n v="4830" u="1"/>
        <n v="4570" u="1"/>
        <n v="4310" u="1"/>
        <n v="208484.15" u="1"/>
        <n v="509200" u="1"/>
        <n v="8890" u="1"/>
        <n v="2087.63" u="1"/>
        <n v="67065.899999999994" u="1"/>
        <n v="19360" u="1"/>
        <n v="4010" u="1"/>
        <n v="3880" u="1"/>
        <n v="8701" u="1"/>
        <n v="3620" u="1"/>
        <n v="3490" u="1"/>
        <n v="274628.34000000003" u="1"/>
        <n v="17059.5" u="1"/>
        <n v="3230" u="1"/>
        <n v="8848.84" u="1"/>
        <n v="2588901.8199999998" u="1"/>
        <n v="2970" u="1"/>
        <n v="2840" u="1"/>
        <n v="112513.98" u="1"/>
        <n v="45410" u="1"/>
        <n v="2580" u="1"/>
        <n v="2450" u="1"/>
        <n v="2320" u="1"/>
        <n v="2190" u="1"/>
        <n v="91649.4" u="1"/>
        <n v="309524.25" u="1"/>
        <n v="2060" u="1"/>
        <n v="105516.4" u="1"/>
        <n v="8" u="1"/>
        <n v="13328.7" u="1"/>
        <n v="8937.5" u="1"/>
        <n v="440" u="1"/>
        <n v="10760.2" u="1"/>
        <n v="4515" u="1"/>
        <n v="609100" u="1"/>
        <n v="1723739.59" u="1"/>
        <n v="139463.79999999999" u="1"/>
        <n v="308048.71999999997" u="1"/>
        <n v="4343500" u="1"/>
        <n v="4452" u="1"/>
        <n v="509.59" u="1"/>
        <n v="289863" u="1"/>
        <n v="15225" u="1"/>
        <n v="162800" u="1"/>
        <n v="239754.9" u="1"/>
        <n v="775.81" u="1"/>
        <n v="153" u="1"/>
        <n v="292791.59000000003" u="1"/>
        <n v="51210" u="1"/>
        <n v="7840" u="1"/>
        <n v="7580" u="1"/>
        <n v="21756" u="1"/>
        <n v="364.49" u="1"/>
        <n v="7320" u="1"/>
        <n v="6800" u="1"/>
        <n v="108" u="1"/>
        <n v="6540" u="1"/>
        <n v="463330" u="1"/>
        <n v="660.26" u="1"/>
        <n v="6280" u="1"/>
        <n v="6020" u="1"/>
        <n v="80250" u="1"/>
        <n v="5500" u="1"/>
        <n v="5240" u="1"/>
        <n v="6248.5" u="1"/>
        <n v="4980" u="1"/>
        <n v="4720" u="1"/>
        <n v="75460" u="1"/>
        <n v="4200" u="1"/>
        <n v="1020" u="1"/>
        <n v="1311285" u="1"/>
        <n v="890" u="1"/>
        <n v="760" u="1"/>
        <n v="490060" u="1"/>
        <n v="21000" u="1"/>
        <n v="630" u="1"/>
        <n v="2458" u="1"/>
        <n v="5789.32" u="1"/>
        <n v="252113.4" u="1"/>
        <n v="137" u="1"/>
        <n v="1993" u="1"/>
        <n v="144400" u="1"/>
        <n v="230032.88" u="1"/>
        <n v="2716697.9" u="1"/>
        <n v="41000" u="1"/>
        <n v="27650" u="1"/>
        <n v="310954.84000000003" u="1"/>
        <n v="20496" u="1"/>
        <n v="80000" u="1"/>
        <n v="0.2" u="1"/>
        <n v="257191.62" u="1"/>
        <n v="14800" u="1"/>
        <n v="12200" u="1"/>
        <n v="289600.84999999998" u="1"/>
        <n v="11444.02" u="1"/>
        <n v="141237.79999999999" u="1"/>
        <n v="1240262.42" u="1"/>
        <n v="696" u="1"/>
        <n v="9600" u="1"/>
        <n v="566" u="1"/>
        <n v="6047.88" u="1"/>
        <n v="1930" u="1"/>
        <n v="187444.74" u="1"/>
        <n v="3506.85" u="1"/>
        <n v="578890" u="1"/>
        <n v="1670" u="1"/>
        <n v="1540" u="1"/>
        <n v="46800" u="1"/>
        <n v="1410" u="1"/>
        <n v="254023.35" u="1"/>
        <n v="1280" u="1"/>
        <n v="31590" u="1"/>
        <n v="37471.5" u="1"/>
        <n v="222003.6" u="1"/>
        <n v="36400" u="1"/>
        <n v="1150" u="1"/>
        <n v="10325" u="1"/>
        <n v="257918.15" u="1"/>
        <n v="235" u="1"/>
        <n v="3636" u="1"/>
        <n v="180460" u="1"/>
        <n v="193318.5" u="1"/>
        <n v="236684" u="1"/>
        <n v="9.5500000000000007" u="1"/>
        <n v="6690" u="1"/>
        <n v="49742.05" u="1"/>
        <n v="5650" u="1"/>
        <n v="5390" u="1"/>
        <n v="5130" u="1"/>
        <n v="4870" u="1"/>
        <n v="4610" u="1"/>
        <n v="78014.2" u="1"/>
        <n v="4350" u="1"/>
        <n v="2504888.33" u="1"/>
        <n v="3822.58" u="1"/>
        <n v="32000" u="1"/>
        <n v="88421.3" u="1"/>
        <n v="279639.15000000002" u="1"/>
        <n v="17692" u="1"/>
        <n v="25.51" u="1"/>
        <n v="232669.36" u="1"/>
        <n v="6" u="1"/>
        <n v="21600" u="1"/>
        <n v="10614.84" u="1"/>
        <n v="3163319.86" u="1"/>
        <n v="3255.33" u="1"/>
        <n v="4030" u="1"/>
        <n v="3900" u="1"/>
        <n v="79500" u="1"/>
        <n v="3770" u="1"/>
        <n v="3640" u="1"/>
        <n v="3510" u="1"/>
        <n v="3380" u="1"/>
        <n v="3250" u="1"/>
        <n v="3120" u="1"/>
        <n v="31.6" u="1"/>
        <n v="2990" u="1"/>
        <n v="2860" u="1"/>
        <n v="2730" u="1"/>
        <n v="2600" u="1"/>
        <n v="2340" u="1"/>
        <n v="2210" u="1"/>
        <n v="9364.52" u="1"/>
        <n v="11151.8" u="1"/>
        <n v="3357500" u="1"/>
        <n v="2080" u="1"/>
        <n v="13385.9" u="1"/>
        <n v="33250" u="1"/>
        <n v="170712.08" u="1"/>
        <n v="614.95000000000005" u="1"/>
        <n v="1609" u="1"/>
        <n v="5394675.0599999996" u="1"/>
        <n v="7222.13" u="1"/>
        <n v="1383.11" u="1"/>
        <n v="235935" u="1"/>
        <n v="14009.35" u="1"/>
        <n v="706000" u="1"/>
        <n v="66770" u="1"/>
        <n v="420000" u="1"/>
        <n v="940.95" u="1"/>
        <n v="8608" u="1"/>
        <n v="84.11" u="1"/>
        <n v="86635.51" u="1"/>
        <n v="117700" u="1"/>
        <n v="6840" u="1"/>
        <n v="212041.9" u="1"/>
        <n v="6320" u="1"/>
        <n v="65208" u="1"/>
        <n v="669860.66" u="1"/>
        <n v="6060" u="1"/>
        <n v="20795.599999999999" u="1"/>
        <n v="80890" u="1"/>
        <n v="378" u="1"/>
        <n v="5800" u="1"/>
        <n v="5540" u="1"/>
        <n v="1351" u="1"/>
        <n v="5020" u="1"/>
        <n v="4760" u="1"/>
        <n v="6777" u="1"/>
        <n v="5" u="1"/>
        <n v="4500" u="1"/>
        <n v="458.63" u="1"/>
        <n v="4240" u="1"/>
        <n v="26873075.8675" u="1"/>
        <n v="602.55999999999995" u="1"/>
        <n v="960" u="1"/>
        <n v="3060.76" u="1"/>
        <n v="614958.96" u="1"/>
        <n v="206334.52" u="1"/>
        <n v="830" u="1"/>
        <n v="23240" u="1"/>
        <n v="13426.6" u="1"/>
        <n v="635" u="1"/>
        <n v="570" u="1"/>
        <n v="4374" u="1"/>
        <n v="13115" u="1"/>
        <n v="2447248.04" u="1"/>
        <n v="12075" u="1"/>
        <n v="29890" u="1"/>
        <n v="316639.75" u="1"/>
        <n v="11677.6" u="1"/>
        <n v="9309.76" u="1"/>
        <n v="1511.9" u="1"/>
        <n v="6.54" u="1"/>
        <n v="5745" u="1"/>
        <n v="207061.05" u="1"/>
        <n v="12800" u="1"/>
        <n v="6395.13" u="1"/>
        <n v="335.52" u="1"/>
        <n v="766" u="1"/>
        <n v="7360.73" u="1"/>
        <n v="629.61" u="1"/>
        <n v="10200" u="1"/>
        <n v="8971.9599999999991" u="1"/>
        <n v="4382" u="1"/>
        <n v="18666.66" u="1"/>
        <n v="1940" u="1"/>
        <n v="1810" u="1"/>
        <n v="444" u="1"/>
        <n v="9046.6200000000008" u="1"/>
        <n v="137314.17000000001" u="1"/>
        <n v="13068" u="1"/>
        <n v="379" u="1"/>
        <n v="1420" u="1"/>
        <n v="4547.5" u="1"/>
        <n v="40880" u="1"/>
        <n v="1160" u="1"/>
        <n v="207787.58" u="1"/>
        <n v="7313.74" u="1"/>
        <n v="7770" u="1"/>
        <n v="240653.7" u="1"/>
        <n v="7250" u="1"/>
        <n v="6990" u="1"/>
        <n v="183505" u="1"/>
        <n v="220" u="1"/>
        <n v="304045" u="1"/>
        <n v="21350" u="1"/>
        <n v="1451590.09" u="1"/>
        <n v="5690" u="1"/>
        <n v="5430" u="1"/>
        <n v="14250" u="1"/>
        <n v="2663053.85" u="1"/>
        <n v="4650" u="1"/>
        <n v="154024.35999999999" u="1"/>
        <n v="2878390.89" u="1"/>
        <n v="0.17" u="1"/>
        <n v="4390" u="1"/>
        <n v="234099.95" u="1"/>
        <n v="964227" u="1"/>
        <n v="4130" u="1"/>
        <n v="195.61" u="1"/>
        <n v="28000" u="1"/>
        <n v="35208" u="1"/>
        <n v="412" u="1"/>
        <n v="91359" u="1"/>
        <n v="53.93" u="1"/>
        <n v="1007600" u="1"/>
        <n v="4050" u="1"/>
        <n v="3790" u="1"/>
        <n v="3660" u="1"/>
        <n v="3530" u="1"/>
        <n v="34200" u="1"/>
        <n v="3140" u="1"/>
        <n v="3010" u="1"/>
        <n v="2880" u="1"/>
        <n v="2750" u="1"/>
        <n v="7455" u="1"/>
        <n v="648580" u="1"/>
        <n v="884569" u="1"/>
        <n v="2490" u="1"/>
        <n v="154750.89000000001" u="1"/>
        <n v="2360" u="1"/>
        <n v="412.5" u="1"/>
        <n v="1681.64" u="1"/>
        <n v="380" u="1"/>
        <n v="10500" u="1"/>
        <n v="18735" u="1"/>
        <n v="28820" u="1"/>
        <n v="263730.39" u="1"/>
        <n v="97451.79" u="1"/>
        <n v="8940" u="1"/>
        <n v="80520" u="1"/>
        <n v="57.4" u="1"/>
        <n v="72200" u="1"/>
        <n v="248488.24" u="1"/>
        <n v="79483.8" u="1"/>
        <n v="298626.3" u="1"/>
        <n v="12599.4" u="1"/>
        <n v="320197.5" u="1"/>
        <n v="2466350" u="1"/>
        <n v="2305000" u="1"/>
        <n v="0.1" u="1"/>
        <n v="1884859.2" u="1"/>
        <n v="7400" u="1"/>
        <n v="468450" u="1"/>
        <n v="6100" u="1"/>
        <n v="5840" u="1"/>
        <n v="931399.23" u="1"/>
        <n v="5580" u="1"/>
        <n v="5320" u="1"/>
        <n v="7077" u="1"/>
        <n v="4800" u="1"/>
        <n v="651630" u="1"/>
        <n v="4280" u="1"/>
        <n v="60990" u="1"/>
        <n v="8127429.2000000002" u="1"/>
        <n v="2374.5500000000002" u="1"/>
        <n v="12132.47" u="1"/>
        <n v="2553752.9500000002" u="1"/>
        <n v="9350" u="1"/>
        <n v="2577539.8199999998" u="1"/>
        <n v="802.5" u="1"/>
        <n v="560870" u="1"/>
        <n v="770" u="1"/>
        <n v="640" u="1"/>
        <n v="301550" u="1"/>
        <n v="59730" u="1"/>
        <n v="160435.79999999999" u="1"/>
        <n v="1194.17" u="1"/>
        <n v="784.39" u="1"/>
        <n v="6825" u="1"/>
        <n v="628450" u="1"/>
        <n v="5.89" u="1"/>
        <n v="250.6" u="1"/>
        <n v="140098.35" u="1"/>
        <n v="21278.400000000001" u="1"/>
        <n v="966" u="1"/>
        <n v="95273.5" u="1"/>
        <n v="466656.96" u="1"/>
        <n v="13400" u="1"/>
        <n v="37629200" u="1"/>
        <n v="547.59" u="1"/>
        <n v="10800" u="1"/>
        <n v="243387.55" u="1"/>
        <n v="332024.21000000002" u="1"/>
        <n v="9240" u="1"/>
        <n v="8200" u="1"/>
        <n v="1950" u="1"/>
        <n v="1820" u="1"/>
        <n v="1690" u="1"/>
        <n v="12465.2" u="1"/>
        <n v="1560" u="1"/>
        <n v="1430" u="1"/>
        <n v="23905" u="1"/>
        <n v="59290" u="1"/>
        <n v="628298.65" u="1"/>
        <n v="1170" u="1"/>
        <n v="8988" u="1"/>
        <n v="24411.42" u="1"/>
        <n v="8925" u="1"/>
        <n v="7290" u="1"/>
        <n v="6510" u="1"/>
        <n v="5730" u="1"/>
        <n v="30492" u="1"/>
        <n v="12032.9" u="1"/>
        <n v="140" u="1"/>
        <n v="147461.46" u="1"/>
        <n v="9130" u="1"/>
        <n v="6384" u="1"/>
        <n v="8610" u="1"/>
        <n v="8942619.3499999996" u="1"/>
        <n v="266269.5" u="1"/>
        <n v="128207.2" u="1"/>
        <n v="1811239.29" u="1"/>
        <n v="174367.2" u="1"/>
        <n v="287840.7" u="1"/>
        <n v="134615" u="1"/>
        <n v="15575" u="1"/>
        <n v="509320" u="1"/>
        <n v="12.95" u="1"/>
        <n v="2794119.9" u="1"/>
        <n v="3810" u="1"/>
        <n v="3680" u="1"/>
        <n v="58850" u="1"/>
        <n v="3420" u="1"/>
        <n v="6778" u="1"/>
        <n v="3290" u="1"/>
        <n v="13920.5" u="1"/>
        <n v="3160" u="1"/>
        <n v="3030" u="1"/>
        <n v="9198.1299999999992" u="1"/>
        <n v="217509.6" u="1"/>
        <n v="2770" u="1"/>
        <n v="2640" u="1"/>
        <n v="8295" u="1"/>
        <n v="64460" u="1"/>
        <n v="2510" u="1"/>
        <n v="2380" u="1"/>
        <n v="0.02" u="1"/>
        <n v="2250" u="1"/>
        <n v="2120" u="1"/>
        <n v="8232" u="1"/>
        <n v="126" u="1"/>
        <n v="232190" u="1"/>
        <n v="2320990.36" u="1"/>
        <n v="32100" u="1"/>
        <n v="661182.73" u="1"/>
        <n v="11620" u="1"/>
        <n v="8500" u="1"/>
        <n v="1932955" u="1"/>
        <n v="21700" u="1"/>
        <n v="1019239.2" u="1"/>
        <n v="336383.39" u="1"/>
        <n v="104482" u="1"/>
        <n v="16500" u="1"/>
        <n v="774" u="1"/>
        <n v="6006" u="1"/>
        <n v="150000" u="1"/>
        <n v="155043" u="1"/>
        <n v="11305" u="1"/>
        <n v="49130.400000000001" u="1"/>
        <n v="470000" u="1"/>
        <n v="7440" u="1"/>
        <n v="13064.7" u="1"/>
        <n v="6660" u="1"/>
        <n v="237657.7" u="1"/>
        <n v="5642.06" u="1"/>
        <n v="6400" u="1"/>
        <n v="6140" u="1"/>
        <n v="5880" u="1"/>
        <n v="88095" u="1"/>
        <n v="5620" u="1"/>
        <n v="5360" u="1"/>
        <n v="69690" u="1"/>
        <n v="5100" u="1"/>
        <n v="12913.46" u="1"/>
        <n v="39312" u="1"/>
        <n v="4840" u="1"/>
        <n v="4320" u="1"/>
        <n v="41140" u="1"/>
        <n v="718270" u="1"/>
        <n v="2977395.95" u="1"/>
        <n v="5817" u="1"/>
        <n v="970" u="1"/>
        <n v="205975" u="1"/>
        <n v="27720" u="1"/>
        <n v="775" u="1"/>
        <n v="161350" u="1"/>
        <n v="580" u="1"/>
        <n v="4194" u="1"/>
        <n v="192530.45" u="1"/>
        <n v="1365.43" u="1"/>
        <n v="10883.4" u="1"/>
        <n v="10386.200000000001" u="1"/>
        <n v="5997.29" u="1"/>
        <n v="19810" u="1"/>
        <n v="5565" u="1"/>
        <n v="12285.9" u="1"/>
        <n v="488670" u="1"/>
        <n v="121000" u="1"/>
        <n v="11400" u="1"/>
        <n v="36540" u="1"/>
        <n v="0.6" u="1"/>
        <n v="9840" u="1"/>
        <n v="8800" u="1"/>
        <n v="474001.71750000003" u="1"/>
        <n v="334.1" u="1"/>
        <n v="1830" u="1"/>
        <n v="3592525" u="1"/>
        <n v="86460" u="1"/>
        <n v="1440" u="1"/>
        <n v="628141.36" u="1"/>
        <n v="1375" u="1"/>
        <n v="1310" u="1"/>
        <n v="1180" u="1"/>
        <n v="25330.63" u="1"/>
        <n v="69190" u="1"/>
        <n v="972" u="1"/>
        <n v="133.13999999999999" u="1"/>
        <n v="7070" u="1"/>
        <n v="63140" u="1"/>
        <n v="6550" u="1"/>
        <n v="265183.45" u="1"/>
        <n v="6030" u="1"/>
        <n v="289500" u="1"/>
        <n v="5770" u="1"/>
        <n v="5510" u="1"/>
        <n v="43230.68" u="1"/>
        <n v="5250" u="1"/>
        <n v="223801.2" u="1"/>
        <n v="4990" u="1"/>
        <n v="230440" u="1"/>
        <n v="4730" u="1"/>
      </sharedItems>
    </cacheField>
    <cacheField name="เครดิต" numFmtId="165">
      <sharedItems containsString="0" containsBlank="1" containsNumber="1" minValue="10" maxValue="2432040.7400000002"/>
    </cacheField>
    <cacheField name="หมวด" numFmtId="0">
      <sharedItems containsMixedTypes="1" containsNumber="1" containsInteger="1" minValue="0" maxValue="0" count="6">
        <s v="1"/>
        <s v="2"/>
        <s v="3"/>
        <s v="4"/>
        <n v="0"/>
        <s v="5"/>
      </sharedItems>
    </cacheField>
    <cacheField name="รหัสหน่วยงาน" numFmtId="0">
      <sharedItems/>
    </cacheField>
    <cacheField name="ชื่อหน่วยงาน" numFmtId="0">
      <sharedItems containsBlank="1" count="5">
        <s v="สำนักงานใหญ่"/>
        <m u="1"/>
        <s v="GA" u="1"/>
        <e v="#N/A" u="1"/>
        <s v="QA" u="1"/>
      </sharedItems>
    </cacheField>
    <cacheField name="ประเภท" numFmtId="0">
      <sharedItems containsSemiMixedTypes="0" containsString="0" containsNumber="1" containsInteger="1" minValue="1" maxValue="2" count="2">
        <n v="1"/>
        <n v="2" u="1"/>
      </sharedItems>
    </cacheField>
    <cacheField name="ยอดคงเหลือ" numFmtId="0" formula="เดบิต-เครดิต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6">
  <r>
    <n v="1"/>
    <x v="0"/>
    <s v="ยอดยกมา 01/12/2568"/>
    <x v="0"/>
    <x v="0"/>
    <x v="0"/>
    <x v="0"/>
    <m/>
    <x v="0"/>
    <s v="HO"/>
    <x v="0"/>
    <x v="0"/>
  </r>
  <r>
    <n v="1"/>
    <x v="0"/>
    <s v="ยอดยกมา 01/12/2568"/>
    <x v="0"/>
    <x v="1"/>
    <x v="1"/>
    <x v="1"/>
    <m/>
    <x v="0"/>
    <s v="HO"/>
    <x v="0"/>
    <x v="0"/>
  </r>
  <r>
    <n v="1"/>
    <x v="0"/>
    <s v="ยอดยกมา 01/12/2568"/>
    <x v="0"/>
    <x v="2"/>
    <x v="2"/>
    <x v="2"/>
    <m/>
    <x v="0"/>
    <s v="HO"/>
    <x v="0"/>
    <x v="0"/>
  </r>
  <r>
    <n v="1"/>
    <x v="0"/>
    <s v="ยอดยกมา 01/12/2568"/>
    <x v="0"/>
    <x v="3"/>
    <x v="3"/>
    <x v="2"/>
    <m/>
    <x v="0"/>
    <s v="HO"/>
    <x v="0"/>
    <x v="0"/>
  </r>
  <r>
    <n v="1"/>
    <x v="0"/>
    <s v="ยอดยกมา 01/12/2568"/>
    <x v="0"/>
    <x v="4"/>
    <x v="4"/>
    <x v="3"/>
    <m/>
    <x v="0"/>
    <s v="HO"/>
    <x v="0"/>
    <x v="0"/>
  </r>
  <r>
    <n v="1"/>
    <x v="0"/>
    <s v="ยอดยกมา 01/12/2568"/>
    <x v="0"/>
    <x v="5"/>
    <x v="5"/>
    <x v="2"/>
    <m/>
    <x v="0"/>
    <s v="HO"/>
    <x v="0"/>
    <x v="0"/>
  </r>
  <r>
    <n v="1"/>
    <x v="0"/>
    <s v="ยอดยกมา 01/12/2568"/>
    <x v="0"/>
    <x v="6"/>
    <x v="6"/>
    <x v="2"/>
    <m/>
    <x v="0"/>
    <s v="HO"/>
    <x v="0"/>
    <x v="0"/>
  </r>
  <r>
    <n v="1"/>
    <x v="0"/>
    <s v="ยอดยกมา 01/12/2568"/>
    <x v="0"/>
    <x v="7"/>
    <x v="7"/>
    <x v="2"/>
    <m/>
    <x v="0"/>
    <s v="HO"/>
    <x v="0"/>
    <x v="0"/>
  </r>
  <r>
    <n v="1"/>
    <x v="0"/>
    <s v="ยอดยกมา 01/12/2568"/>
    <x v="0"/>
    <x v="8"/>
    <x v="8"/>
    <x v="2"/>
    <m/>
    <x v="0"/>
    <s v="HO"/>
    <x v="0"/>
    <x v="0"/>
  </r>
  <r>
    <n v="1"/>
    <x v="0"/>
    <s v="ยอดยกมา 01/12/2568"/>
    <x v="0"/>
    <x v="9"/>
    <x v="9"/>
    <x v="4"/>
    <m/>
    <x v="0"/>
    <s v="HO"/>
    <x v="0"/>
    <x v="0"/>
  </r>
  <r>
    <n v="1"/>
    <x v="0"/>
    <s v="ยอดยกมา 01/12/2568"/>
    <x v="0"/>
    <x v="10"/>
    <x v="10"/>
    <x v="5"/>
    <m/>
    <x v="0"/>
    <s v="HO"/>
    <x v="0"/>
    <x v="0"/>
  </r>
  <r>
    <n v="1"/>
    <x v="0"/>
    <s v="ยอดยกมา 01/12/2568"/>
    <x v="0"/>
    <x v="11"/>
    <x v="11"/>
    <x v="6"/>
    <n v="203310"/>
    <x v="1"/>
    <s v="HO"/>
    <x v="0"/>
    <x v="0"/>
  </r>
  <r>
    <n v="1"/>
    <x v="0"/>
    <s v="ยอดยกมา 01/12/2568"/>
    <x v="0"/>
    <x v="12"/>
    <x v="12"/>
    <x v="6"/>
    <n v="126280"/>
    <x v="1"/>
    <s v="HO"/>
    <x v="0"/>
    <x v="0"/>
  </r>
  <r>
    <n v="1"/>
    <x v="0"/>
    <s v="ยอดยกมา 01/12/2568"/>
    <x v="0"/>
    <x v="13"/>
    <x v="13"/>
    <x v="6"/>
    <n v="12285.9"/>
    <x v="1"/>
    <s v="HO"/>
    <x v="0"/>
    <x v="0"/>
  </r>
  <r>
    <n v="1"/>
    <x v="0"/>
    <s v="ยอดยกมา 01/12/2568"/>
    <x v="0"/>
    <x v="14"/>
    <x v="14"/>
    <x v="6"/>
    <n v="544281.59"/>
    <x v="2"/>
    <s v="HO"/>
    <x v="0"/>
    <x v="0"/>
  </r>
  <r>
    <n v="1"/>
    <x v="0"/>
    <s v="ยอดยกมา 01/12/2568"/>
    <x v="0"/>
    <x v="15"/>
    <x v="15"/>
    <x v="6"/>
    <n v="2432040.7400000002"/>
    <x v="2"/>
    <s v="HO"/>
    <x v="0"/>
    <x v="0"/>
  </r>
  <r>
    <n v="1"/>
    <x v="0"/>
    <s v="ยอดยกมา 01/12/2568"/>
    <x v="0"/>
    <x v="16"/>
    <x v="16"/>
    <x v="6"/>
    <n v="53438.14"/>
    <x v="2"/>
    <s v="HO"/>
    <x v="0"/>
    <x v="0"/>
  </r>
  <r>
    <n v="1"/>
    <x v="0"/>
    <s v="ยอดยกมา 01/12/2568"/>
    <x v="0"/>
    <x v="17"/>
    <x v="17"/>
    <x v="6"/>
    <n v="39549.18"/>
    <x v="3"/>
    <s v="HO"/>
    <x v="0"/>
    <x v="0"/>
  </r>
  <r>
    <n v="2"/>
    <x v="0"/>
    <s v="ยอดยกมา 01/12/2568"/>
    <x v="0"/>
    <x v="17"/>
    <x v="17"/>
    <x v="6"/>
    <n v="120250.82"/>
    <x v="3"/>
    <s v="HO"/>
    <x v="0"/>
    <x v="0"/>
  </r>
  <r>
    <n v="2"/>
    <x v="0"/>
    <s v="ยอดยกมา 01/12/2568"/>
    <x v="0"/>
    <x v="18"/>
    <x v="18"/>
    <x v="6"/>
    <n v="20340"/>
    <x v="3"/>
    <s v="HO"/>
    <x v="0"/>
    <x v="0"/>
  </r>
  <r>
    <n v="2"/>
    <x v="0"/>
    <s v="ยอดยกมา 01/12/2568"/>
    <x v="0"/>
    <x v="19"/>
    <x v="19"/>
    <x v="6"/>
    <n v="11280"/>
    <x v="3"/>
    <s v="HO"/>
    <x v="0"/>
    <x v="0"/>
  </r>
  <r>
    <n v="2"/>
    <x v="0"/>
    <s v="ยอดยกมา 01/12/2568"/>
    <x v="0"/>
    <x v="20"/>
    <x v="20"/>
    <x v="6"/>
    <n v="1150"/>
    <x v="3"/>
    <s v="HO"/>
    <x v="0"/>
    <x v="0"/>
  </r>
  <r>
    <n v="2"/>
    <x v="0"/>
    <s v="ยอดยกมา 01/12/2568"/>
    <x v="0"/>
    <x v="21"/>
    <x v="21"/>
    <x v="6"/>
    <n v="13000"/>
    <x v="3"/>
    <s v="HO"/>
    <x v="0"/>
    <x v="0"/>
  </r>
  <r>
    <n v="2"/>
    <x v="0"/>
    <s v="ยอดยกมา 01/12/2568"/>
    <x v="0"/>
    <x v="22"/>
    <x v="22"/>
    <x v="6"/>
    <n v="4000"/>
    <x v="3"/>
    <s v="HO"/>
    <x v="0"/>
    <x v="0"/>
  </r>
  <r>
    <n v="2"/>
    <x v="0"/>
    <s v="ยอดยกมา 01/12/2568"/>
    <x v="0"/>
    <x v="23"/>
    <x v="23"/>
    <x v="6"/>
    <n v="2640"/>
    <x v="3"/>
    <s v="HO"/>
    <x v="0"/>
    <x v="0"/>
  </r>
  <r>
    <n v="2"/>
    <x v="0"/>
    <s v="ยอดยกมา 01/12/2568"/>
    <x v="0"/>
    <x v="24"/>
    <x v="24"/>
    <x v="6"/>
    <n v="19620"/>
    <x v="3"/>
    <s v="HO"/>
    <x v="0"/>
    <x v="0"/>
  </r>
  <r>
    <n v="2"/>
    <x v="0"/>
    <s v="ยอดยกมา 01/12/2568"/>
    <x v="0"/>
    <x v="25"/>
    <x v="25"/>
    <x v="6"/>
    <n v="103320"/>
    <x v="3"/>
    <s v="HO"/>
    <x v="0"/>
    <x v="0"/>
  </r>
  <r>
    <n v="2"/>
    <x v="0"/>
    <s v="ยอดยกมา 01/12/2568"/>
    <x v="0"/>
    <x v="26"/>
    <x v="26"/>
    <x v="6"/>
    <n v="2000"/>
    <x v="3"/>
    <s v="HO"/>
    <x v="0"/>
    <x v="0"/>
  </r>
  <r>
    <n v="2"/>
    <x v="0"/>
    <s v="ยอดยกมา 01/12/2568"/>
    <x v="0"/>
    <x v="27"/>
    <x v="27"/>
    <x v="6"/>
    <n v="600"/>
    <x v="4"/>
    <s v="HO"/>
    <x v="0"/>
    <x v="0"/>
  </r>
  <r>
    <n v="2"/>
    <x v="0"/>
    <s v="ยอดยกมา 01/12/2568"/>
    <x v="0"/>
    <x v="28"/>
    <x v="28"/>
    <x v="6"/>
    <n v="1500"/>
    <x v="3"/>
    <s v="HO"/>
    <x v="0"/>
    <x v="0"/>
  </r>
  <r>
    <n v="2"/>
    <x v="0"/>
    <s v="ยอดยกมา 01/12/2568"/>
    <x v="0"/>
    <x v="29"/>
    <x v="29"/>
    <x v="7"/>
    <m/>
    <x v="5"/>
    <s v="HO"/>
    <x v="0"/>
    <x v="0"/>
  </r>
  <r>
    <n v="2"/>
    <x v="0"/>
    <s v="ยอดยกมา 01/12/2568"/>
    <x v="0"/>
    <x v="30"/>
    <x v="30"/>
    <x v="8"/>
    <m/>
    <x v="5"/>
    <s v="HO"/>
    <x v="0"/>
    <x v="0"/>
  </r>
  <r>
    <n v="2"/>
    <x v="0"/>
    <s v="ยอดยกมา 01/12/2568"/>
    <x v="0"/>
    <x v="31"/>
    <x v="31"/>
    <x v="9"/>
    <m/>
    <x v="5"/>
    <s v="HO"/>
    <x v="0"/>
    <x v="0"/>
  </r>
  <r>
    <n v="2"/>
    <x v="0"/>
    <s v="ยอดยกมา 01/12/2568"/>
    <x v="0"/>
    <x v="32"/>
    <x v="32"/>
    <x v="9"/>
    <m/>
    <x v="5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33"/>
    <x v="33"/>
    <x v="10"/>
    <m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17"/>
    <x v="17"/>
    <x v="6"/>
    <n v="900"/>
    <x v="3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28"/>
    <x v="28"/>
    <x v="6"/>
    <n v="50"/>
    <x v="3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33"/>
    <x v="33"/>
    <x v="12"/>
    <m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24"/>
    <x v="24"/>
    <x v="6"/>
    <n v="80"/>
    <x v="3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0"/>
    <x v="0"/>
    <x v="13"/>
    <m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33"/>
    <x v="33"/>
    <x v="6"/>
    <n v="1030"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33"/>
    <x v="33"/>
    <x v="14"/>
    <m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17"/>
    <x v="17"/>
    <x v="6"/>
    <n v="1600"/>
    <x v="3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33"/>
    <x v="33"/>
    <x v="15"/>
    <m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18"/>
    <x v="18"/>
    <x v="6"/>
    <n v="180"/>
    <x v="3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33"/>
    <x v="33"/>
    <x v="16"/>
    <m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24"/>
    <x v="24"/>
    <x v="6"/>
    <n v="240"/>
    <x v="3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0"/>
    <x v="0"/>
    <x v="17"/>
    <m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33"/>
    <x v="33"/>
    <x v="6"/>
    <n v="2020"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33"/>
    <x v="33"/>
    <x v="18"/>
    <m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25"/>
    <x v="25"/>
    <x v="6"/>
    <n v="4770"/>
    <x v="3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12"/>
    <x v="12"/>
    <x v="6"/>
    <n v="5830"/>
    <x v="1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0"/>
    <x v="0"/>
    <x v="18"/>
    <m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33"/>
    <x v="33"/>
    <x v="6"/>
    <n v="10600"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33"/>
    <x v="33"/>
    <x v="19"/>
    <m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26"/>
    <x v="26"/>
    <x v="6"/>
    <n v="2000"/>
    <x v="3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0"/>
    <x v="0"/>
    <x v="19"/>
    <m/>
    <x v="0"/>
    <s v="HO"/>
    <x v="0"/>
    <x v="0"/>
  </r>
  <r>
    <n v="3"/>
    <x v="0"/>
    <s v="เงินฝากธนาคารกรุงไทย สนามกอล์ฟภูกระแตมหาวิทยาลัยนครพนม 408-0-989180"/>
    <x v="1"/>
    <x v="33"/>
    <x v="33"/>
    <x v="6"/>
    <n v="2000"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33"/>
    <x v="33"/>
    <x v="20"/>
    <m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17"/>
    <x v="17"/>
    <x v="6"/>
    <n v="800"/>
    <x v="3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33"/>
    <x v="33"/>
    <x v="21"/>
    <m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24"/>
    <x v="24"/>
    <x v="6"/>
    <n v="10"/>
    <x v="3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0"/>
    <x v="0"/>
    <x v="22"/>
    <m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33"/>
    <x v="33"/>
    <x v="6"/>
    <n v="810"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33"/>
    <x v="33"/>
    <x v="23"/>
    <m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17"/>
    <x v="17"/>
    <x v="6"/>
    <n v="1400"/>
    <x v="3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33"/>
    <x v="33"/>
    <x v="24"/>
    <m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18"/>
    <x v="18"/>
    <x v="6"/>
    <n v="360"/>
    <x v="3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20"/>
    <x v="20"/>
    <x v="6"/>
    <n v="50"/>
    <x v="3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33"/>
    <x v="33"/>
    <x v="25"/>
    <m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24"/>
    <x v="24"/>
    <x v="6"/>
    <n v="170"/>
    <x v="3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0"/>
    <x v="0"/>
    <x v="26"/>
    <m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33"/>
    <x v="33"/>
    <x v="6"/>
    <n v="1980"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33"/>
    <x v="33"/>
    <x v="27"/>
    <m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25"/>
    <x v="25"/>
    <x v="6"/>
    <n v="2070"/>
    <x v="3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12"/>
    <x v="12"/>
    <x v="6"/>
    <n v="2530"/>
    <x v="1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0"/>
    <x v="0"/>
    <x v="27"/>
    <m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33"/>
    <x v="33"/>
    <x v="6"/>
    <n v="4600"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33"/>
    <x v="33"/>
    <x v="28"/>
    <m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11"/>
    <x v="11"/>
    <x v="6"/>
    <n v="400"/>
    <x v="1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0"/>
    <x v="0"/>
    <x v="28"/>
    <m/>
    <x v="0"/>
    <s v="HO"/>
    <x v="0"/>
    <x v="0"/>
  </r>
  <r>
    <n v="4"/>
    <x v="1"/>
    <s v="เงินฝากธนาคารกรุงไทย สนามกอล์ฟภูกระแตมหาวิทยาลัยนครพนม 408-0-989180"/>
    <x v="1"/>
    <x v="33"/>
    <x v="33"/>
    <x v="6"/>
    <n v="400"/>
    <x v="0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33"/>
    <x v="33"/>
    <x v="29"/>
    <m/>
    <x v="0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17"/>
    <x v="17"/>
    <x v="6"/>
    <n v="1200"/>
    <x v="3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33"/>
    <x v="33"/>
    <x v="30"/>
    <m/>
    <x v="0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24"/>
    <x v="24"/>
    <x v="6"/>
    <n v="70"/>
    <x v="3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0"/>
    <x v="0"/>
    <x v="31"/>
    <m/>
    <x v="0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33"/>
    <x v="33"/>
    <x v="6"/>
    <n v="1270"/>
    <x v="0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33"/>
    <x v="33"/>
    <x v="32"/>
    <m/>
    <x v="0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17"/>
    <x v="17"/>
    <x v="6"/>
    <n v="2100"/>
    <x v="3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33"/>
    <x v="33"/>
    <x v="24"/>
    <m/>
    <x v="0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18"/>
    <x v="18"/>
    <x v="6"/>
    <n v="360"/>
    <x v="3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28"/>
    <x v="28"/>
    <x v="6"/>
    <n v="50"/>
    <x v="3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33"/>
    <x v="33"/>
    <x v="33"/>
    <m/>
    <x v="0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24"/>
    <x v="24"/>
    <x v="6"/>
    <n v="270"/>
    <x v="3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0"/>
    <x v="0"/>
    <x v="34"/>
    <m/>
    <x v="0"/>
    <s v="HO"/>
    <x v="0"/>
    <x v="0"/>
  </r>
  <r>
    <n v="5"/>
    <x v="2"/>
    <s v="เงินฝากธนาคารกรุงไทย สนามกอล์ฟภูกระแตมหาวิทยาลัยนครพนม 408-0-989180"/>
    <x v="1"/>
    <x v="33"/>
    <x v="33"/>
    <x v="6"/>
    <n v="2780"/>
    <x v="0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33"/>
    <x v="33"/>
    <x v="23"/>
    <m/>
    <x v="0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17"/>
    <x v="17"/>
    <x v="6"/>
    <n v="1400"/>
    <x v="3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33"/>
    <x v="33"/>
    <x v="35"/>
    <m/>
    <x v="0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24"/>
    <x v="24"/>
    <x v="6"/>
    <n v="110"/>
    <x v="3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0"/>
    <x v="0"/>
    <x v="36"/>
    <m/>
    <x v="0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33"/>
    <x v="33"/>
    <x v="6"/>
    <n v="1510"/>
    <x v="0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33"/>
    <x v="33"/>
    <x v="10"/>
    <m/>
    <x v="0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17"/>
    <x v="17"/>
    <x v="6"/>
    <n v="900"/>
    <x v="3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33"/>
    <x v="33"/>
    <x v="15"/>
    <m/>
    <x v="0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18"/>
    <x v="18"/>
    <x v="6"/>
    <n v="180"/>
    <x v="3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33"/>
    <x v="33"/>
    <x v="37"/>
    <m/>
    <x v="0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20"/>
    <x v="20"/>
    <x v="6"/>
    <n v="200"/>
    <x v="3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33"/>
    <x v="33"/>
    <x v="38"/>
    <m/>
    <x v="0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24"/>
    <x v="24"/>
    <x v="6"/>
    <n v="190"/>
    <x v="3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0"/>
    <x v="0"/>
    <x v="39"/>
    <m/>
    <x v="0"/>
    <s v="HO"/>
    <x v="0"/>
    <x v="0"/>
  </r>
  <r>
    <n v="6"/>
    <x v="3"/>
    <s v="เงินฝากธนาคารกรุงไทย สนามกอล์ฟภูกระแตมหาวิทยาลัยนครพนม 408-0-989180"/>
    <x v="1"/>
    <x v="33"/>
    <x v="33"/>
    <x v="6"/>
    <n v="1470"/>
    <x v="0"/>
    <s v="HO"/>
    <x v="0"/>
    <x v="0"/>
  </r>
  <r>
    <n v="7"/>
    <x v="4"/>
    <s v="เงินฝากธนาคารกรุงไทย สนามกอล์ฟภูกระแตมหาวิทยาลัยนครพนม 408-0-989180"/>
    <x v="1"/>
    <x v="33"/>
    <x v="33"/>
    <x v="40"/>
    <m/>
    <x v="0"/>
    <s v="HO"/>
    <x v="0"/>
    <x v="0"/>
  </r>
  <r>
    <n v="7"/>
    <x v="4"/>
    <s v="เงินฝากธนาคารกรุงไทย สนามกอล์ฟภูกระแตมหาวิทยาลัยนครพนม 408-0-989180"/>
    <x v="1"/>
    <x v="17"/>
    <x v="17"/>
    <x v="6"/>
    <n v="3300"/>
    <x v="3"/>
    <s v="HO"/>
    <x v="0"/>
    <x v="0"/>
  </r>
  <r>
    <n v="7"/>
    <x v="4"/>
    <s v="เงินฝากธนาคารกรุงไทย สนามกอล์ฟภูกระแตมหาวิทยาลัยนครพนม 408-0-989180"/>
    <x v="1"/>
    <x v="33"/>
    <x v="33"/>
    <x v="29"/>
    <m/>
    <x v="0"/>
    <s v="HO"/>
    <x v="0"/>
    <x v="0"/>
  </r>
  <r>
    <n v="7"/>
    <x v="4"/>
    <s v="เงินฝากธนาคารกรุงไทย สนามกอล์ฟภูกระแตมหาวิทยาลัยนครพนม 408-0-989180"/>
    <x v="1"/>
    <x v="19"/>
    <x v="19"/>
    <x v="6"/>
    <n v="1200"/>
    <x v="3"/>
    <s v="HO"/>
    <x v="0"/>
    <x v="0"/>
  </r>
  <r>
    <n v="7"/>
    <x v="4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7"/>
    <x v="4"/>
    <s v="เงินฝากธนาคารกรุงไทย สนามกอล์ฟภูกระแตมหาวิทยาลัยนครพนม 408-0-989180"/>
    <x v="1"/>
    <x v="20"/>
    <x v="20"/>
    <x v="6"/>
    <n v="50"/>
    <x v="3"/>
    <s v="HO"/>
    <x v="0"/>
    <x v="0"/>
  </r>
  <r>
    <n v="7"/>
    <x v="4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7"/>
    <x v="4"/>
    <s v="เงินฝากธนาคารกรุงไทย สนามกอล์ฟภูกระแตมหาวิทยาลัยนครพนม 408-0-989180"/>
    <x v="1"/>
    <x v="28"/>
    <x v="28"/>
    <x v="6"/>
    <n v="50"/>
    <x v="3"/>
    <s v="HO"/>
    <x v="0"/>
    <x v="0"/>
  </r>
  <r>
    <n v="7"/>
    <x v="4"/>
    <s v="เงินฝากธนาคารกรุงไทย สนามกอล์ฟภูกระแตมหาวิทยาลัยนครพนม 408-0-989180"/>
    <x v="1"/>
    <x v="33"/>
    <x v="33"/>
    <x v="41"/>
    <m/>
    <x v="0"/>
    <s v="HO"/>
    <x v="0"/>
    <x v="0"/>
  </r>
  <r>
    <n v="7"/>
    <x v="4"/>
    <s v="เงินฝากธนาคารกรุงไทย สนามกอล์ฟภูกระแตมหาวิทยาลัยนครพนม 408-0-989180"/>
    <x v="1"/>
    <x v="24"/>
    <x v="24"/>
    <x v="6"/>
    <n v="490"/>
    <x v="3"/>
    <s v="HO"/>
    <x v="0"/>
    <x v="0"/>
  </r>
  <r>
    <n v="7"/>
    <x v="4"/>
    <s v="เงินฝากธนาคารกรุงไทย สนามกอล์ฟภูกระแตมหาวิทยาลัยนครพนม 408-0-989180"/>
    <x v="1"/>
    <x v="0"/>
    <x v="0"/>
    <x v="42"/>
    <m/>
    <x v="0"/>
    <s v="HO"/>
    <x v="0"/>
    <x v="0"/>
  </r>
  <r>
    <n v="7"/>
    <x v="4"/>
    <s v="เงินฝากธนาคารกรุงไทย สนามกอล์ฟภูกระแตมหาวิทยาลัยนครพนม 408-0-989180"/>
    <x v="1"/>
    <x v="33"/>
    <x v="33"/>
    <x v="6"/>
    <n v="5090"/>
    <x v="0"/>
    <s v="HO"/>
    <x v="0"/>
    <x v="0"/>
  </r>
  <r>
    <n v="8"/>
    <x v="5"/>
    <s v="เงินฝากธนาคารกรุงไทย สนามกอล์ฟภูกระแตมหาวิทยาลัยนครพนม 408-0-989180"/>
    <x v="1"/>
    <x v="33"/>
    <x v="33"/>
    <x v="43"/>
    <m/>
    <x v="0"/>
    <s v="HO"/>
    <x v="0"/>
    <x v="0"/>
  </r>
  <r>
    <n v="8"/>
    <x v="5"/>
    <s v="เงินฝากธนาคารกรุงไทย สนามกอล์ฟภูกระแตมหาวิทยาลัยนครพนม 408-0-989180"/>
    <x v="1"/>
    <x v="17"/>
    <x v="17"/>
    <x v="6"/>
    <n v="2800"/>
    <x v="3"/>
    <s v="HO"/>
    <x v="0"/>
    <x v="0"/>
  </r>
  <r>
    <n v="8"/>
    <x v="5"/>
    <s v="เงินฝากธนาคารกรุงไทย สนามกอล์ฟภูกระแตมหาวิทยาลัยนครพนม 408-0-989180"/>
    <x v="1"/>
    <x v="33"/>
    <x v="33"/>
    <x v="44"/>
    <m/>
    <x v="0"/>
    <s v="HO"/>
    <x v="0"/>
    <x v="0"/>
  </r>
  <r>
    <n v="8"/>
    <x v="5"/>
    <s v="เงินฝากธนาคารกรุงไทย สนามกอล์ฟภูกระแตมหาวิทยาลัยนครพนม 408-0-989180"/>
    <x v="1"/>
    <x v="19"/>
    <x v="19"/>
    <x v="6"/>
    <n v="480"/>
    <x v="3"/>
    <s v="HO"/>
    <x v="0"/>
    <x v="0"/>
  </r>
  <r>
    <n v="8"/>
    <x v="5"/>
    <s v="เงินฝากธนาคารกรุงไทย สนามกอล์ฟภูกระแตมหาวิทยาลัยนครพนม 408-0-989180"/>
    <x v="1"/>
    <x v="33"/>
    <x v="33"/>
    <x v="45"/>
    <m/>
    <x v="0"/>
    <s v="HO"/>
    <x v="0"/>
    <x v="0"/>
  </r>
  <r>
    <n v="8"/>
    <x v="5"/>
    <s v="เงินฝากธนาคารกรุงไทย สนามกอล์ฟภูกระแตมหาวิทยาลัยนครพนม 408-0-989180"/>
    <x v="1"/>
    <x v="20"/>
    <x v="20"/>
    <x v="6"/>
    <n v="250"/>
    <x v="3"/>
    <s v="HO"/>
    <x v="0"/>
    <x v="0"/>
  </r>
  <r>
    <n v="8"/>
    <x v="5"/>
    <s v="เงินฝากธนาคารกรุงไทย สนามกอล์ฟภูกระแตมหาวิทยาลัยนครพนม 408-0-989180"/>
    <x v="1"/>
    <x v="33"/>
    <x v="33"/>
    <x v="46"/>
    <m/>
    <x v="0"/>
    <s v="HO"/>
    <x v="0"/>
    <x v="0"/>
  </r>
  <r>
    <n v="8"/>
    <x v="5"/>
    <s v="เงินฝากธนาคารกรุงไทย สนามกอล์ฟภูกระแตมหาวิทยาลัยนครพนม 408-0-989180"/>
    <x v="1"/>
    <x v="24"/>
    <x v="24"/>
    <x v="6"/>
    <n v="530"/>
    <x v="3"/>
    <s v="HO"/>
    <x v="0"/>
    <x v="0"/>
  </r>
  <r>
    <n v="8"/>
    <x v="5"/>
    <s v="เงินฝากธนาคารกรุงไทย สนามกอล์ฟภูกระแตมหาวิทยาลัยนครพนม 408-0-989180"/>
    <x v="1"/>
    <x v="0"/>
    <x v="0"/>
    <x v="47"/>
    <m/>
    <x v="0"/>
    <s v="HO"/>
    <x v="0"/>
    <x v="0"/>
  </r>
  <r>
    <n v="8"/>
    <x v="5"/>
    <s v="เงินฝากธนาคารกรุงไทย สนามกอล์ฟภูกระแตมหาวิทยาลัยนครพนม 408-0-989180"/>
    <x v="1"/>
    <x v="33"/>
    <x v="33"/>
    <x v="6"/>
    <n v="4060"/>
    <x v="0"/>
    <s v="HO"/>
    <x v="0"/>
    <x v="0"/>
  </r>
  <r>
    <n v="9"/>
    <x v="6"/>
    <s v="เงินฝากธนาคารกรุงไทย สนามกอล์ฟภูกระแตมหาวิทยาลัยนครพนม 408-0-989180"/>
    <x v="1"/>
    <x v="33"/>
    <x v="33"/>
    <x v="48"/>
    <m/>
    <x v="0"/>
    <s v="HO"/>
    <x v="0"/>
    <x v="0"/>
  </r>
  <r>
    <n v="9"/>
    <x v="6"/>
    <s v="เงินฝากธนาคารกรุงไทย สนามกอล์ฟภูกระแตมหาวิทยาลัยนครพนม 408-0-989180"/>
    <x v="1"/>
    <x v="17"/>
    <x v="17"/>
    <x v="6"/>
    <n v="2500"/>
    <x v="3"/>
    <s v="HO"/>
    <x v="0"/>
    <x v="0"/>
  </r>
  <r>
    <n v="9"/>
    <x v="6"/>
    <s v="เงินฝากธนาคารกรุงไทย สนามกอล์ฟภูกระแตมหาวิทยาลัยนครพนม 408-0-989180"/>
    <x v="1"/>
    <x v="33"/>
    <x v="33"/>
    <x v="37"/>
    <m/>
    <x v="0"/>
    <s v="HO"/>
    <x v="0"/>
    <x v="0"/>
  </r>
  <r>
    <n v="9"/>
    <x v="6"/>
    <s v="เงินฝากธนาคารกรุงไทย สนามกอล์ฟภูกระแตมหาวิทยาลัยนครพนม 408-0-989180"/>
    <x v="1"/>
    <x v="24"/>
    <x v="24"/>
    <x v="6"/>
    <n v="200"/>
    <x v="3"/>
    <s v="HO"/>
    <x v="0"/>
    <x v="0"/>
  </r>
  <r>
    <n v="9"/>
    <x v="6"/>
    <s v="เงินฝากธนาคารกรุงไทย สนามกอล์ฟภูกระแตมหาวิทยาลัยนครพนม 408-0-989180"/>
    <x v="1"/>
    <x v="0"/>
    <x v="0"/>
    <x v="49"/>
    <m/>
    <x v="0"/>
    <s v="HO"/>
    <x v="0"/>
    <x v="0"/>
  </r>
  <r>
    <n v="9"/>
    <x v="6"/>
    <s v="เงินฝากธนาคารกรุงไทย สนามกอล์ฟภูกระแตมหาวิทยาลัยนครพนม 408-0-989180"/>
    <x v="1"/>
    <x v="33"/>
    <x v="33"/>
    <x v="6"/>
    <n v="2700"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33"/>
    <x v="33"/>
    <x v="50"/>
    <m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17"/>
    <x v="17"/>
    <x v="6"/>
    <n v="600"/>
    <x v="3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33"/>
    <x v="33"/>
    <x v="30"/>
    <m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24"/>
    <x v="24"/>
    <x v="6"/>
    <n v="70"/>
    <x v="3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0"/>
    <x v="0"/>
    <x v="51"/>
    <m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33"/>
    <x v="33"/>
    <x v="6"/>
    <n v="670"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33"/>
    <x v="33"/>
    <x v="52"/>
    <m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17"/>
    <x v="17"/>
    <x v="6"/>
    <n v="1700"/>
    <x v="3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33"/>
    <x v="33"/>
    <x v="24"/>
    <m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18"/>
    <x v="18"/>
    <x v="6"/>
    <n v="360"/>
    <x v="3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33"/>
    <x v="33"/>
    <x v="53"/>
    <m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20"/>
    <x v="20"/>
    <x v="6"/>
    <n v="150"/>
    <x v="3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33"/>
    <x v="33"/>
    <x v="54"/>
    <m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24"/>
    <x v="24"/>
    <x v="6"/>
    <n v="310"/>
    <x v="3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0"/>
    <x v="0"/>
    <x v="55"/>
    <m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33"/>
    <x v="33"/>
    <x v="6"/>
    <n v="2520"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33"/>
    <x v="33"/>
    <x v="19"/>
    <m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21"/>
    <x v="21"/>
    <x v="6"/>
    <n v="2000"/>
    <x v="3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0"/>
    <x v="0"/>
    <x v="19"/>
    <m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33"/>
    <x v="33"/>
    <x v="6"/>
    <n v="2000"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33"/>
    <x v="33"/>
    <x v="29"/>
    <m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11"/>
    <x v="11"/>
    <x v="6"/>
    <n v="1200"/>
    <x v="1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0"/>
    <x v="0"/>
    <x v="29"/>
    <m/>
    <x v="0"/>
    <s v="HO"/>
    <x v="0"/>
    <x v="0"/>
  </r>
  <r>
    <n v="10"/>
    <x v="7"/>
    <s v="เงินฝากธนาคารกรุงไทย สนามกอล์ฟภูกระแตมหาวิทยาลัยนครพนม 408-0-989180"/>
    <x v="1"/>
    <x v="33"/>
    <x v="33"/>
    <x v="6"/>
    <n v="1200"/>
    <x v="0"/>
    <s v="HO"/>
    <x v="0"/>
    <x v="0"/>
  </r>
  <r>
    <n v="11"/>
    <x v="8"/>
    <s v="เงินฝากธนาคารกรุงไทย สนามกอล์ฟภูกระแตมหาวิทยาลัยนครพนม 408-0-989180"/>
    <x v="2"/>
    <x v="33"/>
    <x v="33"/>
    <x v="52"/>
    <m/>
    <x v="0"/>
    <s v="HO"/>
    <x v="0"/>
    <x v="0"/>
  </r>
  <r>
    <n v="11"/>
    <x v="8"/>
    <s v="เงินฝากธนาคารกรุงไทย สนามกอล์ฟภูกระแตมหาวิทยาลัยนครพนม 408-0-989180"/>
    <x v="2"/>
    <x v="17"/>
    <x v="17"/>
    <x v="6"/>
    <n v="1700"/>
    <x v="3"/>
    <s v="HO"/>
    <x v="0"/>
    <x v="0"/>
  </r>
  <r>
    <n v="11"/>
    <x v="8"/>
    <s v="เงินฝากธนาคารกรุงไทย สนามกอล์ฟภูกระแตมหาวิทยาลัยนครพนม 408-0-989180"/>
    <x v="2"/>
    <x v="33"/>
    <x v="33"/>
    <x v="38"/>
    <m/>
    <x v="0"/>
    <s v="HO"/>
    <x v="0"/>
    <x v="0"/>
  </r>
  <r>
    <n v="11"/>
    <x v="8"/>
    <s v="เงินฝากธนาคารกรุงไทย สนามกอล์ฟภูกระแตมหาวิทยาลัยนครพนม 408-0-989180"/>
    <x v="2"/>
    <x v="24"/>
    <x v="24"/>
    <x v="6"/>
    <n v="190"/>
    <x v="3"/>
    <s v="HO"/>
    <x v="0"/>
    <x v="0"/>
  </r>
  <r>
    <n v="11"/>
    <x v="8"/>
    <s v="เงินฝากธนาคารกรุงไทย สนามกอล์ฟภูกระแตมหาวิทยาลัยนครพนม 408-0-989180"/>
    <x v="2"/>
    <x v="33"/>
    <x v="33"/>
    <x v="56"/>
    <m/>
    <x v="0"/>
    <s v="HO"/>
    <x v="0"/>
    <x v="0"/>
  </r>
  <r>
    <n v="11"/>
    <x v="8"/>
    <s v="เงินฝากธนาคารกรุงไทย สนามกอล์ฟภูกระแตมหาวิทยาลัยนครพนม 408-0-989180"/>
    <x v="2"/>
    <x v="27"/>
    <x v="27"/>
    <x v="6"/>
    <n v="100"/>
    <x v="4"/>
    <s v="HO"/>
    <x v="0"/>
    <x v="0"/>
  </r>
  <r>
    <n v="11"/>
    <x v="8"/>
    <s v="เงินฝากธนาคารกรุงไทย สนามกอล์ฟภูกระแตมหาวิทยาลัยนครพนม 408-0-989180"/>
    <x v="2"/>
    <x v="0"/>
    <x v="0"/>
    <x v="57"/>
    <m/>
    <x v="0"/>
    <s v="HO"/>
    <x v="0"/>
    <x v="0"/>
  </r>
  <r>
    <n v="11"/>
    <x v="8"/>
    <s v="เงินฝากธนาคารกรุงไทย สนามกอล์ฟภูกระแตมหาวิทยาลัยนครพนม 408-0-989180"/>
    <x v="2"/>
    <x v="33"/>
    <x v="33"/>
    <x v="6"/>
    <n v="1990"/>
    <x v="0"/>
    <s v="HO"/>
    <x v="0"/>
    <x v="0"/>
  </r>
  <r>
    <n v="12"/>
    <x v="8"/>
    <s v="กอล์ฟ396/2568"/>
    <x v="3"/>
    <x v="30"/>
    <x v="30"/>
    <x v="58"/>
    <m/>
    <x v="5"/>
    <s v="HO"/>
    <x v="0"/>
    <x v="0"/>
  </r>
  <r>
    <n v="12"/>
    <x v="8"/>
    <s v="กอล์ฟ396/2568"/>
    <x v="3"/>
    <x v="0"/>
    <x v="0"/>
    <x v="6"/>
    <n v="12159.4"/>
    <x v="0"/>
    <s v="HO"/>
    <x v="0"/>
    <x v="0"/>
  </r>
  <r>
    <n v="13"/>
    <x v="8"/>
    <s v="กอล์ฟ395/2568"/>
    <x v="4"/>
    <x v="29"/>
    <x v="29"/>
    <x v="7"/>
    <m/>
    <x v="5"/>
    <s v="HO"/>
    <x v="0"/>
    <x v="0"/>
  </r>
  <r>
    <n v="13"/>
    <x v="8"/>
    <s v="กอล์ฟ395/2568"/>
    <x v="4"/>
    <x v="0"/>
    <x v="0"/>
    <x v="6"/>
    <n v="61600"/>
    <x v="0"/>
    <s v="HO"/>
    <x v="0"/>
    <x v="0"/>
  </r>
  <r>
    <n v="14"/>
    <x v="9"/>
    <s v="เงินฝากธนาคารกรุงไทย สนามกอล์ฟภูกระแตมหาวิทยาลัยนครพนม 408-0-989180"/>
    <x v="1"/>
    <x v="33"/>
    <x v="33"/>
    <x v="59"/>
    <m/>
    <x v="0"/>
    <s v="HO"/>
    <x v="0"/>
    <x v="0"/>
  </r>
  <r>
    <n v="14"/>
    <x v="9"/>
    <s v="เงินฝากธนาคารกรุงไทย สนามกอล์ฟภูกระแตมหาวิทยาลัยนครพนม 408-0-989180"/>
    <x v="1"/>
    <x v="17"/>
    <x v="17"/>
    <x v="6"/>
    <n v="3100"/>
    <x v="3"/>
    <s v="HO"/>
    <x v="0"/>
    <x v="0"/>
  </r>
  <r>
    <n v="14"/>
    <x v="9"/>
    <s v="เงินฝากธนาคารกรุงไทย สนามกอล์ฟภูกระแตมหาวิทยาลัยนครพนม 408-0-989180"/>
    <x v="1"/>
    <x v="33"/>
    <x v="33"/>
    <x v="60"/>
    <m/>
    <x v="0"/>
    <s v="HO"/>
    <x v="0"/>
    <x v="0"/>
  </r>
  <r>
    <n v="14"/>
    <x v="9"/>
    <s v="เงินฝากธนาคารกรุงไทย สนามกอล์ฟภูกระแตมหาวิทยาลัยนครพนม 408-0-989180"/>
    <x v="1"/>
    <x v="19"/>
    <x v="19"/>
    <x v="6"/>
    <n v="720"/>
    <x v="3"/>
    <s v="HO"/>
    <x v="0"/>
    <x v="0"/>
  </r>
  <r>
    <n v="14"/>
    <x v="9"/>
    <s v="เงินฝากธนาคารกรุงไทย สนามกอล์ฟภูกระแตมหาวิทยาลัยนครพนม 408-0-989180"/>
    <x v="1"/>
    <x v="33"/>
    <x v="33"/>
    <x v="53"/>
    <m/>
    <x v="0"/>
    <s v="HO"/>
    <x v="0"/>
    <x v="0"/>
  </r>
  <r>
    <n v="14"/>
    <x v="9"/>
    <s v="เงินฝากธนาคารกรุงไทย สนามกอล์ฟภูกระแตมหาวิทยาลัยนครพนม 408-0-989180"/>
    <x v="1"/>
    <x v="20"/>
    <x v="20"/>
    <x v="6"/>
    <n v="150"/>
    <x v="3"/>
    <s v="HO"/>
    <x v="0"/>
    <x v="0"/>
  </r>
  <r>
    <n v="14"/>
    <x v="9"/>
    <s v="เงินฝากธนาคารกรุงไทย สนามกอล์ฟภูกระแตมหาวิทยาลัยนครพนม 408-0-989180"/>
    <x v="1"/>
    <x v="33"/>
    <x v="33"/>
    <x v="56"/>
    <m/>
    <x v="0"/>
    <s v="HO"/>
    <x v="0"/>
    <x v="0"/>
  </r>
  <r>
    <n v="14"/>
    <x v="9"/>
    <s v="เงินฝากธนาคารกรุงไทย สนามกอล์ฟภูกระแตมหาวิทยาลัยนครพนม 408-0-989180"/>
    <x v="1"/>
    <x v="28"/>
    <x v="28"/>
    <x v="6"/>
    <n v="100"/>
    <x v="3"/>
    <s v="HO"/>
    <x v="0"/>
    <x v="0"/>
  </r>
  <r>
    <n v="14"/>
    <x v="9"/>
    <s v="เงินฝากธนาคารกรุงไทย สนามกอล์ฟภูกระแตมหาวิทยาลัยนครพนม 408-0-989180"/>
    <x v="1"/>
    <x v="33"/>
    <x v="33"/>
    <x v="61"/>
    <m/>
    <x v="0"/>
    <s v="HO"/>
    <x v="0"/>
    <x v="0"/>
  </r>
  <r>
    <n v="14"/>
    <x v="9"/>
    <s v="เงินฝากธนาคารกรุงไทย สนามกอล์ฟภูกระแตมหาวิทยาลัยนครพนม 408-0-989180"/>
    <x v="1"/>
    <x v="24"/>
    <x v="24"/>
    <x v="6"/>
    <n v="510"/>
    <x v="3"/>
    <s v="HO"/>
    <x v="0"/>
    <x v="0"/>
  </r>
  <r>
    <n v="14"/>
    <x v="9"/>
    <s v="เงินฝากธนาคารกรุงไทย สนามกอล์ฟภูกระแตมหาวิทยาลัยนครพนม 408-0-989180"/>
    <x v="1"/>
    <x v="0"/>
    <x v="0"/>
    <x v="62"/>
    <m/>
    <x v="0"/>
    <s v="HO"/>
    <x v="0"/>
    <x v="0"/>
  </r>
  <r>
    <n v="14"/>
    <x v="9"/>
    <s v="เงินฝากธนาคารกรุงไทย สนามกอล์ฟภูกระแตมหาวิทยาลัยนครพนม 408-0-989180"/>
    <x v="1"/>
    <x v="33"/>
    <x v="33"/>
    <x v="6"/>
    <n v="4580"/>
    <x v="0"/>
    <s v="HO"/>
    <x v="0"/>
    <x v="0"/>
  </r>
  <r>
    <n v="15"/>
    <x v="10"/>
    <s v="เงินฝากธนาคารกรุงไทย สนามกอล์ฟภูกระแตมหาวิทยาลัยนครพนม 408-0-989180"/>
    <x v="1"/>
    <x v="33"/>
    <x v="33"/>
    <x v="63"/>
    <m/>
    <x v="0"/>
    <s v="HO"/>
    <x v="0"/>
    <x v="0"/>
  </r>
  <r>
    <n v="15"/>
    <x v="10"/>
    <s v="เงินฝากธนาคารกรุงไทย สนามกอล์ฟภูกระแตมหาวิทยาลัยนครพนม 408-0-989180"/>
    <x v="1"/>
    <x v="17"/>
    <x v="17"/>
    <x v="6"/>
    <n v="1000"/>
    <x v="3"/>
    <s v="HO"/>
    <x v="0"/>
    <x v="0"/>
  </r>
  <r>
    <n v="15"/>
    <x v="10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15"/>
    <x v="10"/>
    <s v="เงินฝากธนาคารกรุงไทย สนามกอล์ฟภูกระแตมหาวิทยาลัยนครพนม 408-0-989180"/>
    <x v="1"/>
    <x v="24"/>
    <x v="24"/>
    <x v="6"/>
    <n v="50"/>
    <x v="3"/>
    <s v="HO"/>
    <x v="0"/>
    <x v="0"/>
  </r>
  <r>
    <n v="15"/>
    <x v="10"/>
    <s v="เงินฝากธนาคารกรุงไทย สนามกอล์ฟภูกระแตมหาวิทยาลัยนครพนม 408-0-989180"/>
    <x v="1"/>
    <x v="0"/>
    <x v="0"/>
    <x v="64"/>
    <m/>
    <x v="0"/>
    <s v="HO"/>
    <x v="0"/>
    <x v="0"/>
  </r>
  <r>
    <n v="15"/>
    <x v="10"/>
    <s v="เงินฝากธนาคารกรุงไทย สนามกอล์ฟภูกระแตมหาวิทยาลัยนครพนม 408-0-989180"/>
    <x v="1"/>
    <x v="33"/>
    <x v="33"/>
    <x v="6"/>
    <n v="1050"/>
    <x v="0"/>
    <s v="HO"/>
    <x v="0"/>
    <x v="0"/>
  </r>
  <r>
    <n v="15"/>
    <x v="10"/>
    <s v="เงินฝากธนาคารกรุงไทย สนามกอล์ฟภูกระแตมหาวิทยาลัยนครพนม 408-0-989180"/>
    <x v="1"/>
    <x v="33"/>
    <x v="33"/>
    <x v="50"/>
    <m/>
    <x v="0"/>
    <s v="HO"/>
    <x v="0"/>
    <x v="0"/>
  </r>
  <r>
    <n v="15"/>
    <x v="10"/>
    <s v="เงินฝากธนาคารกรุงไทย สนามกอล์ฟภูกระแตมหาวิทยาลัยนครพนม 408-0-989180"/>
    <x v="1"/>
    <x v="17"/>
    <x v="17"/>
    <x v="6"/>
    <n v="600"/>
    <x v="3"/>
    <s v="HO"/>
    <x v="0"/>
    <x v="0"/>
  </r>
  <r>
    <n v="15"/>
    <x v="10"/>
    <s v="เงินฝากธนาคารกรุงไทย สนามกอล์ฟภูกระแตมหาวิทยาลัยนครพนม 408-0-989180"/>
    <x v="1"/>
    <x v="33"/>
    <x v="33"/>
    <x v="30"/>
    <m/>
    <x v="0"/>
    <s v="HO"/>
    <x v="0"/>
    <x v="0"/>
  </r>
  <r>
    <n v="15"/>
    <x v="10"/>
    <s v="เงินฝากธนาคารกรุงไทย สนามกอล์ฟภูกระแตมหาวิทยาลัยนครพนม 408-0-989180"/>
    <x v="1"/>
    <x v="24"/>
    <x v="24"/>
    <x v="6"/>
    <n v="70"/>
    <x v="3"/>
    <s v="HO"/>
    <x v="0"/>
    <x v="0"/>
  </r>
  <r>
    <n v="15"/>
    <x v="10"/>
    <s v="เงินฝากธนาคารกรุงไทย สนามกอล์ฟภูกระแตมหาวิทยาลัยนครพนม 408-0-989180"/>
    <x v="1"/>
    <x v="0"/>
    <x v="0"/>
    <x v="51"/>
    <m/>
    <x v="0"/>
    <s v="HO"/>
    <x v="0"/>
    <x v="0"/>
  </r>
  <r>
    <n v="15"/>
    <x v="10"/>
    <s v="เงินฝากธนาคารกรุงไทย สนามกอล์ฟภูกระแตมหาวิทยาลัยนครพนม 408-0-989180"/>
    <x v="1"/>
    <x v="33"/>
    <x v="33"/>
    <x v="6"/>
    <n v="670"/>
    <x v="0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33"/>
    <x v="33"/>
    <x v="63"/>
    <m/>
    <x v="0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17"/>
    <x v="17"/>
    <x v="6"/>
    <n v="1000"/>
    <x v="3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33"/>
    <x v="33"/>
    <x v="65"/>
    <m/>
    <x v="0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24"/>
    <x v="24"/>
    <x v="6"/>
    <n v="90"/>
    <x v="3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0"/>
    <x v="0"/>
    <x v="66"/>
    <m/>
    <x v="0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33"/>
    <x v="33"/>
    <x v="6"/>
    <n v="1090"/>
    <x v="0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33"/>
    <x v="33"/>
    <x v="67"/>
    <m/>
    <x v="0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17"/>
    <x v="17"/>
    <x v="6"/>
    <n v="1800"/>
    <x v="3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33"/>
    <x v="33"/>
    <x v="15"/>
    <m/>
    <x v="0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18"/>
    <x v="18"/>
    <x v="6"/>
    <n v="180"/>
    <x v="3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33"/>
    <x v="33"/>
    <x v="45"/>
    <m/>
    <x v="0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24"/>
    <x v="24"/>
    <x v="6"/>
    <n v="250"/>
    <x v="3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0"/>
    <x v="0"/>
    <x v="68"/>
    <m/>
    <x v="0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33"/>
    <x v="33"/>
    <x v="6"/>
    <n v="2230"/>
    <x v="0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33"/>
    <x v="33"/>
    <x v="20"/>
    <m/>
    <x v="0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11"/>
    <x v="11"/>
    <x v="6"/>
    <n v="800"/>
    <x v="1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0"/>
    <x v="0"/>
    <x v="20"/>
    <m/>
    <x v="0"/>
    <s v="HO"/>
    <x v="0"/>
    <x v="0"/>
  </r>
  <r>
    <n v="16"/>
    <x v="11"/>
    <s v="เงินฝากธนาคารกรุงไทย สนามกอล์ฟภูกระแตมหาวิทยาลัยนครพนม 408-0-989180"/>
    <x v="1"/>
    <x v="33"/>
    <x v="33"/>
    <x v="6"/>
    <n v="800"/>
    <x v="0"/>
    <s v="HO"/>
    <x v="0"/>
    <x v="0"/>
  </r>
  <r>
    <n v="17"/>
    <x v="12"/>
    <s v="เงินฝากธนาคารกรุงไทย สนามกอล์ฟภูกระแตมหาวิทยาลัยนครพนม 408-0-989180"/>
    <x v="1"/>
    <x v="33"/>
    <x v="33"/>
    <x v="69"/>
    <m/>
    <x v="0"/>
    <s v="HO"/>
    <x v="0"/>
    <x v="0"/>
  </r>
  <r>
    <n v="17"/>
    <x v="12"/>
    <s v="เงินฝากธนาคารกรุงไทย สนามกอล์ฟภูกระแตมหาวิทยาลัยนครพนม 408-0-989180"/>
    <x v="1"/>
    <x v="17"/>
    <x v="17"/>
    <x v="6"/>
    <n v="2900"/>
    <x v="3"/>
    <s v="HO"/>
    <x v="0"/>
    <x v="0"/>
  </r>
  <r>
    <n v="17"/>
    <x v="12"/>
    <s v="เงินฝากธนาคารกรุงไทย สนามกอล์ฟภูกระแตมหาวิทยาลัยนครพนม 408-0-989180"/>
    <x v="1"/>
    <x v="33"/>
    <x v="33"/>
    <x v="16"/>
    <m/>
    <x v="0"/>
    <s v="HO"/>
    <x v="0"/>
    <x v="0"/>
  </r>
  <r>
    <n v="17"/>
    <x v="12"/>
    <s v="เงินฝากธนาคารกรุงไทย สนามกอล์ฟภูกระแตมหาวิทยาลัยนครพนม 408-0-989180"/>
    <x v="1"/>
    <x v="19"/>
    <x v="19"/>
    <x v="6"/>
    <n v="240"/>
    <x v="3"/>
    <s v="HO"/>
    <x v="0"/>
    <x v="0"/>
  </r>
  <r>
    <n v="17"/>
    <x v="12"/>
    <s v="เงินฝากธนาคารกรุงไทย สนามกอล์ฟภูกระแตมหาวิทยาลัยนครพนม 408-0-989180"/>
    <x v="1"/>
    <x v="33"/>
    <x v="33"/>
    <x v="70"/>
    <m/>
    <x v="0"/>
    <s v="HO"/>
    <x v="0"/>
    <x v="0"/>
  </r>
  <r>
    <n v="17"/>
    <x v="12"/>
    <s v="เงินฝากธนาคารกรุงไทย สนามกอล์ฟภูกระแตมหาวิทยาลัยนครพนม 408-0-989180"/>
    <x v="1"/>
    <x v="24"/>
    <x v="24"/>
    <x v="6"/>
    <n v="410"/>
    <x v="3"/>
    <s v="HO"/>
    <x v="0"/>
    <x v="0"/>
  </r>
  <r>
    <n v="17"/>
    <x v="12"/>
    <s v="เงินฝากธนาคารกรุงไทย สนามกอล์ฟภูกระแตมหาวิทยาลัยนครพนม 408-0-989180"/>
    <x v="1"/>
    <x v="0"/>
    <x v="0"/>
    <x v="71"/>
    <m/>
    <x v="0"/>
    <s v="HO"/>
    <x v="0"/>
    <x v="0"/>
  </r>
  <r>
    <n v="17"/>
    <x v="12"/>
    <s v="เงินฝากธนาคารกรุงไทย สนามกอล์ฟภูกระแตมหาวิทยาลัยนครพนม 408-0-989180"/>
    <x v="1"/>
    <x v="33"/>
    <x v="33"/>
    <x v="6"/>
    <n v="3550"/>
    <x v="0"/>
    <s v="HO"/>
    <x v="0"/>
    <x v="0"/>
  </r>
  <r>
    <n v="18"/>
    <x v="13"/>
    <s v="เงินฝากธนาคารกรุงไทย สนามกอล์ฟภูกระแตมหาวิทยาลัยนครพนม 408-0-989180"/>
    <x v="1"/>
    <x v="33"/>
    <x v="33"/>
    <x v="43"/>
    <m/>
    <x v="0"/>
    <s v="HO"/>
    <x v="0"/>
    <x v="0"/>
  </r>
  <r>
    <n v="18"/>
    <x v="13"/>
    <s v="เงินฝากธนาคารกรุงไทย สนามกอล์ฟภูกระแตมหาวิทยาลัยนครพนม 408-0-989180"/>
    <x v="1"/>
    <x v="17"/>
    <x v="17"/>
    <x v="6"/>
    <n v="2800"/>
    <x v="3"/>
    <s v="HO"/>
    <x v="0"/>
    <x v="0"/>
  </r>
  <r>
    <n v="18"/>
    <x v="13"/>
    <s v="เงินฝากธนาคารกรุงไทย สนามกอล์ฟภูกระแตมหาวิทยาลัยนครพนม 408-0-989180"/>
    <x v="1"/>
    <x v="33"/>
    <x v="33"/>
    <x v="16"/>
    <m/>
    <x v="0"/>
    <s v="HO"/>
    <x v="0"/>
    <x v="0"/>
  </r>
  <r>
    <n v="18"/>
    <x v="13"/>
    <s v="เงินฝากธนาคารกรุงไทย สนามกอล์ฟภูกระแตมหาวิทยาลัยนครพนม 408-0-989180"/>
    <x v="1"/>
    <x v="19"/>
    <x v="19"/>
    <x v="6"/>
    <n v="240"/>
    <x v="3"/>
    <s v="HO"/>
    <x v="0"/>
    <x v="0"/>
  </r>
  <r>
    <n v="18"/>
    <x v="13"/>
    <s v="เงินฝากธนาคารกรุงไทย สนามกอล์ฟภูกระแตมหาวิทยาลัยนครพนม 408-0-989180"/>
    <x v="1"/>
    <x v="33"/>
    <x v="33"/>
    <x v="72"/>
    <m/>
    <x v="0"/>
    <s v="HO"/>
    <x v="0"/>
    <x v="0"/>
  </r>
  <r>
    <n v="18"/>
    <x v="13"/>
    <s v="เงินฝากธนาคารกรุงไทย สนามกอล์ฟภูกระแตมหาวิทยาลัยนครพนม 408-0-989180"/>
    <x v="1"/>
    <x v="24"/>
    <x v="24"/>
    <x v="6"/>
    <n v="370"/>
    <x v="3"/>
    <s v="HO"/>
    <x v="0"/>
    <x v="0"/>
  </r>
  <r>
    <n v="18"/>
    <x v="13"/>
    <s v="เงินฝากธนาคารกรุงไทย สนามกอล์ฟภูกระแตมหาวิทยาลัยนครพนม 408-0-989180"/>
    <x v="1"/>
    <x v="0"/>
    <x v="0"/>
    <x v="73"/>
    <m/>
    <x v="0"/>
    <s v="HO"/>
    <x v="0"/>
    <x v="0"/>
  </r>
  <r>
    <n v="18"/>
    <x v="13"/>
    <s v="เงินฝากธนาคารกรุงไทย สนามกอล์ฟภูกระแตมหาวิทยาลัยนครพนม 408-0-989180"/>
    <x v="1"/>
    <x v="33"/>
    <x v="33"/>
    <x v="6"/>
    <n v="3410"/>
    <x v="0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33"/>
    <x v="33"/>
    <x v="10"/>
    <m/>
    <x v="0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17"/>
    <x v="17"/>
    <x v="6"/>
    <n v="900"/>
    <x v="3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33"/>
    <x v="33"/>
    <x v="56"/>
    <m/>
    <x v="0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24"/>
    <x v="24"/>
    <x v="6"/>
    <n v="100"/>
    <x v="3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0"/>
    <x v="0"/>
    <x v="63"/>
    <m/>
    <x v="0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33"/>
    <x v="33"/>
    <x v="6"/>
    <n v="1000"/>
    <x v="0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33"/>
    <x v="33"/>
    <x v="23"/>
    <m/>
    <x v="0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17"/>
    <x v="17"/>
    <x v="6"/>
    <n v="1400"/>
    <x v="3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33"/>
    <x v="33"/>
    <x v="10"/>
    <m/>
    <x v="0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18"/>
    <x v="18"/>
    <x v="6"/>
    <n v="900"/>
    <x v="3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28"/>
    <x v="28"/>
    <x v="6"/>
    <n v="50"/>
    <x v="3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33"/>
    <x v="33"/>
    <x v="37"/>
    <m/>
    <x v="0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24"/>
    <x v="24"/>
    <x v="6"/>
    <n v="200"/>
    <x v="3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0"/>
    <x v="0"/>
    <x v="74"/>
    <m/>
    <x v="0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33"/>
    <x v="33"/>
    <x v="6"/>
    <n v="2550"/>
    <x v="0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33"/>
    <x v="33"/>
    <x v="28"/>
    <m/>
    <x v="0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11"/>
    <x v="11"/>
    <x v="6"/>
    <n v="400"/>
    <x v="1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0"/>
    <x v="0"/>
    <x v="28"/>
    <m/>
    <x v="0"/>
    <s v="HO"/>
    <x v="0"/>
    <x v="0"/>
  </r>
  <r>
    <n v="19"/>
    <x v="14"/>
    <s v="เงินฝากธนาคารกรุงไทย สนามกอล์ฟภูกระแตมหาวิทยาลัยนครพนม 408-0-989180"/>
    <x v="1"/>
    <x v="33"/>
    <x v="33"/>
    <x v="6"/>
    <n v="400"/>
    <x v="0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33"/>
    <x v="33"/>
    <x v="63"/>
    <m/>
    <x v="0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17"/>
    <x v="17"/>
    <x v="6"/>
    <n v="1000"/>
    <x v="3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33"/>
    <x v="33"/>
    <x v="24"/>
    <m/>
    <x v="0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18"/>
    <x v="18"/>
    <x v="6"/>
    <n v="360"/>
    <x v="3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33"/>
    <x v="33"/>
    <x v="25"/>
    <m/>
    <x v="0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24"/>
    <x v="24"/>
    <x v="6"/>
    <n v="170"/>
    <x v="3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0"/>
    <x v="0"/>
    <x v="75"/>
    <m/>
    <x v="0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33"/>
    <x v="33"/>
    <x v="6"/>
    <n v="1530"/>
    <x v="0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33"/>
    <x v="33"/>
    <x v="76"/>
    <m/>
    <x v="0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17"/>
    <x v="17"/>
    <x v="6"/>
    <n v="1300"/>
    <x v="3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33"/>
    <x v="33"/>
    <x v="15"/>
    <m/>
    <x v="0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18"/>
    <x v="18"/>
    <x v="6"/>
    <n v="180"/>
    <x v="3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33"/>
    <x v="33"/>
    <x v="65"/>
    <m/>
    <x v="0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24"/>
    <x v="24"/>
    <x v="6"/>
    <n v="90"/>
    <x v="3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0"/>
    <x v="0"/>
    <x v="77"/>
    <m/>
    <x v="0"/>
    <s v="HO"/>
    <x v="0"/>
    <x v="0"/>
  </r>
  <r>
    <n v="20"/>
    <x v="15"/>
    <s v="เงินฝากธนาคารกรุงไทย สนามกอล์ฟภูกระแตมหาวิทยาลัยนครพนม 408-0-989180"/>
    <x v="1"/>
    <x v="33"/>
    <x v="33"/>
    <x v="6"/>
    <n v="1570"/>
    <x v="0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33"/>
    <x v="33"/>
    <x v="78"/>
    <m/>
    <x v="0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17"/>
    <x v="17"/>
    <x v="6"/>
    <n v="700"/>
    <x v="3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33"/>
    <x v="33"/>
    <x v="79"/>
    <m/>
    <x v="0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24"/>
    <x v="24"/>
    <x v="6"/>
    <n v="30"/>
    <x v="3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0"/>
    <x v="0"/>
    <x v="80"/>
    <m/>
    <x v="0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33"/>
    <x v="33"/>
    <x v="6"/>
    <n v="730"/>
    <x v="0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33"/>
    <x v="33"/>
    <x v="81"/>
    <m/>
    <x v="0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17"/>
    <x v="17"/>
    <x v="6"/>
    <n v="500"/>
    <x v="3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33"/>
    <x v="33"/>
    <x v="15"/>
    <m/>
    <x v="0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18"/>
    <x v="18"/>
    <x v="6"/>
    <n v="180"/>
    <x v="3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33"/>
    <x v="33"/>
    <x v="82"/>
    <m/>
    <x v="0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24"/>
    <x v="24"/>
    <x v="6"/>
    <n v="60"/>
    <x v="3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0"/>
    <x v="0"/>
    <x v="83"/>
    <m/>
    <x v="0"/>
    <s v="HO"/>
    <x v="0"/>
    <x v="0"/>
  </r>
  <r>
    <n v="21"/>
    <x v="16"/>
    <s v="เงินฝากธนาคารกรุงไทย สนามกอล์ฟภูกระแตมหาวิทยาลัยนครพนม 408-0-989180"/>
    <x v="1"/>
    <x v="33"/>
    <x v="33"/>
    <x v="6"/>
    <n v="740"/>
    <x v="0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33"/>
    <x v="33"/>
    <x v="78"/>
    <m/>
    <x v="0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17"/>
    <x v="17"/>
    <x v="6"/>
    <n v="700"/>
    <x v="3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33"/>
    <x v="33"/>
    <x v="21"/>
    <m/>
    <x v="0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24"/>
    <x v="24"/>
    <x v="6"/>
    <n v="10"/>
    <x v="3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0"/>
    <x v="0"/>
    <x v="84"/>
    <m/>
    <x v="0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33"/>
    <x v="33"/>
    <x v="6"/>
    <n v="710"/>
    <x v="0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33"/>
    <x v="33"/>
    <x v="50"/>
    <m/>
    <x v="0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17"/>
    <x v="17"/>
    <x v="6"/>
    <n v="600"/>
    <x v="3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33"/>
    <x v="33"/>
    <x v="24"/>
    <m/>
    <x v="0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18"/>
    <x v="18"/>
    <x v="6"/>
    <n v="360"/>
    <x v="3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33"/>
    <x v="33"/>
    <x v="12"/>
    <m/>
    <x v="0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24"/>
    <x v="24"/>
    <x v="6"/>
    <n v="80"/>
    <x v="3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0"/>
    <x v="0"/>
    <x v="85"/>
    <m/>
    <x v="0"/>
    <s v="HO"/>
    <x v="0"/>
    <x v="0"/>
  </r>
  <r>
    <n v="22"/>
    <x v="17"/>
    <s v="เงินฝากธนาคารกรุงไทย สนามกอล์ฟภูกระแตมหาวิทยาลัยนครพนม 408-0-989180"/>
    <x v="1"/>
    <x v="33"/>
    <x v="33"/>
    <x v="6"/>
    <n v="1040"/>
    <x v="0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33"/>
    <x v="33"/>
    <x v="29"/>
    <m/>
    <x v="0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17"/>
    <x v="17"/>
    <x v="6"/>
    <n v="1200"/>
    <x v="3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33"/>
    <x v="33"/>
    <x v="65"/>
    <m/>
    <x v="0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24"/>
    <x v="24"/>
    <x v="6"/>
    <n v="90"/>
    <x v="3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0"/>
    <x v="0"/>
    <x v="86"/>
    <m/>
    <x v="0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33"/>
    <x v="33"/>
    <x v="6"/>
    <n v="1290"/>
    <x v="0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33"/>
    <x v="33"/>
    <x v="14"/>
    <m/>
    <x v="0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17"/>
    <x v="17"/>
    <x v="6"/>
    <n v="1600"/>
    <x v="3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33"/>
    <x v="33"/>
    <x v="24"/>
    <m/>
    <x v="0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18"/>
    <x v="18"/>
    <x v="6"/>
    <n v="360"/>
    <x v="3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28"/>
    <x v="28"/>
    <x v="6"/>
    <n v="50"/>
    <x v="3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33"/>
    <x v="33"/>
    <x v="87"/>
    <m/>
    <x v="0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24"/>
    <x v="24"/>
    <x v="6"/>
    <n v="290"/>
    <x v="3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0"/>
    <x v="0"/>
    <x v="88"/>
    <m/>
    <x v="0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33"/>
    <x v="33"/>
    <x v="6"/>
    <n v="2300"/>
    <x v="0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33"/>
    <x v="33"/>
    <x v="20"/>
    <m/>
    <x v="0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11"/>
    <x v="11"/>
    <x v="6"/>
    <n v="800"/>
    <x v="1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0"/>
    <x v="0"/>
    <x v="20"/>
    <m/>
    <x v="0"/>
    <s v="HO"/>
    <x v="0"/>
    <x v="0"/>
  </r>
  <r>
    <n v="23"/>
    <x v="18"/>
    <s v="เงินฝากธนาคารกรุงไทย สนามกอล์ฟภูกระแตมหาวิทยาลัยนครพนม 408-0-989180"/>
    <x v="1"/>
    <x v="33"/>
    <x v="33"/>
    <x v="6"/>
    <n v="800"/>
    <x v="0"/>
    <s v="HO"/>
    <x v="0"/>
    <x v="0"/>
  </r>
  <r>
    <n v="24"/>
    <x v="19"/>
    <s v="เงินฝากธนาคารกรุงไทย สนามกอล์ฟภูกระแตมหาวิทยาลัยนครพนม 408-0-989180"/>
    <x v="1"/>
    <x v="33"/>
    <x v="33"/>
    <x v="52"/>
    <m/>
    <x v="0"/>
    <s v="HO"/>
    <x v="0"/>
    <x v="0"/>
  </r>
  <r>
    <n v="24"/>
    <x v="19"/>
    <s v="เงินฝากธนาคารกรุงไทย สนามกอล์ฟภูกระแตมหาวิทยาลัยนครพนม 408-0-989180"/>
    <x v="1"/>
    <x v="17"/>
    <x v="17"/>
    <x v="6"/>
    <n v="1700"/>
    <x v="3"/>
    <s v="HO"/>
    <x v="0"/>
    <x v="0"/>
  </r>
  <r>
    <n v="24"/>
    <x v="19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24"/>
    <x v="19"/>
    <s v="เงินฝากธนาคารกรุงไทย สนามกอล์ฟภูกระแตมหาวิทยาลัยนครพนม 408-0-989180"/>
    <x v="1"/>
    <x v="28"/>
    <x v="28"/>
    <x v="6"/>
    <n v="50"/>
    <x v="3"/>
    <s v="HO"/>
    <x v="0"/>
    <x v="0"/>
  </r>
  <r>
    <n v="24"/>
    <x v="19"/>
    <s v="เงินฝากธนาคารกรุงไทย สนามกอล์ฟภูกระแตมหาวิทยาลัยนครพนม 408-0-989180"/>
    <x v="1"/>
    <x v="33"/>
    <x v="33"/>
    <x v="89"/>
    <m/>
    <x v="0"/>
    <s v="HO"/>
    <x v="0"/>
    <x v="0"/>
  </r>
  <r>
    <n v="24"/>
    <x v="19"/>
    <s v="เงินฝากธนาคารกรุงไทย สนามกอล์ฟภูกระแตมหาวิทยาลัยนครพนม 408-0-989180"/>
    <x v="1"/>
    <x v="24"/>
    <x v="24"/>
    <x v="6"/>
    <n v="210"/>
    <x v="3"/>
    <s v="HO"/>
    <x v="0"/>
    <x v="0"/>
  </r>
  <r>
    <n v="24"/>
    <x v="19"/>
    <s v="เงินฝากธนาคารกรุงไทย สนามกอล์ฟภูกระแตมหาวิทยาลัยนครพนม 408-0-989180"/>
    <x v="1"/>
    <x v="0"/>
    <x v="0"/>
    <x v="90"/>
    <m/>
    <x v="0"/>
    <s v="HO"/>
    <x v="0"/>
    <x v="0"/>
  </r>
  <r>
    <n v="24"/>
    <x v="19"/>
    <s v="เงินฝากธนาคารกรุงไทย สนามกอล์ฟภูกระแตมหาวิทยาลัยนครพนม 408-0-989180"/>
    <x v="1"/>
    <x v="33"/>
    <x v="33"/>
    <x v="6"/>
    <n v="1960"/>
    <x v="0"/>
    <s v="HO"/>
    <x v="0"/>
    <x v="0"/>
  </r>
  <r>
    <n v="25"/>
    <x v="20"/>
    <s v="เงินฝากธนาคารกรุงไทย สนามกอล์ฟภูกระแตมหาวิทยาลัยนครพนม 408-0-989180"/>
    <x v="1"/>
    <x v="33"/>
    <x v="33"/>
    <x v="48"/>
    <m/>
    <x v="0"/>
    <s v="HO"/>
    <x v="0"/>
    <x v="0"/>
  </r>
  <r>
    <n v="25"/>
    <x v="20"/>
    <s v="เงินฝากธนาคารกรุงไทย สนามกอล์ฟภูกระแตมหาวิทยาลัยนครพนม 408-0-989180"/>
    <x v="1"/>
    <x v="17"/>
    <x v="17"/>
    <x v="6"/>
    <n v="2500"/>
    <x v="3"/>
    <s v="HO"/>
    <x v="0"/>
    <x v="0"/>
  </r>
  <r>
    <n v="25"/>
    <x v="20"/>
    <s v="เงินฝากธนาคารกรุงไทย สนามกอล์ฟภูกระแตมหาวิทยาลัยนครพนม 408-0-989180"/>
    <x v="1"/>
    <x v="33"/>
    <x v="33"/>
    <x v="44"/>
    <m/>
    <x v="0"/>
    <s v="HO"/>
    <x v="0"/>
    <x v="0"/>
  </r>
  <r>
    <n v="25"/>
    <x v="20"/>
    <s v="เงินฝากธนาคารกรุงไทย สนามกอล์ฟภูกระแตมหาวิทยาลัยนครพนม 408-0-989180"/>
    <x v="1"/>
    <x v="19"/>
    <x v="19"/>
    <x v="6"/>
    <n v="480"/>
    <x v="3"/>
    <s v="HO"/>
    <x v="0"/>
    <x v="0"/>
  </r>
  <r>
    <n v="25"/>
    <x v="20"/>
    <s v="เงินฝากธนาคารกรุงไทย สนามกอล์ฟภูกระแตมหาวิทยาลัยนครพนม 408-0-989180"/>
    <x v="1"/>
    <x v="33"/>
    <x v="33"/>
    <x v="56"/>
    <m/>
    <x v="0"/>
    <s v="HO"/>
    <x v="0"/>
    <x v="0"/>
  </r>
  <r>
    <n v="25"/>
    <x v="20"/>
    <s v="เงินฝากธนาคารกรุงไทย สนามกอล์ฟภูกระแตมหาวิทยาลัยนครพนม 408-0-989180"/>
    <x v="1"/>
    <x v="20"/>
    <x v="20"/>
    <x v="6"/>
    <n v="100"/>
    <x v="3"/>
    <s v="HO"/>
    <x v="0"/>
    <x v="0"/>
  </r>
  <r>
    <n v="25"/>
    <x v="20"/>
    <s v="เงินฝากธนาคารกรุงไทย สนามกอล์ฟภูกระแตมหาวิทยาลัยนครพนม 408-0-989180"/>
    <x v="1"/>
    <x v="33"/>
    <x v="33"/>
    <x v="56"/>
    <m/>
    <x v="0"/>
    <s v="HO"/>
    <x v="0"/>
    <x v="0"/>
  </r>
  <r>
    <n v="25"/>
    <x v="20"/>
    <s v="เงินฝากธนาคารกรุงไทย สนามกอล์ฟภูกระแตมหาวิทยาลัยนครพนม 408-0-989180"/>
    <x v="1"/>
    <x v="28"/>
    <x v="28"/>
    <x v="6"/>
    <n v="100"/>
    <x v="3"/>
    <s v="HO"/>
    <x v="0"/>
    <x v="0"/>
  </r>
  <r>
    <n v="25"/>
    <x v="20"/>
    <s v="เงินฝากธนาคารกรุงไทย สนามกอล์ฟภูกระแตมหาวิทยาลัยนครพนม 408-0-989180"/>
    <x v="1"/>
    <x v="33"/>
    <x v="33"/>
    <x v="28"/>
    <m/>
    <x v="0"/>
    <s v="HO"/>
    <x v="0"/>
    <x v="0"/>
  </r>
  <r>
    <n v="25"/>
    <x v="20"/>
    <s v="เงินฝากธนาคารกรุงไทย สนามกอล์ฟภูกระแตมหาวิทยาลัยนครพนม 408-0-989180"/>
    <x v="1"/>
    <x v="24"/>
    <x v="24"/>
    <x v="6"/>
    <n v="400"/>
    <x v="3"/>
    <s v="HO"/>
    <x v="0"/>
    <x v="0"/>
  </r>
  <r>
    <n v="25"/>
    <x v="20"/>
    <s v="เงินฝากธนาคารกรุงไทย สนามกอล์ฟภูกระแตมหาวิทยาลัยนครพนม 408-0-989180"/>
    <x v="1"/>
    <x v="0"/>
    <x v="0"/>
    <x v="91"/>
    <m/>
    <x v="0"/>
    <s v="HO"/>
    <x v="0"/>
    <x v="0"/>
  </r>
  <r>
    <n v="25"/>
    <x v="20"/>
    <s v="เงินฝากธนาคารกรุงไทย สนามกอล์ฟภูกระแตมหาวิทยาลัยนครพนม 408-0-989180"/>
    <x v="1"/>
    <x v="33"/>
    <x v="33"/>
    <x v="6"/>
    <n v="3580"/>
    <x v="0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33"/>
    <x v="33"/>
    <x v="81"/>
    <m/>
    <x v="0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17"/>
    <x v="17"/>
    <x v="6"/>
    <n v="500"/>
    <x v="3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33"/>
    <x v="33"/>
    <x v="21"/>
    <m/>
    <x v="0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24"/>
    <x v="24"/>
    <x v="6"/>
    <n v="10"/>
    <x v="3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0"/>
    <x v="0"/>
    <x v="61"/>
    <m/>
    <x v="0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33"/>
    <x v="33"/>
    <x v="6"/>
    <n v="510"/>
    <x v="0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33"/>
    <x v="33"/>
    <x v="29"/>
    <m/>
    <x v="0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17"/>
    <x v="17"/>
    <x v="6"/>
    <n v="1200"/>
    <x v="3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33"/>
    <x v="33"/>
    <x v="15"/>
    <m/>
    <x v="0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18"/>
    <x v="18"/>
    <x v="6"/>
    <n v="180"/>
    <x v="3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33"/>
    <x v="33"/>
    <x v="25"/>
    <m/>
    <x v="0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24"/>
    <x v="24"/>
    <x v="6"/>
    <n v="170"/>
    <x v="3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0"/>
    <x v="0"/>
    <x v="92"/>
    <m/>
    <x v="0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33"/>
    <x v="33"/>
    <x v="6"/>
    <n v="1550"/>
    <x v="0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33"/>
    <x v="33"/>
    <x v="50"/>
    <m/>
    <x v="0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11"/>
    <x v="11"/>
    <x v="6"/>
    <n v="600"/>
    <x v="1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0"/>
    <x v="0"/>
    <x v="50"/>
    <m/>
    <x v="0"/>
    <s v="HO"/>
    <x v="0"/>
    <x v="0"/>
  </r>
  <r>
    <n v="26"/>
    <x v="21"/>
    <s v="เงินฝากธนาคารกรุงไทย สนามกอล์ฟภูกระแตมหาวิทยาลัยนครพนม 408-0-989180"/>
    <x v="1"/>
    <x v="33"/>
    <x v="33"/>
    <x v="6"/>
    <n v="600"/>
    <x v="0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33"/>
    <x v="33"/>
    <x v="93"/>
    <m/>
    <x v="0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17"/>
    <x v="17"/>
    <x v="6"/>
    <n v="1100"/>
    <x v="3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33"/>
    <x v="33"/>
    <x v="65"/>
    <m/>
    <x v="0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24"/>
    <x v="24"/>
    <x v="6"/>
    <n v="90"/>
    <x v="3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0"/>
    <x v="0"/>
    <x v="94"/>
    <m/>
    <x v="0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33"/>
    <x v="33"/>
    <x v="6"/>
    <n v="1190"/>
    <x v="0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33"/>
    <x v="33"/>
    <x v="76"/>
    <m/>
    <x v="0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17"/>
    <x v="17"/>
    <x v="6"/>
    <n v="1300"/>
    <x v="3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33"/>
    <x v="33"/>
    <x v="10"/>
    <m/>
    <x v="0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18"/>
    <x v="18"/>
    <x v="6"/>
    <n v="900"/>
    <x v="3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33"/>
    <x v="33"/>
    <x v="95"/>
    <m/>
    <x v="0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24"/>
    <x v="24"/>
    <x v="6"/>
    <n v="260"/>
    <x v="3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0"/>
    <x v="0"/>
    <x v="96"/>
    <m/>
    <x v="0"/>
    <s v="HO"/>
    <x v="0"/>
    <x v="0"/>
  </r>
  <r>
    <n v="27"/>
    <x v="22"/>
    <s v="เงินฝากธนาคารกรุงไทย สนามกอล์ฟภูกระแตมหาวิทยาลัยนครพนม 408-0-989180"/>
    <x v="1"/>
    <x v="33"/>
    <x v="33"/>
    <x v="6"/>
    <n v="2460"/>
    <x v="0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33"/>
    <x v="33"/>
    <x v="20"/>
    <m/>
    <x v="0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17"/>
    <x v="17"/>
    <x v="6"/>
    <n v="800"/>
    <x v="3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33"/>
    <x v="33"/>
    <x v="10"/>
    <m/>
    <x v="0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18"/>
    <x v="18"/>
    <x v="6"/>
    <n v="900"/>
    <x v="3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33"/>
    <x v="33"/>
    <x v="53"/>
    <m/>
    <x v="0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24"/>
    <x v="24"/>
    <x v="6"/>
    <n v="150"/>
    <x v="3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0"/>
    <x v="0"/>
    <x v="97"/>
    <m/>
    <x v="0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33"/>
    <x v="33"/>
    <x v="6"/>
    <n v="1850"/>
    <x v="0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33"/>
    <x v="33"/>
    <x v="10"/>
    <m/>
    <x v="0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17"/>
    <x v="17"/>
    <x v="6"/>
    <n v="900"/>
    <x v="3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33"/>
    <x v="33"/>
    <x v="60"/>
    <m/>
    <x v="0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18"/>
    <x v="18"/>
    <x v="6"/>
    <n v="720"/>
    <x v="3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28"/>
    <x v="28"/>
    <x v="6"/>
    <n v="50"/>
    <x v="3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33"/>
    <x v="33"/>
    <x v="25"/>
    <m/>
    <x v="0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24"/>
    <x v="24"/>
    <x v="6"/>
    <n v="170"/>
    <x v="3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0"/>
    <x v="0"/>
    <x v="98"/>
    <m/>
    <x v="0"/>
    <s v="HO"/>
    <x v="0"/>
    <x v="0"/>
  </r>
  <r>
    <n v="28"/>
    <x v="23"/>
    <s v="เงินฝากธนาคารกรุงไทย สนามกอล์ฟภูกระแตมหาวิทยาลัยนครพนม 408-0-989180"/>
    <x v="1"/>
    <x v="33"/>
    <x v="33"/>
    <x v="6"/>
    <n v="1840"/>
    <x v="0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33"/>
    <x v="33"/>
    <x v="63"/>
    <m/>
    <x v="0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17"/>
    <x v="17"/>
    <x v="6"/>
    <n v="1000"/>
    <x v="3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33"/>
    <x v="33"/>
    <x v="56"/>
    <m/>
    <x v="0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24"/>
    <x v="24"/>
    <x v="6"/>
    <n v="100"/>
    <x v="3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0"/>
    <x v="0"/>
    <x v="93"/>
    <m/>
    <x v="0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33"/>
    <x v="33"/>
    <x v="6"/>
    <n v="1100"/>
    <x v="0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33"/>
    <x v="33"/>
    <x v="19"/>
    <m/>
    <x v="0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17"/>
    <x v="17"/>
    <x v="6"/>
    <n v="2000"/>
    <x v="3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33"/>
    <x v="33"/>
    <x v="24"/>
    <m/>
    <x v="0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18"/>
    <x v="18"/>
    <x v="6"/>
    <n v="360"/>
    <x v="3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33"/>
    <x v="33"/>
    <x v="95"/>
    <m/>
    <x v="0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24"/>
    <x v="24"/>
    <x v="6"/>
    <n v="260"/>
    <x v="3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0"/>
    <x v="0"/>
    <x v="99"/>
    <m/>
    <x v="0"/>
    <s v="HO"/>
    <x v="0"/>
    <x v="0"/>
  </r>
  <r>
    <n v="29"/>
    <x v="24"/>
    <s v="เงินฝากธนาคารกรุงไทย สนามกอล์ฟภูกระแตมหาวิทยาลัยนครพนม 408-0-989180"/>
    <x v="1"/>
    <x v="33"/>
    <x v="33"/>
    <x v="6"/>
    <n v="2620"/>
    <x v="0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33"/>
    <x v="33"/>
    <x v="20"/>
    <m/>
    <x v="0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17"/>
    <x v="17"/>
    <x v="6"/>
    <n v="800"/>
    <x v="3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33"/>
    <x v="33"/>
    <x v="100"/>
    <m/>
    <x v="0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24"/>
    <x v="24"/>
    <x v="6"/>
    <n v="40"/>
    <x v="3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0"/>
    <x v="0"/>
    <x v="101"/>
    <m/>
    <x v="0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33"/>
    <x v="33"/>
    <x v="6"/>
    <n v="840"/>
    <x v="0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33"/>
    <x v="33"/>
    <x v="67"/>
    <m/>
    <x v="0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17"/>
    <x v="17"/>
    <x v="6"/>
    <n v="1800"/>
    <x v="3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33"/>
    <x v="33"/>
    <x v="24"/>
    <m/>
    <x v="0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18"/>
    <x v="18"/>
    <x v="6"/>
    <n v="360"/>
    <x v="3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33"/>
    <x v="33"/>
    <x v="54"/>
    <m/>
    <x v="0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24"/>
    <x v="24"/>
    <x v="6"/>
    <n v="310"/>
    <x v="3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0"/>
    <x v="0"/>
    <x v="102"/>
    <m/>
    <x v="0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33"/>
    <x v="33"/>
    <x v="6"/>
    <n v="2470"/>
    <x v="0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33"/>
    <x v="33"/>
    <x v="20"/>
    <m/>
    <x v="0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11"/>
    <x v="11"/>
    <x v="6"/>
    <n v="800"/>
    <x v="1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0"/>
    <x v="0"/>
    <x v="20"/>
    <m/>
    <x v="0"/>
    <s v="HO"/>
    <x v="0"/>
    <x v="0"/>
  </r>
  <r>
    <n v="30"/>
    <x v="25"/>
    <s v="เงินฝากธนาคารกรุงไทย สนามกอล์ฟภูกระแตมหาวิทยาลัยนครพนม 408-0-989180"/>
    <x v="1"/>
    <x v="33"/>
    <x v="33"/>
    <x v="6"/>
    <n v="800"/>
    <x v="0"/>
    <s v="HO"/>
    <x v="0"/>
    <x v="0"/>
  </r>
  <r>
    <n v="31"/>
    <x v="26"/>
    <s v="เงินฝากธนาคารกรุงไทย สนามกอล์ฟภูกระแตมหาวิทยาลัยนครพนม 408-0-989180"/>
    <x v="1"/>
    <x v="33"/>
    <x v="33"/>
    <x v="32"/>
    <m/>
    <x v="0"/>
    <s v="HO"/>
    <x v="0"/>
    <x v="0"/>
  </r>
  <r>
    <n v="31"/>
    <x v="26"/>
    <s v="เงินฝากธนาคารกรุงไทย สนามกอล์ฟภูกระแตมหาวิทยาลัยนครพนม 408-0-989180"/>
    <x v="1"/>
    <x v="17"/>
    <x v="17"/>
    <x v="6"/>
    <n v="2100"/>
    <x v="3"/>
    <s v="HO"/>
    <x v="0"/>
    <x v="0"/>
  </r>
  <r>
    <n v="31"/>
    <x v="26"/>
    <s v="เงินฝากธนาคารกรุงไทย สนามกอล์ฟภูกระแตมหาวิทยาลัยนครพนม 408-0-989180"/>
    <x v="1"/>
    <x v="33"/>
    <x v="33"/>
    <x v="60"/>
    <m/>
    <x v="0"/>
    <s v="HO"/>
    <x v="0"/>
    <x v="0"/>
  </r>
  <r>
    <n v="31"/>
    <x v="26"/>
    <s v="เงินฝากธนาคารกรุงไทย สนามกอล์ฟภูกระแตมหาวิทยาลัยนครพนม 408-0-989180"/>
    <x v="1"/>
    <x v="19"/>
    <x v="19"/>
    <x v="6"/>
    <n v="720"/>
    <x v="3"/>
    <s v="HO"/>
    <x v="0"/>
    <x v="0"/>
  </r>
  <r>
    <n v="31"/>
    <x v="26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31"/>
    <x v="26"/>
    <s v="เงินฝากธนาคารกรุงไทย สนามกอล์ฟภูกระแตมหาวิทยาลัยนครพนม 408-0-989180"/>
    <x v="1"/>
    <x v="20"/>
    <x v="20"/>
    <x v="6"/>
    <n v="50"/>
    <x v="3"/>
    <s v="HO"/>
    <x v="0"/>
    <x v="0"/>
  </r>
  <r>
    <n v="31"/>
    <x v="26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31"/>
    <x v="26"/>
    <s v="เงินฝากธนาคารกรุงไทย สนามกอล์ฟภูกระแตมหาวิทยาลัยนครพนม 408-0-989180"/>
    <x v="1"/>
    <x v="28"/>
    <x v="28"/>
    <x v="6"/>
    <n v="50"/>
    <x v="3"/>
    <s v="HO"/>
    <x v="0"/>
    <x v="0"/>
  </r>
  <r>
    <n v="31"/>
    <x v="26"/>
    <s v="เงินฝากธนาคารกรุงไทย สนามกอล์ฟภูกระแตมหาวิทยาลัยนครพนม 408-0-989180"/>
    <x v="1"/>
    <x v="33"/>
    <x v="33"/>
    <x v="103"/>
    <m/>
    <x v="0"/>
    <s v="HO"/>
    <x v="0"/>
    <x v="0"/>
  </r>
  <r>
    <n v="31"/>
    <x v="26"/>
    <s v="เงินฝากธนาคารกรุงไทย สนามกอล์ฟภูกระแตมหาวิทยาลัยนครพนม 408-0-989180"/>
    <x v="1"/>
    <x v="24"/>
    <x v="24"/>
    <x v="6"/>
    <n v="350"/>
    <x v="3"/>
    <s v="HO"/>
    <x v="0"/>
    <x v="0"/>
  </r>
  <r>
    <n v="31"/>
    <x v="26"/>
    <s v="เงินฝากธนาคารกรุงไทย สนามกอล์ฟภูกระแตมหาวิทยาลัยนครพนม 408-0-989180"/>
    <x v="1"/>
    <x v="0"/>
    <x v="0"/>
    <x v="104"/>
    <m/>
    <x v="0"/>
    <s v="HO"/>
    <x v="0"/>
    <x v="0"/>
  </r>
  <r>
    <n v="31"/>
    <x v="26"/>
    <s v="เงินฝากธนาคารกรุงไทย สนามกอล์ฟภูกระแตมหาวิทยาลัยนครพนม 408-0-989180"/>
    <x v="1"/>
    <x v="33"/>
    <x v="33"/>
    <x v="6"/>
    <n v="3270"/>
    <x v="0"/>
    <s v="HO"/>
    <x v="0"/>
    <x v="0"/>
  </r>
  <r>
    <n v="32"/>
    <x v="27"/>
    <s v="เงินฝากธนาคารกรุงไทย สนามกอล์ฟภูกระแตมหาวิทยาลัยนครพนม 408-0-989180"/>
    <x v="1"/>
    <x v="33"/>
    <x v="33"/>
    <x v="43"/>
    <m/>
    <x v="0"/>
    <s v="HO"/>
    <x v="0"/>
    <x v="0"/>
  </r>
  <r>
    <n v="32"/>
    <x v="27"/>
    <s v="เงินฝากธนาคารกรุงไทย สนามกอล์ฟภูกระแตมหาวิทยาลัยนครพนม 408-0-989180"/>
    <x v="1"/>
    <x v="17"/>
    <x v="17"/>
    <x v="6"/>
    <n v="2800"/>
    <x v="3"/>
    <s v="HO"/>
    <x v="0"/>
    <x v="0"/>
  </r>
  <r>
    <n v="32"/>
    <x v="27"/>
    <s v="เงินฝากธนาคารกรุงไทย สนามกอล์ฟภูกระแตมหาวิทยาลัยนครพนม 408-0-989180"/>
    <x v="1"/>
    <x v="33"/>
    <x v="33"/>
    <x v="105"/>
    <m/>
    <x v="0"/>
    <s v="HO"/>
    <x v="0"/>
    <x v="0"/>
  </r>
  <r>
    <n v="32"/>
    <x v="27"/>
    <s v="เงินฝากธนาคารกรุงไทย สนามกอล์ฟภูกระแตมหาวิทยาลัยนครพนม 408-0-989180"/>
    <x v="1"/>
    <x v="19"/>
    <x v="19"/>
    <x v="6"/>
    <n v="3360"/>
    <x v="3"/>
    <s v="HO"/>
    <x v="0"/>
    <x v="0"/>
  </r>
  <r>
    <n v="32"/>
    <x v="27"/>
    <s v="เงินฝากธนาคารกรุงไทย สนามกอล์ฟภูกระแตมหาวิทยาลัยนครพนม 408-0-989180"/>
    <x v="1"/>
    <x v="33"/>
    <x v="33"/>
    <x v="56"/>
    <m/>
    <x v="0"/>
    <s v="HO"/>
    <x v="0"/>
    <x v="0"/>
  </r>
  <r>
    <n v="32"/>
    <x v="27"/>
    <s v="เงินฝากธนาคารกรุงไทย สนามกอล์ฟภูกระแตมหาวิทยาลัยนครพนม 408-0-989180"/>
    <x v="1"/>
    <x v="28"/>
    <x v="28"/>
    <x v="6"/>
    <n v="100"/>
    <x v="3"/>
    <s v="HO"/>
    <x v="0"/>
    <x v="0"/>
  </r>
  <r>
    <n v="32"/>
    <x v="27"/>
    <s v="เงินฝากธนาคารกรุงไทย สนามกอล์ฟภูกระแตมหาวิทยาลัยนครพนม 408-0-989180"/>
    <x v="1"/>
    <x v="33"/>
    <x v="33"/>
    <x v="106"/>
    <m/>
    <x v="0"/>
    <s v="HO"/>
    <x v="0"/>
    <x v="0"/>
  </r>
  <r>
    <n v="32"/>
    <x v="27"/>
    <s v="เงินฝากธนาคารกรุงไทย สนามกอล์ฟภูกระแตมหาวิทยาลัยนครพนม 408-0-989180"/>
    <x v="1"/>
    <x v="24"/>
    <x v="24"/>
    <x v="6"/>
    <n v="330"/>
    <x v="3"/>
    <s v="HO"/>
    <x v="0"/>
    <x v="0"/>
  </r>
  <r>
    <n v="32"/>
    <x v="27"/>
    <s v="เงินฝากธนาคารกรุงไทย สนามกอล์ฟภูกระแตมหาวิทยาลัยนครพนม 408-0-989180"/>
    <x v="1"/>
    <x v="0"/>
    <x v="0"/>
    <x v="107"/>
    <m/>
    <x v="0"/>
    <s v="HO"/>
    <x v="0"/>
    <x v="0"/>
  </r>
  <r>
    <n v="32"/>
    <x v="27"/>
    <s v="เงินฝากธนาคารกรุงไทย สนามกอล์ฟภูกระแตมหาวิทยาลัยนครพนม 408-0-989180"/>
    <x v="1"/>
    <x v="33"/>
    <x v="33"/>
    <x v="6"/>
    <n v="6590"/>
    <x v="0"/>
    <s v="HO"/>
    <x v="0"/>
    <x v="0"/>
  </r>
  <r>
    <n v="33"/>
    <x v="28"/>
    <s v="กอล์ฟ409/2568"/>
    <x v="5"/>
    <x v="34"/>
    <x v="34"/>
    <x v="108"/>
    <m/>
    <x v="5"/>
    <s v="HO"/>
    <x v="0"/>
    <x v="0"/>
  </r>
  <r>
    <n v="33"/>
    <x v="28"/>
    <s v="กอล์ฟ409/2568"/>
    <x v="5"/>
    <x v="0"/>
    <x v="0"/>
    <x v="6"/>
    <n v="407022.3"/>
    <x v="0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33"/>
    <x v="33"/>
    <x v="23"/>
    <m/>
    <x v="0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17"/>
    <x v="17"/>
    <x v="6"/>
    <n v="1400"/>
    <x v="3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33"/>
    <x v="33"/>
    <x v="109"/>
    <m/>
    <x v="0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24"/>
    <x v="24"/>
    <x v="6"/>
    <n v="280"/>
    <x v="3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0"/>
    <x v="0"/>
    <x v="110"/>
    <m/>
    <x v="0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33"/>
    <x v="33"/>
    <x v="6"/>
    <n v="1680"/>
    <x v="0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33"/>
    <x v="33"/>
    <x v="14"/>
    <m/>
    <x v="0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17"/>
    <x v="17"/>
    <x v="6"/>
    <n v="1600"/>
    <x v="3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33"/>
    <x v="33"/>
    <x v="60"/>
    <m/>
    <x v="0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18"/>
    <x v="18"/>
    <x v="6"/>
    <n v="720"/>
    <x v="3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33"/>
    <x v="33"/>
    <x v="24"/>
    <m/>
    <x v="0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24"/>
    <x v="24"/>
    <x v="6"/>
    <n v="360"/>
    <x v="3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0"/>
    <x v="0"/>
    <x v="111"/>
    <m/>
    <x v="0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33"/>
    <x v="33"/>
    <x v="6"/>
    <n v="2680"/>
    <x v="0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33"/>
    <x v="33"/>
    <x v="28"/>
    <m/>
    <x v="0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11"/>
    <x v="11"/>
    <x v="6"/>
    <n v="400"/>
    <x v="1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0"/>
    <x v="0"/>
    <x v="28"/>
    <m/>
    <x v="0"/>
    <s v="HO"/>
    <x v="0"/>
    <x v="0"/>
  </r>
  <r>
    <n v="34"/>
    <x v="28"/>
    <s v="เงินฝากธนาคารกรุงไทย สนามกอล์ฟภูกระแตมหาวิทยาลัยนครพนม 408-0-989180"/>
    <x v="1"/>
    <x v="33"/>
    <x v="33"/>
    <x v="6"/>
    <n v="400"/>
    <x v="0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33"/>
    <x v="33"/>
    <x v="63"/>
    <m/>
    <x v="0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17"/>
    <x v="17"/>
    <x v="6"/>
    <n v="1000"/>
    <x v="3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33"/>
    <x v="33"/>
    <x v="56"/>
    <m/>
    <x v="0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24"/>
    <x v="24"/>
    <x v="6"/>
    <n v="100"/>
    <x v="3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0"/>
    <x v="0"/>
    <x v="93"/>
    <m/>
    <x v="0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33"/>
    <x v="33"/>
    <x v="6"/>
    <n v="1100"/>
    <x v="0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33"/>
    <x v="33"/>
    <x v="19"/>
    <m/>
    <x v="0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17"/>
    <x v="17"/>
    <x v="6"/>
    <n v="2000"/>
    <x v="3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33"/>
    <x v="33"/>
    <x v="24"/>
    <m/>
    <x v="0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18"/>
    <x v="18"/>
    <x v="6"/>
    <n v="360"/>
    <x v="3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28"/>
    <x v="28"/>
    <x v="6"/>
    <n v="50"/>
    <x v="3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33"/>
    <x v="33"/>
    <x v="112"/>
    <m/>
    <x v="0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24"/>
    <x v="24"/>
    <x v="6"/>
    <n v="300"/>
    <x v="3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0"/>
    <x v="0"/>
    <x v="113"/>
    <m/>
    <x v="0"/>
    <s v="HO"/>
    <x v="0"/>
    <x v="0"/>
  </r>
  <r>
    <n v="35"/>
    <x v="29"/>
    <s v="เงินฝากธนาคารกรุงไทย สนามกอล์ฟภูกระแตมหาวิทยาลัยนครพนม 408-0-989180"/>
    <x v="1"/>
    <x v="33"/>
    <x v="33"/>
    <x v="6"/>
    <n v="2710"/>
    <x v="0"/>
    <s v="HO"/>
    <x v="0"/>
    <x v="0"/>
  </r>
  <r>
    <n v="36"/>
    <x v="30"/>
    <s v="เงินฝากธนาคารกรุงไทย สนามกอล์ฟภูกระแตมหาวิทยาลัยนครพนม 408-0-989180"/>
    <x v="1"/>
    <x v="33"/>
    <x v="33"/>
    <x v="114"/>
    <m/>
    <x v="0"/>
    <s v="HO"/>
    <x v="0"/>
    <x v="0"/>
  </r>
  <r>
    <n v="36"/>
    <x v="30"/>
    <s v="เงินฝากธนาคารกรุงไทย สนามกอล์ฟภูกระแตมหาวิทยาลัยนครพนม 408-0-989180"/>
    <x v="1"/>
    <x v="17"/>
    <x v="17"/>
    <x v="6"/>
    <n v="3400"/>
    <x v="3"/>
    <s v="HO"/>
    <x v="0"/>
    <x v="0"/>
  </r>
  <r>
    <n v="36"/>
    <x v="30"/>
    <s v="เงินฝากธนาคารกรุงไทย สนามกอล์ฟภูกระแตมหาวิทยาลัยนครพนม 408-0-989180"/>
    <x v="1"/>
    <x v="33"/>
    <x v="33"/>
    <x v="11"/>
    <m/>
    <x v="0"/>
    <s v="HO"/>
    <x v="0"/>
    <x v="0"/>
  </r>
  <r>
    <n v="36"/>
    <x v="30"/>
    <s v="เงินฝากธนาคารกรุงไทย สนามกอล์ฟภูกระแตมหาวิทยาลัยนครพนม 408-0-989180"/>
    <x v="1"/>
    <x v="28"/>
    <x v="28"/>
    <x v="6"/>
    <n v="50"/>
    <x v="3"/>
    <s v="HO"/>
    <x v="0"/>
    <x v="0"/>
  </r>
  <r>
    <n v="36"/>
    <x v="30"/>
    <s v="เงินฝากธนาคารกรุงไทย สนามกอล์ฟภูกระแตมหาวิทยาลัยนครพนม 408-0-989180"/>
    <x v="1"/>
    <x v="33"/>
    <x v="33"/>
    <x v="44"/>
    <m/>
    <x v="0"/>
    <s v="HO"/>
    <x v="0"/>
    <x v="0"/>
  </r>
  <r>
    <n v="36"/>
    <x v="30"/>
    <s v="เงินฝากธนาคารกรุงไทย สนามกอล์ฟภูกระแตมหาวิทยาลัยนครพนม 408-0-989180"/>
    <x v="1"/>
    <x v="24"/>
    <x v="24"/>
    <x v="6"/>
    <n v="480"/>
    <x v="3"/>
    <s v="HO"/>
    <x v="0"/>
    <x v="0"/>
  </r>
  <r>
    <n v="36"/>
    <x v="30"/>
    <s v="เงินฝากธนาคารกรุงไทย สนามกอล์ฟภูกระแตมหาวิทยาลัยนครพนม 408-0-989180"/>
    <x v="1"/>
    <x v="0"/>
    <x v="0"/>
    <x v="115"/>
    <m/>
    <x v="0"/>
    <s v="HO"/>
    <x v="0"/>
    <x v="0"/>
  </r>
  <r>
    <n v="36"/>
    <x v="30"/>
    <s v="เงินฝากธนาคารกรุงไทย สนามกอล์ฟภูกระแตมหาวิทยาลัยนครพนม 408-0-989180"/>
    <x v="1"/>
    <x v="33"/>
    <x v="33"/>
    <x v="6"/>
    <n v="3930"/>
    <x v="0"/>
    <s v="HO"/>
    <x v="0"/>
    <x v="0"/>
  </r>
  <r>
    <n v="36"/>
    <x v="30"/>
    <s v="เงินฝากธนาคารกรุงไทย สนามกอล์ฟภูกระแตมหาวิทยาลัยนครพนม 408-0-989180"/>
    <x v="1"/>
    <x v="33"/>
    <x v="33"/>
    <x v="19"/>
    <m/>
    <x v="0"/>
    <s v="HO"/>
    <x v="0"/>
    <x v="0"/>
  </r>
  <r>
    <n v="36"/>
    <x v="30"/>
    <s v="เงินฝากธนาคารกรุงไทย สนามกอล์ฟภูกระแตมหาวิทยาลัยนครพนม 408-0-989180"/>
    <x v="1"/>
    <x v="26"/>
    <x v="26"/>
    <x v="6"/>
    <n v="2000"/>
    <x v="3"/>
    <s v="HO"/>
    <x v="0"/>
    <x v="0"/>
  </r>
  <r>
    <n v="36"/>
    <x v="30"/>
    <s v="เงินฝากธนาคารกรุงไทย สนามกอล์ฟภูกระแตมหาวิทยาลัยนครพนม 408-0-989180"/>
    <x v="1"/>
    <x v="0"/>
    <x v="0"/>
    <x v="19"/>
    <m/>
    <x v="0"/>
    <s v="HO"/>
    <x v="0"/>
    <x v="0"/>
  </r>
  <r>
    <n v="36"/>
    <x v="30"/>
    <s v="เงินฝากธนาคารกรุงไทย สนามกอล์ฟภูกระแตมหาวิทยาลัยนครพนม 408-0-989180"/>
    <x v="1"/>
    <x v="33"/>
    <x v="33"/>
    <x v="6"/>
    <n v="2000"/>
    <x v="0"/>
    <s v="HO"/>
    <x v="0"/>
    <x v="0"/>
  </r>
  <r>
    <n v="37"/>
    <x v="30"/>
    <s v="ดอกเบี้ยรับจากเงินฝากสถาบันการเงิน"/>
    <x v="6"/>
    <x v="0"/>
    <x v="0"/>
    <x v="116"/>
    <m/>
    <x v="0"/>
    <s v="HO"/>
    <x v="0"/>
    <x v="0"/>
  </r>
  <r>
    <n v="37"/>
    <x v="30"/>
    <s v="ดอกเบี้ยรับจากเงินฝากสถาบันการเงิน"/>
    <x v="6"/>
    <x v="35"/>
    <x v="35"/>
    <x v="6"/>
    <n v="6479.13"/>
    <x v="4"/>
    <s v="HO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JEReport" cacheId="0" applyNumberFormats="0" applyBorderFormats="0" applyFontFormats="0" applyPatternFormats="0" applyAlignmentFormats="0" applyWidthHeightFormats="1" dataCaption="จำนวนเงิน (บาท)" grandTotalCaption="รวมทุกรายการ" missingCaption=" " updatedVersion="6" minRefreshableVersion="3" showDrill="0" fieldPrintTitles="1" itemPrintTitles="1" createdVersion="5" indent="0" compact="0" compactData="0" gridDropZones="1" multipleFieldFilters="0">
  <location ref="A3:F458" firstHeaderRow="1" firstDataRow="2" firstDataCol="4"/>
  <pivotFields count="13">
    <pivotField compact="0" outline="0" showAll="0" defaultSubtotal="0"/>
    <pivotField axis="axisRow" compact="0" outline="0" subtotalTop="0" showAll="0" sortType="ascending" defaultSubtotal="0">
      <items count="1417"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m="1" x="615"/>
        <item m="1" x="1162"/>
        <item m="1" x="498"/>
        <item m="1" x="1177"/>
        <item m="1" x="512"/>
        <item m="1" x="1194"/>
        <item m="1" x="528"/>
        <item m="1" x="1208"/>
        <item m="1" x="542"/>
        <item m="1" x="1224"/>
        <item m="1" x="554"/>
        <item m="1" x="1240"/>
        <item m="1" x="567"/>
        <item m="1" x="583"/>
        <item m="1" x="1272"/>
        <item m="1" x="597"/>
        <item m="1" x="1290"/>
        <item m="1" x="616"/>
        <item m="1" x="1307"/>
        <item m="1" x="632"/>
        <item m="1" x="1329"/>
        <item m="1" x="655"/>
        <item m="1" x="1349"/>
        <item m="1" x="1372"/>
        <item m="1" x="721"/>
        <item m="1" x="1195"/>
        <item m="1" x="529"/>
        <item m="1" x="1225"/>
        <item m="1" x="1242"/>
        <item m="1" x="1259"/>
        <item m="1" x="584"/>
        <item m="1" x="1308"/>
        <item m="1" x="633"/>
        <item m="1" x="1373"/>
        <item m="1" x="722"/>
        <item m="1" x="40"/>
        <item m="1" x="69"/>
        <item m="1" x="802"/>
        <item m="1" x="129"/>
        <item m="1" x="223"/>
        <item m="1" x="917"/>
        <item m="1" x="247"/>
        <item m="1" x="354"/>
        <item m="1" x="378"/>
        <item m="1" x="401"/>
        <item m="1" x="443"/>
        <item m="1" x="1142"/>
        <item m="1" x="480"/>
        <item m="1" x="1175"/>
        <item m="1" x="510"/>
        <item m="1" x="1241"/>
        <item m="1" x="598"/>
        <item m="1" x="634"/>
        <item m="1" x="1350"/>
        <item m="1" x="1398"/>
        <item m="1" x="41"/>
        <item m="1" x="70"/>
        <item m="1" x="100"/>
        <item m="1" x="803"/>
        <item m="1" x="130"/>
        <item m="1" x="635"/>
        <item m="1" x="656"/>
        <item m="1" x="1399"/>
        <item m="1" x="42"/>
        <item m="1" x="748"/>
        <item m="1" x="71"/>
        <item m="1" x="773"/>
        <item m="1" x="804"/>
        <item m="1" x="131"/>
        <item m="1" x="830"/>
        <item m="1" x="155"/>
        <item m="1" x="855"/>
        <item m="1" x="677"/>
        <item m="1" x="1376"/>
        <item m="1" x="1402"/>
        <item m="1" x="45"/>
        <item m="1" x="74"/>
        <item m="1" x="776"/>
        <item m="1" x="805"/>
        <item m="1" x="831"/>
        <item m="1" x="156"/>
        <item m="1" x="856"/>
        <item m="1" x="181"/>
        <item m="1" x="238"/>
        <item m="1" x="273"/>
        <item m="1" x="966"/>
        <item m="1" x="299"/>
        <item m="1" x="990"/>
        <item m="1" x="326"/>
        <item m="1" x="849"/>
        <item m="1" x="277"/>
        <item m="1" x="1017"/>
        <item m="1" x="373"/>
        <item m="1" x="396"/>
        <item m="1" x="900"/>
        <item m="1" x="951"/>
        <item m="1" x="1095"/>
        <item m="1" x="1130"/>
        <item m="1" x="1163"/>
        <item m="1" x="1196"/>
        <item m="1" x="1228"/>
        <item m="1" x="485"/>
        <item m="1" x="1226"/>
        <item m="1" x="589"/>
        <item m="1" x="1277"/>
        <item m="1" x="812"/>
        <item m="1" x="203"/>
        <item m="1" x="901"/>
        <item m="1" x="231"/>
        <item m="1" x="925"/>
        <item m="1" x="255"/>
        <item m="1" x="947"/>
        <item m="1" x="280"/>
        <item m="1" x="972"/>
        <item m="1" x="305"/>
        <item m="1" x="996"/>
        <item m="1" x="1020"/>
        <item m="1" x="357"/>
        <item m="1" x="1044"/>
        <item m="1" x="376"/>
        <item m="1" x="1064"/>
        <item m="1" x="399"/>
        <item m="1" x="1082"/>
        <item m="1" x="420"/>
        <item m="1" x="1100"/>
        <item m="1" x="437"/>
        <item m="1" x="1117"/>
        <item m="1" x="455"/>
        <item m="1" x="1132"/>
        <item m="1" x="470"/>
        <item m="1" x="1148"/>
        <item m="1" x="486"/>
        <item m="1" x="1164"/>
        <item m="1" x="499"/>
        <item m="1" x="1182"/>
        <item m="1" x="517"/>
        <item m="1" x="259"/>
        <item m="1" x="952"/>
        <item m="1" x="284"/>
        <item m="1" x="976"/>
        <item m="1" x="309"/>
        <item m="1" x="999"/>
        <item m="1" x="335"/>
        <item m="1" x="1024"/>
        <item m="1" x="361"/>
        <item m="1" x="1048"/>
        <item m="1" x="381"/>
        <item m="1" x="1067"/>
        <item m="1" x="404"/>
        <item m="1" x="1085"/>
        <item m="1" x="424"/>
        <item m="1" x="1104"/>
        <item m="1" x="441"/>
        <item m="1" x="1120"/>
        <item m="1" x="459"/>
        <item m="1" x="1136"/>
        <item m="1" x="474"/>
        <item m="1" x="1152"/>
        <item m="1" x="488"/>
        <item m="1" x="1166"/>
        <item m="1" x="501"/>
        <item m="1" x="1184"/>
        <item m="1" x="519"/>
        <item m="1" x="1201"/>
        <item m="1" x="534"/>
        <item m="1" x="1216"/>
        <item m="1" x="313"/>
        <item m="1" x="1003"/>
        <item m="1" x="339"/>
        <item m="1" x="1028"/>
        <item m="1" x="1052"/>
        <item m="1" x="385"/>
        <item m="1" x="1070"/>
        <item m="1" x="408"/>
        <item m="1" x="1089"/>
        <item m="1" x="428"/>
        <item m="1" x="1108"/>
        <item m="1" x="446"/>
        <item m="1" x="1124"/>
        <item m="1" x="463"/>
        <item m="1" x="1140"/>
        <item m="1" x="478"/>
        <item m="1" x="1156"/>
        <item m="1" x="492"/>
        <item m="1" x="1170"/>
        <item m="1" x="505"/>
        <item m="1" x="1188"/>
        <item m="1" x="523"/>
        <item m="1" x="1203"/>
        <item m="1" x="536"/>
        <item m="1" x="1218"/>
        <item m="1" x="550"/>
        <item m="1" x="1236"/>
        <item m="1" x="563"/>
        <item m="1" x="1255"/>
        <item m="1" x="579"/>
        <item m="1" x="1178"/>
        <item m="1" x="513"/>
        <item m="1" x="1197"/>
        <item m="1" x="530"/>
        <item m="1" x="1209"/>
        <item m="1" x="543"/>
        <item m="1" x="1227"/>
        <item m="1" x="555"/>
        <item m="1" x="1243"/>
        <item m="1" x="1260"/>
        <item m="1" x="585"/>
        <item m="1" x="1273"/>
        <item m="1" x="599"/>
        <item m="1" x="1291"/>
        <item m="1" x="617"/>
        <item m="1" x="1309"/>
        <item m="1" x="636"/>
        <item m="1" x="1330"/>
        <item m="1" x="657"/>
        <item m="1" x="1351"/>
        <item m="1" x="675"/>
        <item m="1" x="1374"/>
        <item m="1" x="699"/>
        <item m="1" x="1400"/>
        <item m="1" x="723"/>
        <item m="1" x="43"/>
        <item m="1" x="749"/>
        <item m="1" x="72"/>
        <item m="1" x="774"/>
        <item m="1" x="101"/>
        <item m="1" x="1210"/>
        <item m="1" x="544"/>
        <item m="1" x="1230"/>
        <item m="1" x="557"/>
        <item m="1" x="1245"/>
        <item m="1" x="569"/>
        <item m="1" x="1262"/>
        <item m="1" x="587"/>
        <item m="1" x="1275"/>
        <item m="1" x="601"/>
        <item m="1" x="1293"/>
        <item m="1" x="619"/>
        <item m="1" x="1311"/>
        <item m="1" x="638"/>
        <item m="1" x="1332"/>
        <item m="1" x="659"/>
        <item m="1" x="1353"/>
        <item m="1" x="678"/>
        <item m="1" x="1377"/>
        <item m="1" x="701"/>
        <item m="1" x="1403"/>
        <item m="1" x="725"/>
        <item m="1" x="46"/>
        <item m="1" x="751"/>
        <item m="1" x="75"/>
        <item m="1" x="777"/>
        <item m="1" x="103"/>
        <item m="1" x="806"/>
        <item m="1" x="1249"/>
        <item m="1" x="573"/>
        <item m="1" x="1266"/>
        <item m="1" x="591"/>
        <item m="1" x="1280"/>
        <item m="1" x="605"/>
        <item m="1" x="1297"/>
        <item m="1" x="623"/>
        <item m="1" x="1315"/>
        <item m="1" x="642"/>
        <item m="1" x="1336"/>
        <item m="1" x="663"/>
        <item m="1" x="1357"/>
        <item m="1" x="682"/>
        <item m="1" x="1381"/>
        <item m="1" x="705"/>
        <item m="1" x="1407"/>
        <item m="1" x="729"/>
        <item m="1" x="50"/>
        <item m="1" x="755"/>
        <item m="1" x="79"/>
        <item m="1" x="781"/>
        <item m="1" x="107"/>
        <item m="1" x="808"/>
        <item m="1" x="132"/>
        <item m="1" x="832"/>
        <item m="1" x="157"/>
        <item m="1" x="857"/>
        <item m="1" x="182"/>
        <item m="1" x="880"/>
        <item m="1" x="210"/>
        <item m="1" x="1284"/>
        <item m="1" x="609"/>
        <item m="1" x="1301"/>
        <item m="1" x="626"/>
        <item m="1" x="1319"/>
        <item m="1" x="646"/>
        <item m="1" x="1340"/>
        <item m="1" x="667"/>
        <item m="1" x="1361"/>
        <item m="1" x="686"/>
        <item m="1" x="1385"/>
        <item m="1" x="709"/>
        <item m="1" x="1411"/>
        <item m="1" x="733"/>
        <item m="1" x="54"/>
        <item m="1" x="759"/>
        <item m="1" x="83"/>
        <item m="1" x="785"/>
        <item m="1" x="111"/>
        <item m="1" x="813"/>
        <item m="1" x="134"/>
        <item m="1" x="834"/>
        <item m="1" x="159"/>
        <item m="1" x="859"/>
        <item m="1" x="184"/>
        <item m="1" x="882"/>
        <item m="1" x="212"/>
        <item m="1" x="908"/>
        <item m="1" x="239"/>
        <item m="1" x="932"/>
        <item m="1" x="1323"/>
        <item m="1" x="650"/>
        <item m="1" x="1344"/>
        <item m="1" x="670"/>
        <item m="1" x="1364"/>
        <item m="1" x="690"/>
        <item m="1" x="1389"/>
        <item m="1" x="713"/>
        <item m="1" x="1415"/>
        <item m="1" x="737"/>
        <item m="1" x="58"/>
        <item m="1" x="763"/>
        <item m="1" x="87"/>
        <item m="1" x="789"/>
        <item m="1" x="115"/>
        <item m="1" x="817"/>
        <item m="1" x="138"/>
        <item m="1" x="838"/>
        <item m="1" x="163"/>
        <item m="1" x="863"/>
        <item m="1" x="188"/>
        <item m="1" x="886"/>
        <item m="1" x="216"/>
        <item m="1" x="910"/>
        <item m="1" x="240"/>
        <item m="1" x="933"/>
        <item m="1" x="266"/>
        <item m="1" x="959"/>
        <item m="1" x="292"/>
        <item m="1" x="983"/>
        <item m="1" x="320"/>
        <item m="1" x="1367"/>
        <item m="1" x="693"/>
        <item m="1" x="1392"/>
        <item m="1" x="715"/>
        <item m="1" x="32"/>
        <item m="1" x="740"/>
        <item m="1" x="61"/>
        <item m="1" x="766"/>
        <item m="1" x="90"/>
        <item m="1" x="792"/>
        <item m="1" x="118"/>
        <item m="1" x="820"/>
        <item m="1" x="141"/>
        <item m="1" x="841"/>
        <item m="1" x="166"/>
        <item m="1" x="866"/>
        <item m="1" x="191"/>
        <item m="1" x="889"/>
        <item m="1" x="219"/>
        <item m="1" x="913"/>
        <item m="1" x="243"/>
        <item m="1" x="936"/>
        <item m="1" x="267"/>
        <item m="1" x="960"/>
        <item m="1" x="293"/>
        <item m="1" x="984"/>
        <item m="1" x="1010"/>
        <item m="1" x="347"/>
        <item m="1" x="1035"/>
        <item m="1" x="36"/>
        <item m="1" x="744"/>
        <item m="1" x="65"/>
        <item m="1" x="769"/>
        <item m="1" x="94"/>
        <item m="1" x="796"/>
        <item m="1" x="122"/>
        <item m="1" x="824"/>
        <item m="1" x="145"/>
        <item m="1" x="845"/>
        <item m="1" x="170"/>
        <item m="1" x="870"/>
        <item m="1" x="195"/>
        <item m="1" x="893"/>
        <item m="1" x="224"/>
        <item m="1" x="918"/>
        <item m="1" x="248"/>
        <item m="1" x="940"/>
        <item m="1" x="271"/>
        <item m="1" x="964"/>
        <item m="1" x="297"/>
        <item m="1" x="988"/>
        <item m="1" x="324"/>
        <item m="1" x="1012"/>
        <item m="1" x="349"/>
        <item m="1" x="1037"/>
        <item m="1" x="370"/>
        <item m="1" x="1059"/>
        <item m="1" x="393"/>
        <item m="1" x="1077"/>
        <item m="1" x="415"/>
        <item m="1" x="97"/>
        <item m="1" x="799"/>
        <item m="1" x="125"/>
        <item m="1" x="826"/>
        <item m="1" x="148"/>
        <item m="1" x="173"/>
        <item m="1" x="873"/>
        <item m="1" x="198"/>
        <item m="1" x="896"/>
        <item m="1" x="227"/>
        <item m="1" x="921"/>
        <item m="1" x="251"/>
        <item m="1" x="943"/>
        <item m="1" x="275"/>
        <item m="1" x="968"/>
        <item m="1" x="301"/>
        <item m="1" x="992"/>
        <item m="1" x="328"/>
        <item m="1" x="1015"/>
        <item m="1" x="352"/>
        <item m="1" x="1040"/>
        <item m="1" x="371"/>
        <item m="1" x="1060"/>
        <item m="1" x="394"/>
        <item m="1" x="1078"/>
        <item m="1" x="416"/>
        <item m="1" x="1097"/>
        <item m="1" x="435"/>
        <item m="1" x="1114"/>
        <item m="1" x="452"/>
        <item m="1" x="151"/>
        <item m="1" x="851"/>
        <item m="1" x="176"/>
        <item m="1" x="875"/>
        <item m="1" x="201"/>
        <item m="1" x="898"/>
        <item m="1" x="229"/>
        <item m="1" x="923"/>
        <item m="1" x="253"/>
        <item m="1" x="945"/>
        <item m="1" x="278"/>
        <item m="1" x="970"/>
        <item m="1" x="303"/>
        <item m="1" x="994"/>
        <item m="1" x="330"/>
        <item m="1" x="1018"/>
        <item m="1" x="355"/>
        <item m="1" x="1042"/>
        <item m="1" x="374"/>
        <item m="1" x="1062"/>
        <item m="1" x="397"/>
        <item m="1" x="1080"/>
        <item m="1" x="418"/>
        <item m="1" x="1098"/>
        <item m="1" x="1115"/>
        <item m="1" x="453"/>
        <item m="1" x="1131"/>
        <item m="1" x="469"/>
        <item m="1" x="1147"/>
        <item m="1" x="206"/>
        <item m="1" x="904"/>
        <item m="1" x="234"/>
        <item m="1" x="927"/>
        <item m="1" x="257"/>
        <item m="1" x="949"/>
        <item m="1" x="282"/>
        <item m="1" x="974"/>
        <item m="1" x="307"/>
        <item m="1" x="333"/>
        <item m="1" x="1022"/>
        <item m="1" x="359"/>
        <item m="1" x="1046"/>
        <item m="1" x="379"/>
        <item m="1" x="1065"/>
        <item m="1" x="402"/>
        <item m="1" x="422"/>
        <item m="1" x="1102"/>
        <item m="1" x="439"/>
        <item m="1" x="1118"/>
        <item m="1" x="457"/>
        <item m="1" x="1134"/>
        <item m="1" x="472"/>
        <item m="1" x="1150"/>
        <item m="1" x="487"/>
        <item m="1" x="1165"/>
        <item m="1" x="500"/>
        <item m="1" x="1183"/>
        <item m="1" x="518"/>
        <item m="1" x="262"/>
        <item m="1" x="955"/>
        <item m="1" x="287"/>
        <item m="1" x="978"/>
        <item m="1" x="311"/>
        <item m="1" x="1001"/>
        <item m="1" x="337"/>
        <item m="1" x="1026"/>
        <item m="1" x="363"/>
        <item m="1" x="1050"/>
        <item m="1" x="383"/>
        <item m="1" x="1068"/>
        <item m="1" x="406"/>
        <item m="1" x="1087"/>
        <item m="1" x="426"/>
        <item m="1" x="1106"/>
        <item m="1" x="444"/>
        <item m="1" x="1122"/>
        <item m="1" x="461"/>
        <item m="1" x="1138"/>
        <item m="1" x="476"/>
        <item m="1" x="1154"/>
        <item m="1" x="490"/>
        <item m="1" x="1168"/>
        <item m="1" x="503"/>
        <item m="1" x="1186"/>
        <item m="1" x="521"/>
        <item m="1" x="1202"/>
        <item m="1" x="535"/>
        <item m="1" x="1217"/>
        <item m="1" x="316"/>
        <item m="1" x="1006"/>
        <item m="1" x="342"/>
        <item m="1" x="1030"/>
        <item m="1" x="1054"/>
        <item m="1" x="387"/>
        <item m="1" x="1072"/>
        <item m="1" x="410"/>
        <item m="1" x="1091"/>
        <item m="1" x="430"/>
        <item m="1" x="1110"/>
        <item m="1" x="448"/>
        <item m="1" x="1126"/>
        <item m="1" x="465"/>
        <item m="1" x="1143"/>
        <item m="1" x="481"/>
        <item m="1" x="1158"/>
        <item m="1" x="494"/>
        <item m="1" x="1172"/>
        <item m="1" x="507"/>
        <item m="1" x="1190"/>
        <item m="1" x="525"/>
        <item m="1" x="1205"/>
        <item m="1" x="538"/>
        <item m="1" x="1220"/>
        <item m="1" x="551"/>
        <item m="1" x="1237"/>
        <item m="1" x="564"/>
        <item m="1" x="1256"/>
        <item m="1" x="580"/>
        <item m="1" x="1179"/>
        <item m="1" x="514"/>
        <item m="1" x="1198"/>
        <item m="1" x="531"/>
        <item m="1" x="1229"/>
        <item m="1" x="556"/>
        <item m="1" x="1244"/>
        <item m="1" x="568"/>
        <item m="1" x="1261"/>
        <item m="1" x="586"/>
        <item m="1" x="1274"/>
        <item m="1" x="600"/>
        <item m="1" x="1292"/>
        <item m="1" x="618"/>
        <item m="1" x="1310"/>
        <item m="1" x="637"/>
        <item m="1" x="1331"/>
        <item m="1" x="658"/>
        <item m="1" x="1352"/>
        <item m="1" x="676"/>
        <item m="1" x="1375"/>
        <item m="1" x="700"/>
        <item m="1" x="1401"/>
        <item m="1" x="724"/>
        <item m="1" x="44"/>
        <item m="1" x="750"/>
        <item m="1" x="73"/>
        <item m="1" x="775"/>
        <item m="1" x="102"/>
        <item m="1" x="1212"/>
        <item m="1" x="546"/>
        <item m="1" x="1232"/>
        <item m="1" x="559"/>
        <item m="1" x="1247"/>
        <item m="1" x="571"/>
        <item m="1" x="1264"/>
        <item m="1" x="590"/>
        <item m="1" x="1278"/>
        <item m="1" x="603"/>
        <item m="1" x="1295"/>
        <item m="1" x="621"/>
        <item m="1" x="1313"/>
        <item m="1" x="640"/>
        <item m="1" x="1334"/>
        <item m="1" x="661"/>
        <item m="1" x="1355"/>
        <item m="1" x="680"/>
        <item m="1" x="1379"/>
        <item m="1" x="703"/>
        <item m="1" x="1405"/>
        <item m="1" x="727"/>
        <item m="1" x="48"/>
        <item m="1" x="753"/>
        <item m="1" x="77"/>
        <item m="1" x="779"/>
        <item m="1" x="105"/>
        <item m="1" x="807"/>
        <item m="1" x="1251"/>
        <item m="1" x="575"/>
        <item m="1" x="1268"/>
        <item m="1" x="593"/>
        <item m="1" x="1282"/>
        <item m="1" x="607"/>
        <item m="1" x="1299"/>
        <item m="1" x="625"/>
        <item m="1" x="1317"/>
        <item m="1" x="644"/>
        <item m="1" x="1338"/>
        <item m="1" x="665"/>
        <item m="1" x="1359"/>
        <item m="1" x="684"/>
        <item m="1" x="1383"/>
        <item m="1" x="707"/>
        <item m="1" x="1409"/>
        <item m="1" x="731"/>
        <item m="1" x="52"/>
        <item m="1" x="757"/>
        <item m="1" x="81"/>
        <item m="1" x="783"/>
        <item m="1" x="109"/>
        <item m="1" x="810"/>
        <item m="1" x="133"/>
        <item m="1" x="833"/>
        <item m="1" x="158"/>
        <item m="1" x="858"/>
        <item m="1" x="183"/>
        <item m="1" x="881"/>
        <item m="1" x="211"/>
        <item m="1" x="1286"/>
        <item m="1" x="611"/>
        <item m="1" x="1303"/>
        <item m="1" x="628"/>
        <item m="1" x="1321"/>
        <item m="1" x="648"/>
        <item m="1" x="1342"/>
        <item m="1" x="669"/>
        <item m="1" x="688"/>
        <item m="1" x="1387"/>
        <item m="1" x="711"/>
        <item m="1" x="1413"/>
        <item m="1" x="735"/>
        <item m="1" x="56"/>
        <item m="1" x="761"/>
        <item m="1" x="85"/>
        <item m="1" x="787"/>
        <item m="1" x="113"/>
        <item m="1" x="815"/>
        <item m="1" x="136"/>
        <item m="1" x="836"/>
        <item m="1" x="161"/>
        <item m="1" x="861"/>
        <item m="1" x="186"/>
        <item m="1" x="884"/>
        <item m="1" x="214"/>
        <item m="1" x="909"/>
        <item m="1" x="1325"/>
        <item m="1" x="1368"/>
        <item m="1" x="695"/>
        <item m="1" x="1394"/>
        <item m="1" x="717"/>
        <item m="1" x="34"/>
        <item m="1" x="742"/>
        <item m="1" x="63"/>
        <item m="1" x="768"/>
        <item m="1" x="92"/>
        <item m="1" x="794"/>
        <item m="1" x="120"/>
        <item m="1" x="822"/>
        <item m="1" x="143"/>
        <item m="1" x="843"/>
        <item m="1" x="168"/>
        <item m="1" x="868"/>
        <item m="1" x="193"/>
        <item m="1" x="891"/>
        <item m="1" x="221"/>
        <item m="1" x="915"/>
        <item m="1" x="245"/>
        <item m="1" x="938"/>
        <item m="1" x="269"/>
        <item m="1" x="962"/>
        <item m="1" x="295"/>
        <item m="1" x="986"/>
        <item m="1" x="322"/>
        <item m="1" x="1011"/>
        <item m="1" x="348"/>
        <item m="1" x="1036"/>
        <item m="1" x="153"/>
        <item m="1" x="853"/>
        <item m="1" x="178"/>
        <item m="1" x="877"/>
        <item m="1" x="204"/>
        <item m="1" x="902"/>
        <item m="1" x="232"/>
        <item m="1" x="926"/>
        <item m="1" x="256"/>
        <item m="1" x="948"/>
        <item m="1" x="281"/>
        <item m="1" x="973"/>
        <item m="1" x="306"/>
        <item m="1" x="997"/>
        <item m="1" x="332"/>
        <item m="1" x="1021"/>
        <item m="1" x="358"/>
        <item m="1" x="1045"/>
        <item m="1" x="377"/>
        <item m="1" x="400"/>
        <item m="1" x="1083"/>
        <item m="1" x="421"/>
        <item m="1" x="1101"/>
        <item m="1" x="438"/>
        <item m="1" x="456"/>
        <item m="1" x="1133"/>
        <item m="1" x="471"/>
        <item m="1" x="1149"/>
        <item m="1" x="208"/>
        <item m="1" x="906"/>
        <item m="1" x="929"/>
        <item m="1" x="260"/>
        <item m="1" x="953"/>
        <item m="1" x="285"/>
        <item m="1" x="977"/>
        <item m="1" x="310"/>
        <item m="1" x="1000"/>
        <item m="1" x="336"/>
        <item m="1" x="1025"/>
        <item m="1" x="362"/>
        <item m="1" x="1049"/>
        <item m="1" x="382"/>
        <item m="1" x="405"/>
        <item m="1" x="1086"/>
        <item m="1" x="425"/>
        <item m="1" x="1105"/>
        <item m="1" x="442"/>
        <item m="1" x="1121"/>
        <item m="1" x="460"/>
        <item m="1" x="1137"/>
        <item m="1" x="475"/>
        <item m="1" x="1153"/>
        <item m="1" x="489"/>
        <item m="1" x="1167"/>
        <item m="1" x="502"/>
        <item m="1" x="1185"/>
        <item m="1" x="520"/>
        <item m="1" x="264"/>
        <item m="1" x="957"/>
        <item m="1" x="289"/>
        <item m="1" x="980"/>
        <item m="1" x="314"/>
        <item m="1" x="1004"/>
        <item m="1" x="340"/>
        <item m="1" x="1029"/>
        <item m="1" x="365"/>
        <item m="1" x="1053"/>
        <item m="1" x="386"/>
        <item m="1" x="1071"/>
        <item m="1" x="409"/>
        <item m="1" x="1090"/>
        <item m="1" x="429"/>
        <item m="1" x="1109"/>
        <item m="1" x="447"/>
        <item m="1" x="1125"/>
        <item m="1" x="464"/>
        <item m="1" x="1141"/>
        <item m="1" x="479"/>
        <item m="1" x="1157"/>
        <item m="1" x="493"/>
        <item m="1" x="1171"/>
        <item m="1" x="506"/>
        <item m="1" x="1189"/>
        <item m="1" x="524"/>
        <item m="1" x="1204"/>
        <item m="1" x="537"/>
        <item m="1" x="1219"/>
        <item m="1" x="318"/>
        <item m="1" x="1008"/>
        <item m="1" x="344"/>
        <item m="1" x="1032"/>
        <item m="1" x="367"/>
        <item m="1" x="1056"/>
        <item m="1" x="389"/>
        <item m="1" x="1074"/>
        <item m="1" x="412"/>
        <item m="1" x="1093"/>
        <item m="1" x="432"/>
        <item m="1" x="1112"/>
        <item m="1" x="450"/>
        <item m="1" x="1128"/>
        <item m="1" x="467"/>
        <item m="1" x="1145"/>
        <item m="1" x="483"/>
        <item m="1" x="1160"/>
        <item m="1" x="496"/>
        <item m="1" x="1174"/>
        <item m="1" x="509"/>
        <item m="1" x="1192"/>
        <item m="1" x="527"/>
        <item m="1" x="1207"/>
        <item m="1" x="540"/>
        <item m="1" x="1222"/>
        <item m="1" x="552"/>
        <item m="1" x="1238"/>
        <item m="1" x="565"/>
        <item m="1" x="1257"/>
        <item m="1" x="581"/>
        <item m="1" x="1180"/>
        <item m="1" x="515"/>
        <item m="1" x="1199"/>
        <item m="1" x="532"/>
        <item m="1" x="1211"/>
        <item m="1" x="545"/>
        <item m="1" x="1231"/>
        <item m="1" x="558"/>
        <item m="1" x="1246"/>
        <item m="1" x="570"/>
        <item m="1" x="1263"/>
        <item m="1" x="588"/>
        <item m="1" x="1276"/>
        <item m="1" x="602"/>
        <item m="1" x="1294"/>
        <item m="1" x="620"/>
        <item m="1" x="1312"/>
        <item m="1" x="639"/>
        <item m="1" x="1333"/>
        <item m="1" x="660"/>
        <item m="1" x="1354"/>
        <item m="1" x="679"/>
        <item m="1" x="1378"/>
        <item m="1" x="702"/>
        <item m="1" x="1404"/>
        <item m="1" x="726"/>
        <item m="1" x="47"/>
        <item m="1" x="752"/>
        <item m="1" x="76"/>
        <item m="1" x="778"/>
        <item m="1" x="104"/>
        <item m="1" x="1214"/>
        <item m="1" x="548"/>
        <item m="1" x="1234"/>
        <item m="1" x="561"/>
        <item m="1" x="1250"/>
        <item m="1" x="574"/>
        <item m="1" x="1267"/>
        <item m="1" x="592"/>
        <item m="1" x="1281"/>
        <item m="1" x="606"/>
        <item m="1" x="1298"/>
        <item m="1" x="624"/>
        <item m="1" x="1316"/>
        <item m="1" x="643"/>
        <item m="1" x="1337"/>
        <item m="1" x="664"/>
        <item m="1" x="1358"/>
        <item m="1" x="683"/>
        <item m="1" x="1382"/>
        <item m="1" x="706"/>
        <item m="1" x="1408"/>
        <item m="1" x="730"/>
        <item m="1" x="51"/>
        <item m="1" x="756"/>
        <item m="1" x="80"/>
        <item m="1" x="782"/>
        <item m="1" x="108"/>
        <item m="1" x="809"/>
        <item m="1" x="1253"/>
        <item m="1" x="577"/>
        <item m="1" x="1270"/>
        <item m="1" x="595"/>
        <item m="1" x="1285"/>
        <item m="1" x="610"/>
        <item m="1" x="1302"/>
        <item m="1" x="627"/>
        <item m="1" x="1320"/>
        <item m="1" x="647"/>
        <item m="1" x="1341"/>
        <item m="1" x="668"/>
        <item m="1" x="1362"/>
        <item m="1" x="687"/>
        <item m="1" x="1386"/>
        <item m="1" x="710"/>
        <item m="1" x="1412"/>
        <item m="1" x="734"/>
        <item m="1" x="55"/>
        <item m="1" x="760"/>
        <item m="1" x="84"/>
        <item m="1" x="786"/>
        <item m="1" x="112"/>
        <item m="1" x="814"/>
        <item m="1" x="135"/>
        <item m="1" x="835"/>
        <item m="1" x="160"/>
        <item m="1" x="860"/>
        <item m="1" x="185"/>
        <item m="1" x="883"/>
        <item m="1" x="213"/>
        <item m="1" x="1288"/>
        <item m="1" x="613"/>
        <item m="1" x="1305"/>
        <item m="1" x="630"/>
        <item m="1" x="1324"/>
        <item m="1" x="651"/>
        <item m="1" x="1345"/>
        <item m="1" x="671"/>
        <item m="1" x="1365"/>
        <item m="1" x="691"/>
        <item m="1" x="1390"/>
        <item m="1" x="714"/>
        <item m="1" x="1416"/>
        <item m="1" x="738"/>
        <item m="1" x="59"/>
        <item m="1" x="764"/>
        <item m="1" x="88"/>
        <item m="1" x="790"/>
        <item m="1" x="116"/>
        <item m="1" x="818"/>
        <item m="1" x="139"/>
        <item m="1" x="839"/>
        <item m="1" x="164"/>
        <item m="1" x="864"/>
        <item m="1" x="189"/>
        <item m="1" x="887"/>
        <item m="1" x="217"/>
        <item m="1" x="911"/>
        <item m="1" x="241"/>
        <item m="1" x="934"/>
        <item m="1" x="1327"/>
        <item m="1" x="653"/>
        <item m="1" x="1347"/>
        <item m="1" x="673"/>
        <item m="1" x="694"/>
        <item m="1" x="1393"/>
        <item m="1" x="716"/>
        <item m="1" x="33"/>
        <item m="1" x="741"/>
        <item m="1" x="62"/>
        <item m="1" x="767"/>
        <item m="1" x="91"/>
        <item m="1" x="793"/>
        <item m="1" x="119"/>
        <item m="1" x="821"/>
        <item m="1" x="142"/>
        <item m="1" x="842"/>
        <item m="1" x="167"/>
        <item m="1" x="867"/>
        <item m="1" x="192"/>
        <item m="1" x="890"/>
        <item m="1" x="220"/>
        <item m="1" x="914"/>
        <item m="1" x="244"/>
        <item m="1" x="937"/>
        <item m="1" x="268"/>
        <item m="1" x="961"/>
        <item m="1" x="294"/>
        <item m="1" x="985"/>
        <item m="1" x="321"/>
        <item m="1" x="1370"/>
        <item m="1" x="697"/>
        <item m="1" x="1396"/>
        <item m="1" x="719"/>
        <item m="1" x="37"/>
        <item m="1" x="745"/>
        <item m="1" x="66"/>
        <item m="1" x="770"/>
        <item m="1" x="95"/>
        <item m="1" x="797"/>
        <item m="1" x="123"/>
        <item m="1" x="825"/>
        <item m="1" x="146"/>
        <item m="1" x="846"/>
        <item m="1" x="171"/>
        <item m="1" x="871"/>
        <item m="1" x="196"/>
        <item m="1" x="894"/>
        <item m="1" x="225"/>
        <item m="1" x="919"/>
        <item m="1" x="249"/>
        <item m="1" x="941"/>
        <item m="1" x="272"/>
        <item m="1" x="965"/>
        <item m="1" x="298"/>
        <item m="1" x="989"/>
        <item m="1" x="325"/>
        <item m="1" x="1013"/>
        <item m="1" x="350"/>
        <item m="1" x="1038"/>
        <item m="1" x="39"/>
        <item m="1" x="747"/>
        <item m="1" x="68"/>
        <item m="1" x="772"/>
        <item m="1" x="98"/>
        <item m="1" x="800"/>
        <item m="1" x="126"/>
        <item m="1" x="827"/>
        <item m="1" x="149"/>
        <item m="1" x="848"/>
        <item m="1" x="174"/>
        <item m="1" x="874"/>
        <item m="1" x="199"/>
        <item m="1" x="897"/>
        <item m="1" x="228"/>
        <item m="1" x="922"/>
        <item m="1" x="252"/>
        <item m="1" x="944"/>
        <item m="1" x="276"/>
        <item m="1" x="969"/>
        <item m="1" x="302"/>
        <item m="1" x="993"/>
        <item m="1" x="329"/>
        <item m="1" x="1016"/>
        <item m="1" x="353"/>
        <item m="1" x="1041"/>
        <item m="1" x="372"/>
        <item m="1" x="1061"/>
        <item m="1" x="395"/>
        <item m="1" x="1079"/>
        <item m="1" x="417"/>
        <item m="1" x="99"/>
        <item m="1" x="801"/>
        <item m="1" x="128"/>
        <item m="1" x="829"/>
        <item m="1" x="152"/>
        <item m="1" x="852"/>
        <item m="1" x="177"/>
        <item m="1" x="876"/>
        <item m="1" x="202"/>
        <item m="1" x="899"/>
        <item m="1" x="230"/>
        <item m="1" x="924"/>
        <item m="1" x="254"/>
        <item m="1" x="946"/>
        <item m="1" x="279"/>
        <item m="1" x="971"/>
        <item m="1" x="304"/>
        <item m="1" x="995"/>
        <item m="1" x="331"/>
        <item m="1" x="1019"/>
        <item m="1" x="356"/>
        <item m="1" x="1043"/>
        <item m="1" x="375"/>
        <item m="1" x="1063"/>
        <item m="1" x="398"/>
        <item m="1" x="1081"/>
        <item m="1" x="419"/>
        <item m="1" x="1099"/>
        <item m="1" x="436"/>
        <item m="1" x="1116"/>
        <item m="1" x="454"/>
        <item m="1" x="154"/>
        <item m="1" x="854"/>
        <item m="1" x="180"/>
        <item m="1" x="879"/>
        <item m="1" x="207"/>
        <item m="1" x="905"/>
        <item m="1" x="235"/>
        <item m="1" x="928"/>
        <item m="1" x="258"/>
        <item m="1" x="950"/>
        <item m="1" x="283"/>
        <item m="1" x="975"/>
        <item m="1" x="308"/>
        <item m="1" x="998"/>
        <item m="1" x="334"/>
        <item m="1" x="1023"/>
        <item m="1" x="360"/>
        <item m="1" x="1047"/>
        <item m="1" x="380"/>
        <item m="1" x="1066"/>
        <item m="1" x="403"/>
        <item m="1" x="1084"/>
        <item m="1" x="423"/>
        <item m="1" x="1103"/>
        <item m="1" x="440"/>
        <item m="1" x="1119"/>
        <item m="1" x="458"/>
        <item m="1" x="1135"/>
        <item m="1" x="473"/>
        <item m="1" x="1151"/>
        <item m="1" x="209"/>
        <item m="1" x="907"/>
        <item m="1" x="237"/>
        <item m="1" x="931"/>
        <item m="1" x="263"/>
        <item m="1" x="956"/>
        <item m="1" x="288"/>
        <item m="1" x="979"/>
        <item m="1" x="312"/>
        <item m="1" x="1002"/>
        <item m="1" x="338"/>
        <item m="1" x="1027"/>
        <item m="1" x="364"/>
        <item m="1" x="1051"/>
        <item m="1" x="384"/>
        <item m="1" x="1069"/>
        <item m="1" x="407"/>
        <item m="1" x="1088"/>
        <item m="1" x="427"/>
        <item m="1" x="1107"/>
        <item m="1" x="445"/>
        <item m="1" x="1123"/>
        <item m="1" x="462"/>
        <item m="1" x="1139"/>
        <item m="1" x="477"/>
        <item m="1" x="1155"/>
        <item m="1" x="491"/>
        <item m="1" x="1169"/>
        <item m="1" x="504"/>
        <item m="1" x="1187"/>
        <item m="1" x="522"/>
        <item m="1" x="265"/>
        <item m="1" x="958"/>
        <item m="1" x="291"/>
        <item m="1" x="982"/>
        <item m="1" x="317"/>
        <item m="1" x="1007"/>
        <item m="1" x="343"/>
        <item m="1" x="1031"/>
        <item m="1" x="366"/>
        <item m="1" x="1055"/>
        <item m="1" x="388"/>
        <item m="1" x="1073"/>
        <item m="1" x="411"/>
        <item m="1" x="1092"/>
        <item m="1" x="431"/>
        <item m="1" x="1111"/>
        <item m="1" x="449"/>
        <item m="1" x="1127"/>
        <item m="1" x="466"/>
        <item m="1" x="1144"/>
        <item m="1" x="482"/>
        <item m="1" x="1159"/>
        <item m="1" x="495"/>
        <item m="1" x="1173"/>
        <item m="1" x="508"/>
        <item m="1" x="1191"/>
        <item m="1" x="526"/>
        <item m="1" x="1206"/>
        <item m="1" x="539"/>
        <item m="1" x="1221"/>
        <item m="1" x="319"/>
        <item m="1" x="1009"/>
        <item m="1" x="346"/>
        <item m="1" x="1034"/>
        <item m="1" x="369"/>
        <item m="1" x="1058"/>
        <item m="1" x="391"/>
        <item m="1" x="1075"/>
        <item m="1" x="413"/>
        <item m="1" x="1094"/>
        <item m="1" x="433"/>
        <item m="1" x="1113"/>
        <item m="1" x="451"/>
        <item m="1" x="1129"/>
        <item m="1" x="468"/>
        <item m="1" x="1146"/>
        <item m="1" x="484"/>
        <item m="1" x="1161"/>
        <item m="1" x="497"/>
        <item m="1" x="1176"/>
        <item m="1" x="511"/>
        <item m="1" x="1193"/>
        <item m="1" x="541"/>
        <item m="1" x="1223"/>
        <item m="1" x="553"/>
        <item m="1" x="1239"/>
        <item m="1" x="566"/>
        <item m="1" x="1258"/>
        <item m="1" x="582"/>
        <item m="1" x="1181"/>
        <item m="1" x="516"/>
        <item m="1" x="1200"/>
        <item m="1" x="533"/>
        <item m="1" x="1213"/>
        <item m="1" x="547"/>
        <item m="1" x="1233"/>
        <item m="1" x="560"/>
        <item m="1" x="1248"/>
        <item m="1" x="572"/>
        <item m="1" x="1265"/>
        <item x="0"/>
        <item m="1" x="1279"/>
        <item m="1" x="604"/>
        <item m="1" x="1296"/>
        <item m="1" x="622"/>
        <item m="1" x="1314"/>
        <item m="1" x="641"/>
        <item m="1" x="1335"/>
        <item m="1" x="662"/>
        <item m="1" x="1356"/>
        <item m="1" x="681"/>
        <item m="1" x="1380"/>
        <item m="1" x="704"/>
        <item m="1" x="1406"/>
        <item m="1" x="728"/>
        <item m="1" x="49"/>
        <item m="1" x="754"/>
        <item m="1" x="78"/>
        <item m="1" x="780"/>
        <item m="1" x="106"/>
        <item m="1" x="1215"/>
        <item m="1" x="549"/>
        <item m="1" x="1235"/>
        <item m="1" x="562"/>
        <item m="1" x="1252"/>
        <item m="1" x="576"/>
        <item m="1" x="1269"/>
        <item m="1" x="594"/>
        <item m="1" x="1283"/>
        <item m="1" x="608"/>
        <item m="1" x="1300"/>
        <item x="1"/>
        <item m="1" x="1318"/>
        <item m="1" x="645"/>
        <item m="1" x="1339"/>
        <item m="1" x="666"/>
        <item m="1" x="1360"/>
        <item m="1" x="685"/>
        <item m="1" x="1384"/>
        <item m="1" x="708"/>
        <item m="1" x="1410"/>
        <item m="1" x="732"/>
        <item m="1" x="53"/>
        <item m="1" x="758"/>
        <item m="1" x="82"/>
        <item m="1" x="784"/>
        <item m="1" x="110"/>
        <item m="1" x="811"/>
        <item m="1" x="1254"/>
        <item m="1" x="578"/>
        <item m="1" x="1271"/>
        <item m="1" x="596"/>
        <item m="1" x="1287"/>
        <item m="1" x="612"/>
        <item m="1" x="1304"/>
        <item m="1" x="629"/>
        <item m="1" x="1322"/>
        <item m="1" x="649"/>
        <item m="1" x="1343"/>
        <item x="2"/>
        <item m="1" x="1363"/>
        <item m="1" x="689"/>
        <item m="1" x="1388"/>
        <item m="1" x="712"/>
        <item m="1" x="1414"/>
        <item m="1" x="736"/>
        <item m="1" x="57"/>
        <item m="1" x="762"/>
        <item m="1" x="86"/>
        <item m="1" x="788"/>
        <item m="1" x="114"/>
        <item m="1" x="816"/>
        <item m="1" x="137"/>
        <item m="1" x="837"/>
        <item m="1" x="162"/>
        <item m="1" x="862"/>
        <item m="1" x="187"/>
        <item m="1" x="885"/>
        <item m="1" x="215"/>
        <item m="1" x="1289"/>
        <item m="1" x="614"/>
        <item m="1" x="1306"/>
        <item m="1" x="631"/>
        <item m="1" x="1326"/>
        <item m="1" x="652"/>
        <item m="1" x="1346"/>
        <item m="1" x="672"/>
        <item m="1" x="1366"/>
        <item m="1" x="692"/>
        <item m="1" x="1391"/>
        <item x="3"/>
        <item m="1" x="31"/>
        <item m="1" x="739"/>
        <item m="1" x="60"/>
        <item m="1" x="765"/>
        <item m="1" x="89"/>
        <item m="1" x="791"/>
        <item m="1" x="117"/>
        <item m="1" x="819"/>
        <item m="1" x="140"/>
        <item m="1" x="840"/>
        <item m="1" x="165"/>
        <item m="1" x="865"/>
        <item m="1" x="190"/>
        <item m="1" x="888"/>
        <item m="1" x="218"/>
        <item m="1" x="912"/>
        <item m="1" x="242"/>
        <item m="1" x="935"/>
        <item m="1" x="1328"/>
        <item m="1" x="654"/>
        <item m="1" x="1348"/>
        <item m="1" x="674"/>
        <item m="1" x="1369"/>
        <item m="1" x="696"/>
        <item m="1" x="1395"/>
        <item m="1" x="718"/>
        <item m="1" x="35"/>
        <item m="1" x="743"/>
        <item m="1" x="64"/>
        <item x="4"/>
        <item m="1" x="93"/>
        <item m="1" x="795"/>
        <item m="1" x="121"/>
        <item m="1" x="823"/>
        <item m="1" x="144"/>
        <item m="1" x="844"/>
        <item m="1" x="169"/>
        <item m="1" x="869"/>
        <item m="1" x="194"/>
        <item m="1" x="892"/>
        <item m="1" x="222"/>
        <item m="1" x="916"/>
        <item m="1" x="246"/>
        <item m="1" x="939"/>
        <item m="1" x="270"/>
        <item m="1" x="963"/>
        <item m="1" x="296"/>
        <item m="1" x="987"/>
        <item m="1" x="323"/>
        <item m="1" x="1371"/>
        <item m="1" x="698"/>
        <item m="1" x="1397"/>
        <item m="1" x="720"/>
        <item m="1" x="38"/>
        <item m="1" x="746"/>
        <item m="1" x="67"/>
        <item m="1" x="771"/>
        <item m="1" x="96"/>
        <item m="1" x="798"/>
        <item m="1" x="124"/>
        <item x="5"/>
        <item m="1" x="147"/>
        <item m="1" x="847"/>
        <item m="1" x="172"/>
        <item m="1" x="872"/>
        <item m="1" x="197"/>
        <item m="1" x="895"/>
        <item m="1" x="226"/>
        <item m="1" x="920"/>
        <item m="1" x="250"/>
        <item m="1" x="942"/>
        <item m="1" x="274"/>
        <item m="1" x="967"/>
        <item m="1" x="300"/>
        <item m="1" x="991"/>
        <item m="1" x="327"/>
        <item m="1" x="1014"/>
        <item m="1" x="351"/>
        <item m="1" x="1039"/>
        <item m="1" x="127"/>
        <item m="1" x="828"/>
        <item m="1" x="150"/>
        <item m="1" x="850"/>
        <item m="1" x="175"/>
        <item x="6"/>
        <item m="1" x="200"/>
        <item m="1" x="179"/>
        <item m="1" x="878"/>
        <item m="1" x="205"/>
        <item m="1" x="903"/>
        <item m="1" x="233"/>
        <item x="7"/>
        <item m="1" x="236"/>
        <item m="1" x="930"/>
        <item m="1" x="261"/>
        <item m="1" x="954"/>
        <item m="1" x="286"/>
        <item x="8"/>
        <item m="1" x="290"/>
        <item m="1" x="981"/>
        <item m="1" x="315"/>
        <item m="1" x="1005"/>
        <item m="1" x="341"/>
        <item x="9"/>
        <item m="1" x="345"/>
        <item m="1" x="1033"/>
        <item m="1" x="368"/>
        <item m="1" x="1057"/>
        <item m="1" x="390"/>
        <item x="10"/>
        <item m="1" x="392"/>
        <item m="1" x="1076"/>
        <item m="1" x="414"/>
        <item m="1" x="1096"/>
        <item m="1" x="434"/>
        <item x="11"/>
      </items>
    </pivotField>
    <pivotField compact="0" outline="0" showAll="0" defaultSubtotal="0"/>
    <pivotField name="D" axis="axisRow" compact="0" subtotalTop="0" showAll="0" defaultSubtotal="0">
      <items count="626">
        <item m="1" x="186"/>
        <item m="1" x="431"/>
        <item m="1" x="185"/>
        <item m="1" x="342"/>
        <item m="1" x="214"/>
        <item m="1" x="317"/>
        <item m="1" x="537"/>
        <item m="1" x="534"/>
        <item m="1" x="30"/>
        <item m="1" x="266"/>
        <item m="1" x="369"/>
        <item m="1" x="302"/>
        <item m="1" x="428"/>
        <item m="1" x="538"/>
        <item m="1" x="539"/>
        <item m="1" x="207"/>
        <item m="1" x="287"/>
        <item m="1" x="557"/>
        <item m="1" x="550"/>
        <item m="1" x="113"/>
        <item m="1" x="224"/>
        <item m="1" x="262"/>
        <item m="1" x="455"/>
        <item m="1" x="615"/>
        <item m="1" x="276"/>
        <item m="1" x="499"/>
        <item m="1" x="309"/>
        <item m="1" x="375"/>
        <item m="1" x="187"/>
        <item m="1" x="430"/>
        <item m="1" x="272"/>
        <item m="1" x="531"/>
        <item m="1" x="293"/>
        <item m="1" x="361"/>
        <item m="1" x="114"/>
        <item m="1" x="322"/>
        <item m="1" x="211"/>
        <item m="1" x="387"/>
        <item m="1" x="407"/>
        <item m="1" x="540"/>
        <item m="1" x="435"/>
        <item m="1" x="256"/>
        <item m="1" x="296"/>
        <item m="1" x="347"/>
        <item m="1" x="393"/>
        <item m="1" x="454"/>
        <item m="1" x="528"/>
        <item m="1" x="441"/>
        <item m="1" x="611"/>
        <item m="1" x="622"/>
        <item m="1" x="553"/>
        <item m="1" x="609"/>
        <item m="1" x="103"/>
        <item m="1" x="536"/>
        <item m="1" x="464"/>
        <item m="1" x="38"/>
        <item m="1" x="560"/>
        <item m="1" x="259"/>
        <item m="1" x="226"/>
        <item m="1" x="158"/>
        <item m="1" x="310"/>
        <item m="1" x="144"/>
        <item m="1" x="339"/>
        <item m="1" x="456"/>
        <item m="1" x="25"/>
        <item m="1" x="558"/>
        <item m="1" x="159"/>
        <item m="1" x="121"/>
        <item m="1" x="95"/>
        <item m="1" x="417"/>
        <item m="1" x="595"/>
        <item m="1" x="572"/>
        <item m="1" x="423"/>
        <item m="1" x="160"/>
        <item m="1" x="301"/>
        <item m="1" x="518"/>
        <item m="1" x="596"/>
        <item m="1" x="365"/>
        <item m="1" x="527"/>
        <item m="1" x="39"/>
        <item m="1" x="31"/>
        <item m="1" x="442"/>
        <item m="1" x="511"/>
        <item m="1" x="473"/>
        <item m="1" x="353"/>
        <item m="1" x="71"/>
        <item m="1" x="9"/>
        <item m="1" x="32"/>
        <item m="1" x="260"/>
        <item m="1" x="52"/>
        <item m="1" x="331"/>
        <item m="1" x="618"/>
        <item m="1" x="459"/>
        <item m="1" x="413"/>
        <item m="1" x="526"/>
        <item m="1" x="378"/>
        <item m="1" x="316"/>
        <item m="1" x="330"/>
        <item m="1" x="503"/>
        <item m="1" x="168"/>
        <item m="1" x="75"/>
        <item m="1" x="625"/>
        <item m="1" x="370"/>
        <item m="1" x="502"/>
        <item m="1" x="128"/>
        <item m="1" x="576"/>
        <item m="1" x="372"/>
        <item m="1" x="136"/>
        <item m="1" x="397"/>
        <item m="1" x="152"/>
        <item m="1" x="513"/>
        <item m="1" x="448"/>
        <item m="1" x="367"/>
        <item m="1" x="360"/>
        <item m="1" x="420"/>
        <item m="1" x="453"/>
        <item m="1" x="96"/>
        <item m="1" x="179"/>
        <item m="1" x="621"/>
        <item m="1" x="312"/>
        <item m="1" x="383"/>
        <item m="1" x="243"/>
        <item m="1" x="382"/>
        <item m="1" x="88"/>
        <item m="1" x="223"/>
        <item m="1" x="65"/>
        <item m="1" x="227"/>
        <item m="1" x="545"/>
        <item m="1" x="83"/>
        <item m="1" x="196"/>
        <item m="1" x="62"/>
        <item m="1" x="598"/>
        <item m="1" x="412"/>
        <item m="1" x="58"/>
        <item m="1" x="11"/>
        <item m="1" x="230"/>
        <item m="1" x="238"/>
        <item m="1" x="48"/>
        <item m="1" x="162"/>
        <item m="1" x="67"/>
        <item m="1" x="460"/>
        <item m="1" x="354"/>
        <item m="1" x="129"/>
        <item m="1" x="432"/>
        <item m="1" x="478"/>
        <item m="1" x="275"/>
        <item m="1" x="483"/>
        <item m="1" x="366"/>
        <item m="1" x="562"/>
        <item m="1" x="231"/>
        <item m="1" x="496"/>
        <item m="1" x="108"/>
        <item m="1" x="279"/>
        <item m="1" x="419"/>
        <item m="1" x="452"/>
        <item m="1" x="154"/>
        <item m="1" x="137"/>
        <item m="1" x="109"/>
        <item m="1" x="45"/>
        <item m="1" x="135"/>
        <item m="1" x="589"/>
        <item m="1" x="358"/>
        <item m="1" x="278"/>
        <item m="1" x="507"/>
        <item m="1" x="599"/>
        <item m="1" x="400"/>
        <item m="1" x="388"/>
        <item m="1" x="228"/>
        <item m="1" x="593"/>
        <item m="1" x="376"/>
        <item m="1" x="336"/>
        <item m="1" x="392"/>
        <item m="1" x="362"/>
        <item m="1" x="173"/>
        <item m="1" x="197"/>
        <item m="1" x="584"/>
        <item m="1" x="98"/>
        <item m="1" x="426"/>
        <item m="1" x="425"/>
        <item m="1" x="555"/>
        <item m="1" x="206"/>
        <item m="1" x="212"/>
        <item m="1" x="34"/>
        <item m="1" x="597"/>
        <item m="1" x="66"/>
        <item m="1" x="104"/>
        <item m="1" x="544"/>
        <item m="1" x="504"/>
        <item m="1" x="205"/>
        <item m="1" x="497"/>
        <item m="1" x="493"/>
        <item m="1" x="510"/>
        <item m="1" x="529"/>
        <item m="1" x="577"/>
        <item m="1" x="217"/>
        <item m="1" x="182"/>
        <item m="1" x="311"/>
        <item m="1" x="76"/>
        <item m="1" x="488"/>
        <item m="1" x="480"/>
        <item m="1" x="475"/>
        <item m="1" x="498"/>
        <item m="1" x="500"/>
        <item m="1" x="508"/>
        <item m="1" x="565"/>
        <item m="1" x="482"/>
        <item m="1" x="476"/>
        <item m="1" x="495"/>
        <item m="1" x="298"/>
        <item m="1" x="15"/>
        <item m="1" x="29"/>
        <item m="1" x="283"/>
        <item m="1" x="614"/>
        <item m="1" x="501"/>
        <item m="1" x="337"/>
        <item m="1" x="177"/>
        <item m="1" x="409"/>
        <item m="1" x="438"/>
        <item m="1" x="280"/>
        <item m="1" x="613"/>
        <item m="1" x="395"/>
        <item m="1" x="153"/>
        <item m="1" x="399"/>
        <item m="1" x="122"/>
        <item m="1" x="69"/>
        <item m="1" x="447"/>
        <item m="1" x="288"/>
        <item m="1" x="463"/>
        <item m="1" x="209"/>
        <item m="1" x="491"/>
        <item m="1" x="506"/>
        <item m="1" x="579"/>
        <item m="1" x="603"/>
        <item m="1" x="620"/>
        <item m="1" x="257"/>
        <item m="1" x="241"/>
        <item m="1" x="92"/>
        <item m="1" x="403"/>
        <item m="1" x="467"/>
        <item m="1" x="13"/>
        <item m="1" x="568"/>
        <item m="1" x="601"/>
        <item m="1" x="575"/>
        <item m="1" x="559"/>
        <item m="1" x="571"/>
        <item m="1" x="590"/>
        <item m="1" x="592"/>
        <item m="1" x="16"/>
        <item m="1" x="249"/>
        <item m="1" x="561"/>
        <item m="1" x="74"/>
        <item m="1" x="240"/>
        <item m="1" x="253"/>
        <item m="1" x="146"/>
        <item m="1" x="90"/>
        <item m="1" x="612"/>
        <item m="1" x="396"/>
        <item m="1" x="440"/>
        <item m="1" x="380"/>
        <item m="1" x="487"/>
        <item m="1" x="443"/>
        <item m="1" x="462"/>
        <item m="1" x="474"/>
        <item m="1" x="254"/>
        <item m="1" x="263"/>
        <item m="1" x="532"/>
        <item m="1" x="486"/>
        <item m="1" x="569"/>
        <item m="1" x="623"/>
        <item m="1" x="17"/>
        <item m="1" x="327"/>
        <item m="1" x="321"/>
        <item m="1" x="277"/>
        <item m="1" x="33"/>
        <item m="1" x="290"/>
        <item m="1" x="389"/>
        <item m="1" x="401"/>
        <item m="1" x="54"/>
        <item m="1" x="72"/>
        <item m="1" x="343"/>
        <item m="1" x="363"/>
        <item m="1" x="533"/>
        <item m="1" x="341"/>
        <item m="1" x="368"/>
        <item m="1" x="340"/>
        <item m="1" x="94"/>
        <item m="1" x="525"/>
        <item m="1" x="70"/>
        <item m="1" x="106"/>
        <item m="1" x="105"/>
        <item m="1" x="169"/>
        <item m="1" x="12"/>
        <item m="1" x="194"/>
        <item m="1" x="156"/>
        <item m="1" x="519"/>
        <item m="1" x="390"/>
        <item m="1" x="357"/>
        <item m="1" x="218"/>
        <item m="1" x="445"/>
        <item m="1" x="489"/>
        <item m="1" x="64"/>
        <item m="1" x="100"/>
        <item m="1" x="22"/>
        <item m="1" x="556"/>
        <item m="1" x="239"/>
        <item m="1" x="315"/>
        <item m="1" x="324"/>
        <item m="1" x="436"/>
        <item m="1" x="570"/>
        <item m="1" x="587"/>
        <item m="1" x="608"/>
        <item m="1" x="8"/>
        <item m="1" x="588"/>
        <item m="1" x="151"/>
        <item m="1" x="512"/>
        <item m="1" x="61"/>
        <item m="1" x="134"/>
        <item m="1" x="374"/>
        <item m="1" x="35"/>
        <item m="1" x="297"/>
        <item m="1" x="271"/>
        <item m="1" x="352"/>
        <item m="1" x="23"/>
        <item m="1" x="585"/>
        <item m="1" x="406"/>
        <item m="1" x="26"/>
        <item m="1" x="359"/>
        <item m="1" x="7"/>
        <item m="1" x="314"/>
        <item m="1" x="133"/>
        <item m="1" x="564"/>
        <item m="1" x="326"/>
        <item x="1"/>
        <item m="1" x="299"/>
        <item m="1" x="318"/>
        <item m="1" x="164"/>
        <item m="1" x="402"/>
        <item m="1" x="111"/>
        <item m="1" x="27"/>
        <item m="1" x="155"/>
        <item m="1" x="46"/>
        <item m="1" x="551"/>
        <item m="1" x="521"/>
        <item m="1" x="384"/>
        <item m="1" x="391"/>
        <item m="1" x="468"/>
        <item m="1" x="178"/>
        <item m="1" x="619"/>
        <item m="1" x="126"/>
        <item m="1" x="236"/>
        <item m="1" x="28"/>
        <item m="1" x="77"/>
        <item m="1" x="235"/>
        <item m="1" x="282"/>
        <item m="1" x="171"/>
        <item m="1" x="60"/>
        <item m="1" x="373"/>
        <item m="1" x="112"/>
        <item m="1" x="273"/>
        <item m="1" x="24"/>
        <item m="1" x="174"/>
        <item m="1" x="410"/>
        <item m="1" x="161"/>
        <item m="1" x="606"/>
        <item m="1" x="530"/>
        <item m="1" x="140"/>
        <item m="1" x="138"/>
        <item m="1" x="350"/>
        <item m="1" x="139"/>
        <item m="1" x="535"/>
        <item m="1" x="172"/>
        <item m="1" x="200"/>
        <item m="1" x="328"/>
        <item m="1" x="385"/>
        <item m="1" x="220"/>
        <item m="1" x="472"/>
        <item m="1" x="86"/>
        <item m="1" x="381"/>
        <item m="1" x="505"/>
        <item m="1" x="244"/>
        <item m="1" x="123"/>
        <item m="1" x="234"/>
        <item m="1" x="87"/>
        <item m="1" x="19"/>
        <item m="1" x="433"/>
        <item m="1" x="333"/>
        <item m="1" x="204"/>
        <item m="1" x="602"/>
        <item x="6"/>
        <item m="1" x="268"/>
        <item m="1" x="379"/>
        <item m="1" x="73"/>
        <item m="1" x="469"/>
        <item m="1" x="515"/>
        <item m="1" x="582"/>
        <item m="1" x="624"/>
        <item m="1" x="394"/>
        <item m="1" x="303"/>
        <item m="1" x="494"/>
        <item m="1" x="541"/>
        <item m="1" x="150"/>
        <item m="1" x="320"/>
        <item m="1" x="434"/>
        <item m="1" x="554"/>
        <item m="1" x="481"/>
        <item m="1" x="345"/>
        <item m="1" x="461"/>
        <item m="1" x="578"/>
        <item m="1" x="49"/>
        <item m="1" x="294"/>
        <item m="1" x="429"/>
        <item m="1" x="522"/>
        <item m="1" x="258"/>
        <item m="1" x="356"/>
        <item m="1" x="421"/>
        <item m="1" x="118"/>
        <item m="1" x="180"/>
        <item m="1" x="175"/>
        <item m="1" x="145"/>
        <item m="1" x="183"/>
        <item m="1" x="40"/>
        <item m="1" x="89"/>
        <item m="1" x="323"/>
        <item m="1" x="245"/>
        <item m="1" x="591"/>
        <item m="1" x="97"/>
        <item m="1" x="225"/>
        <item m="1" x="78"/>
        <item m="1" x="127"/>
        <item m="1" x="574"/>
        <item m="1" x="411"/>
        <item m="1" x="319"/>
        <item m="1" x="147"/>
        <item m="1" x="219"/>
        <item m="1" x="600"/>
        <item m="1" x="221"/>
        <item m="1" x="250"/>
        <item m="1" x="232"/>
        <item m="1" x="202"/>
        <item m="1" x="192"/>
        <item m="1" x="470"/>
        <item m="1" x="610"/>
        <item m="1" x="520"/>
        <item m="1" x="466"/>
        <item m="1" x="142"/>
        <item m="1" x="364"/>
        <item m="1" x="451"/>
        <item m="1" x="201"/>
        <item m="1" x="246"/>
        <item m="1" x="300"/>
        <item m="1" x="222"/>
        <item m="1" x="216"/>
        <item m="1" x="208"/>
        <item m="1" x="117"/>
        <item m="1" x="346"/>
        <item m="1" x="55"/>
        <item m="1" x="405"/>
        <item m="1" x="251"/>
        <item m="1" x="20"/>
        <item m="1" x="616"/>
        <item m="1" x="307"/>
        <item m="1" x="313"/>
        <item m="1" x="416"/>
        <item m="1" x="291"/>
        <item m="1" x="199"/>
        <item m="1" x="63"/>
        <item m="1" x="295"/>
        <item m="1" x="81"/>
        <item m="1" x="285"/>
        <item m="1" x="51"/>
        <item m="1" x="484"/>
        <item m="1" x="181"/>
        <item m="1" x="165"/>
        <item m="1" x="148"/>
        <item m="1" x="566"/>
        <item m="1" x="132"/>
        <item m="1" x="292"/>
        <item m="1" x="163"/>
        <item m="1" x="547"/>
        <item m="1" x="41"/>
        <item m="1" x="36"/>
        <item m="1" x="479"/>
        <item m="1" x="457"/>
        <item m="1" x="188"/>
        <item m="1" x="79"/>
        <item m="1" x="91"/>
        <item m="1" x="107"/>
        <item m="1" x="265"/>
        <item m="1" x="563"/>
        <item m="1" x="304"/>
        <item m="1" x="50"/>
        <item m="1" x="115"/>
        <item m="1" x="344"/>
        <item m="1" x="124"/>
        <item m="1" x="583"/>
        <item m="1" x="141"/>
        <item m="1" x="242"/>
        <item m="1" x="329"/>
        <item m="1" x="233"/>
        <item m="1" x="167"/>
        <item m="1" x="422"/>
        <item m="1" x="351"/>
        <item m="1" x="166"/>
        <item m="1" x="450"/>
        <item m="1" x="195"/>
        <item m="1" x="229"/>
        <item m="1" x="334"/>
        <item m="1" x="289"/>
        <item m="1" x="604"/>
        <item m="1" x="247"/>
        <item m="1" x="190"/>
        <item m="1" x="490"/>
        <item m="1" x="213"/>
        <item m="1" x="269"/>
        <item m="1" x="415"/>
        <item m="1" x="573"/>
        <item m="1" x="59"/>
        <item x="2"/>
        <item m="1" x="308"/>
        <item m="1" x="305"/>
        <item m="1" x="408"/>
        <item m="1" x="542"/>
        <item m="1" x="274"/>
        <item m="1" x="377"/>
        <item m="1" x="255"/>
        <item m="1" x="53"/>
        <item m="1" x="348"/>
        <item m="1" x="580"/>
        <item m="1" x="386"/>
        <item m="1" x="284"/>
        <item m="1" x="237"/>
        <item m="1" x="418"/>
        <item m="1" x="44"/>
        <item m="1" x="125"/>
        <item m="1" x="523"/>
        <item m="1" x="82"/>
        <item m="1" x="414"/>
        <item m="1" x="119"/>
        <item m="1" x="552"/>
        <item m="1" x="93"/>
        <item m="1" x="57"/>
        <item m="1" x="189"/>
        <item m="1" x="485"/>
        <item m="1" x="18"/>
        <item m="1" x="427"/>
        <item m="1" x="149"/>
        <item m="1" x="170"/>
        <item m="1" x="594"/>
        <item m="1" x="184"/>
        <item m="1" x="56"/>
        <item m="1" x="332"/>
        <item m="1" x="42"/>
        <item m="1" x="37"/>
        <item m="1" x="449"/>
        <item m="1" x="99"/>
        <item m="1" x="84"/>
        <item m="1" x="548"/>
        <item m="1" x="267"/>
        <item m="1" x="80"/>
        <item m="1" x="252"/>
        <item m="1" x="193"/>
        <item m="1" x="549"/>
        <item m="1" x="130"/>
        <item m="1" x="116"/>
        <item m="1" x="617"/>
        <item m="1" x="586"/>
        <item m="1" x="355"/>
        <item m="1" x="605"/>
        <item m="1" x="543"/>
        <item m="1" x="471"/>
        <item m="1" x="143"/>
        <item m="1" x="477"/>
        <item m="1" x="176"/>
        <item m="1" x="14"/>
        <item m="1" x="371"/>
        <item m="1" x="437"/>
        <item m="1" x="424"/>
        <item m="1" x="335"/>
        <item m="1" x="248"/>
        <item m="1" x="203"/>
        <item m="1" x="281"/>
        <item m="1" x="43"/>
        <item m="1" x="465"/>
        <item m="1" x="198"/>
        <item m="1" x="101"/>
        <item m="1" x="21"/>
        <item m="1" x="191"/>
        <item m="1" x="607"/>
        <item m="1" x="210"/>
        <item m="1" x="516"/>
        <item m="1" x="68"/>
        <item m="1" x="270"/>
        <item m="1" x="509"/>
        <item m="1" x="131"/>
        <item m="1" x="446"/>
        <item m="1" x="47"/>
        <item m="1" x="325"/>
        <item m="1" x="264"/>
        <item m="1" x="306"/>
        <item m="1" x="546"/>
        <item m="1" x="157"/>
        <item m="1" x="439"/>
        <item m="1" x="458"/>
        <item m="1" x="338"/>
        <item m="1" x="10"/>
        <item m="1" x="349"/>
        <item m="1" x="581"/>
        <item m="1" x="444"/>
        <item m="1" x="398"/>
        <item m="1" x="404"/>
        <item m="1" x="517"/>
        <item m="1" x="286"/>
        <item m="1" x="110"/>
        <item m="1" x="567"/>
        <item m="1" x="85"/>
        <item m="1" x="524"/>
        <item m="1" x="261"/>
        <item m="1" x="102"/>
        <item m="1" x="120"/>
        <item m="1" x="492"/>
        <item m="1" x="514"/>
        <item m="1" x="215"/>
        <item x="0"/>
        <item x="3"/>
        <item x="4"/>
        <item x="5"/>
      </items>
    </pivotField>
    <pivotField compact="0" outline="0" showAll="0" defaultSubtotal="0"/>
    <pivotField axis="axisRow" compact="0" outline="0" subtotalTop="0" showAll="0">
      <items count="152">
        <item m="1" x="124"/>
        <item m="1" x="144"/>
        <item m="1" x="49"/>
        <item m="1" x="147"/>
        <item m="1" x="81"/>
        <item m="1" x="72"/>
        <item m="1" x="67"/>
        <item m="1" x="92"/>
        <item m="1" x="87"/>
        <item m="1" x="44"/>
        <item m="1" x="63"/>
        <item m="1" x="111"/>
        <item m="1" x="95"/>
        <item m="1" x="85"/>
        <item m="1" x="80"/>
        <item m="1" x="78"/>
        <item m="1" x="91"/>
        <item m="1" x="98"/>
        <item m="1" x="90"/>
        <item m="1" x="102"/>
        <item m="1" x="51"/>
        <item m="1" x="100"/>
        <item m="1" x="53"/>
        <item m="1" x="123"/>
        <item m="1" x="149"/>
        <item m="1" x="61"/>
        <item m="1" x="116"/>
        <item m="1" x="145"/>
        <item m="1" x="131"/>
        <item m="1" x="99"/>
        <item m="1" x="54"/>
        <item m="1" x="43"/>
        <item m="1" x="117"/>
        <item m="1" x="118"/>
        <item m="1" x="126"/>
        <item m="1" x="115"/>
        <item m="1" x="58"/>
        <item m="1" x="106"/>
        <item m="1" x="59"/>
        <item m="1" x="75"/>
        <item m="1" x="137"/>
        <item m="1" x="84"/>
        <item m="1" x="64"/>
        <item m="1" x="74"/>
        <item m="1" x="42"/>
        <item m="1" x="97"/>
        <item m="1" x="69"/>
        <item m="1" x="71"/>
        <item m="1" x="89"/>
        <item m="1" x="94"/>
        <item m="1" x="65"/>
        <item m="1" x="88"/>
        <item m="1" x="37"/>
        <item m="1" x="125"/>
        <item m="1" x="103"/>
        <item m="1" x="45"/>
        <item m="1" x="101"/>
        <item m="1" x="56"/>
        <item m="1" x="122"/>
        <item m="1" x="108"/>
        <item m="1" x="134"/>
        <item m="1" x="47"/>
        <item m="1" x="68"/>
        <item m="1" x="77"/>
        <item m="1" x="48"/>
        <item m="1" x="128"/>
        <item m="1" x="140"/>
        <item m="1" x="62"/>
        <item m="1" x="82"/>
        <item m="1" x="104"/>
        <item m="1" x="120"/>
        <item m="1" x="121"/>
        <item m="1" x="40"/>
        <item m="1" x="52"/>
        <item m="1" x="119"/>
        <item m="1" x="143"/>
        <item m="1" x="73"/>
        <item m="1" x="39"/>
        <item m="1" x="142"/>
        <item m="1" x="130"/>
        <item m="1" x="129"/>
        <item m="1" x="127"/>
        <item m="1" x="136"/>
        <item m="1" x="135"/>
        <item m="1" x="55"/>
        <item m="1" x="113"/>
        <item m="1" x="146"/>
        <item m="1" x="112"/>
        <item m="1" x="148"/>
        <item m="1" x="133"/>
        <item m="1" x="36"/>
        <item x="33"/>
        <item x="28"/>
        <item x="0"/>
        <item x="14"/>
        <item x="17"/>
        <item x="18"/>
        <item x="24"/>
        <item x="19"/>
        <item x="20"/>
        <item m="1" x="46"/>
        <item x="23"/>
        <item x="22"/>
        <item m="1" x="110"/>
        <item x="27"/>
        <item m="1" x="141"/>
        <item x="30"/>
        <item m="1" x="76"/>
        <item x="21"/>
        <item x="35"/>
        <item m="1" x="109"/>
        <item m="1" x="38"/>
        <item m="1" x="150"/>
        <item m="1" x="132"/>
        <item x="26"/>
        <item m="1" x="86"/>
        <item m="1" x="50"/>
        <item m="1" x="139"/>
        <item x="29"/>
        <item x="15"/>
        <item m="1" x="96"/>
        <item m="1" x="57"/>
        <item m="1" x="66"/>
        <item m="1" x="138"/>
        <item m="1" x="105"/>
        <item m="1" x="41"/>
        <item x="12"/>
        <item m="1" x="70"/>
        <item x="11"/>
        <item x="25"/>
        <item m="1" x="114"/>
        <item m="1" x="60"/>
        <item m="1" x="107"/>
        <item m="1" x="93"/>
        <item m="1" x="83"/>
        <item x="13"/>
        <item x="1"/>
        <item x="2"/>
        <item x="3"/>
        <item x="4"/>
        <item x="6"/>
        <item x="7"/>
        <item x="8"/>
        <item x="9"/>
        <item x="10"/>
        <item x="5"/>
        <item x="16"/>
        <item x="31"/>
        <item x="32"/>
        <item m="1" x="79"/>
        <item x="34"/>
        <item t="default"/>
      </items>
    </pivotField>
    <pivotField axis="axisRow" dataField="1" compact="0" outline="0" subtotalTop="0" showAll="0" sortType="ascending" defaultSubtotal="0">
      <items count="1725">
        <item m="1" x="117"/>
        <item m="1" x="1630"/>
        <item m="1" x="131"/>
        <item m="1" x="229"/>
        <item m="1" x="1196"/>
        <item m="1" x="1533"/>
        <item m="1" x="402"/>
        <item m="1" x="484"/>
        <item m="1" x="956"/>
        <item m="1" x="1487"/>
        <item m="1" x="1311"/>
        <item m="1" x="208"/>
        <item m="1" x="760"/>
        <item m="1" x="1000"/>
        <item m="1" x="1101"/>
        <item m="1" x="638"/>
        <item m="1" x="1132"/>
        <item m="1" x="242"/>
        <item m="1" x="1694"/>
        <item x="2"/>
        <item m="1" x="640"/>
        <item m="1" x="1421"/>
        <item m="1" x="1564"/>
        <item m="1" x="1363"/>
        <item m="1" x="1445"/>
        <item m="1" x="422"/>
        <item m="1" x="1250"/>
        <item m="1" x="1345"/>
        <item x="21"/>
        <item m="1" x="154"/>
        <item m="1" x="1611"/>
        <item m="1" x="1054"/>
        <item m="1" x="957"/>
        <item m="1" x="179"/>
        <item m="1" x="276"/>
        <item m="1" x="324"/>
        <item m="1" x="1361"/>
        <item m="1" x="910"/>
        <item x="79"/>
        <item m="1" x="413"/>
        <item m="1" x="1377"/>
        <item m="1" x="384"/>
        <item m="1" x="194"/>
        <item x="100"/>
        <item m="1" x="988"/>
        <item m="1" x="1146"/>
        <item x="11"/>
        <item m="1" x="1497"/>
        <item m="1" x="1524"/>
        <item m="1" x="588"/>
        <item x="82"/>
        <item m="1" x="905"/>
        <item m="1" x="1147"/>
        <item m="1" x="728"/>
        <item m="1" x="711"/>
        <item x="30"/>
        <item m="1" x="592"/>
        <item x="12"/>
        <item m="1" x="1403"/>
        <item m="1" x="830"/>
        <item m="1" x="517"/>
        <item x="65"/>
        <item m="1" x="600"/>
        <item m="1" x="122"/>
        <item m="1" x="1002"/>
        <item m="1" x="1218"/>
        <item x="56"/>
        <item m="1" x="681"/>
        <item m="1" x="1277"/>
        <item x="35"/>
        <item m="1" x="414"/>
        <item m="1" x="1634"/>
        <item m="1" x="606"/>
        <item m="1" x="1710"/>
        <item m="1" x="1301"/>
        <item m="1" x="441"/>
        <item m="1" x="1597"/>
        <item x="53"/>
        <item m="1" x="1268"/>
        <item m="1" x="586"/>
        <item m="1" x="379"/>
        <item m="1" x="334"/>
        <item m="1" x="545"/>
        <item x="25"/>
        <item m="1" x="866"/>
        <item m="1" x="227"/>
        <item x="15"/>
        <item m="1" x="446"/>
        <item x="38"/>
        <item m="1" x="295"/>
        <item m="1" x="1492"/>
        <item m="1" x="447"/>
        <item x="37"/>
        <item m="1" x="1191"/>
        <item x="89"/>
        <item m="1" x="875"/>
        <item m="1" x="1476"/>
        <item m="1" x="328"/>
        <item m="1" x="643"/>
        <item m="1" x="823"/>
        <item m="1" x="1340"/>
        <item x="16"/>
        <item m="1" x="202"/>
        <item x="45"/>
        <item m="1" x="1565"/>
        <item m="1" x="479"/>
        <item x="95"/>
        <item x="33"/>
        <item m="1" x="1142"/>
        <item x="109"/>
        <item x="87"/>
        <item x="112"/>
        <item m="1" x="812"/>
        <item x="54"/>
        <item m="1" x="158"/>
        <item m="1" x="687"/>
        <item m="1" x="667"/>
        <item x="106"/>
        <item m="1" x="1698"/>
        <item m="1" x="1450"/>
        <item m="1" x="536"/>
        <item m="1" x="1139"/>
        <item x="103"/>
        <item m="1" x="660"/>
        <item x="24"/>
        <item m="1" x="1274"/>
        <item x="72"/>
        <item m="1" x="1414"/>
        <item m="1" x="1464"/>
        <item m="1" x="1516"/>
        <item m="1" x="370"/>
        <item m="1" x="669"/>
        <item m="1" x="189"/>
        <item m="1" x="646"/>
        <item x="28"/>
        <item x="70"/>
        <item m="1" x="1495"/>
        <item m="1" x="1514"/>
        <item m="1" x="270"/>
        <item m="1" x="751"/>
        <item m="1" x="1253"/>
        <item m="1" x="1460"/>
        <item m="1" x="152"/>
        <item m="1" x="761"/>
        <item m="1" x="1423"/>
        <item m="1" x="633"/>
        <item m="1" x="1134"/>
        <item x="44"/>
        <item m="1" x="434"/>
        <item x="41"/>
        <item x="81"/>
        <item m="1" x="1262"/>
        <item m="1" x="692"/>
        <item x="61"/>
        <item m="1" x="195"/>
        <item m="1" x="301"/>
        <item x="46"/>
        <item m="1" x="673"/>
        <item m="1" x="1573"/>
        <item m="1" x="897"/>
        <item m="1" x="1174"/>
        <item m="1" x="1321"/>
        <item m="1" x="1435"/>
        <item m="1" x="1680"/>
        <item m="1" x="906"/>
        <item m="1" x="299"/>
        <item m="1" x="758"/>
        <item x="50"/>
        <item m="1" x="1426"/>
        <item m="1" x="787"/>
        <item m="1" x="1391"/>
        <item m="1" x="1035"/>
        <item m="1" x="1172"/>
        <item m="1" x="175"/>
        <item m="1" x="1453"/>
        <item m="1" x="1297"/>
        <item m="1" x="1434"/>
        <item m="1" x="1556"/>
        <item m="1" x="193"/>
        <item m="1" x="407"/>
        <item m="1" x="1280"/>
        <item m="1" x="1055"/>
        <item m="1" x="664"/>
        <item x="51"/>
        <item m="1" x="551"/>
        <item m="1" x="895"/>
        <item m="1" x="1170"/>
        <item m="1" x="1319"/>
        <item x="78"/>
        <item x="84"/>
        <item x="60"/>
        <item x="80"/>
        <item m="1" x="460"/>
        <item x="83"/>
        <item m="1" x="1031"/>
        <item m="1" x="1294"/>
        <item m="1" x="1451"/>
        <item m="1" x="1555"/>
        <item m="1" x="1647"/>
        <item m="1" x="1678"/>
        <item m="1" x="1267"/>
        <item m="1" x="191"/>
        <item m="1" x="1561"/>
        <item m="1" x="406"/>
        <item x="20"/>
        <item m="1" x="1553"/>
        <item m="1" x="784"/>
        <item x="22"/>
        <item m="1" x="1166"/>
        <item m="1" x="1023"/>
        <item m="1" x="1431"/>
        <item m="1" x="921"/>
        <item m="1" x="775"/>
        <item x="101"/>
        <item m="1" x="1120"/>
        <item m="1" x="294"/>
        <item m="1" x="635"/>
        <item m="1" x="540"/>
        <item m="1" x="783"/>
        <item m="1" x="678"/>
        <item m="1" x="1029"/>
        <item m="1" x="1293"/>
        <item m="1" x="297"/>
        <item x="10"/>
        <item m="1" x="187"/>
        <item m="1" x="404"/>
        <item m="1" x="665"/>
        <item m="1" x="781"/>
        <item m="1" x="889"/>
        <item m="1" x="1401"/>
        <item m="1" x="1165"/>
        <item m="1" x="1427"/>
        <item m="1" x="1568"/>
        <item m="1" x="1675"/>
        <item m="1" x="260"/>
        <item m="1" x="1709"/>
        <item m="1" x="289"/>
        <item m="1" x="981"/>
        <item m="1" x="533"/>
        <item m="1" x="992"/>
        <item x="63"/>
        <item m="1" x="822"/>
        <item m="1" x="1025"/>
        <item m="1" x="1051"/>
        <item m="1" x="1291"/>
        <item x="13"/>
        <item m="1" x="706"/>
        <item x="85"/>
        <item m="1" x="797"/>
        <item x="64"/>
        <item m="1" x="219"/>
        <item m="1" x="323"/>
        <item m="1" x="445"/>
        <item x="66"/>
        <item x="93"/>
        <item m="1" x="821"/>
        <item m="1" x="930"/>
        <item m="1" x="218"/>
        <item m="1" x="1083"/>
        <item m="1" x="1207"/>
        <item m="1" x="1337"/>
        <item m="1" x="1468"/>
        <item m="1" x="705"/>
        <item m="1" x="1588"/>
        <item m="1" x="1706"/>
        <item m="1" x="236"/>
        <item m="1" x="448"/>
        <item x="94"/>
        <item m="1" x="1560"/>
        <item x="29"/>
        <item m="1" x="443"/>
        <item m="1" x="832"/>
        <item m="1" x="590"/>
        <item m="1" x="1217"/>
        <item m="1" x="702"/>
        <item m="1" x="819"/>
        <item m="1" x="929"/>
        <item m="1" x="1081"/>
        <item x="31"/>
        <item m="1" x="1332"/>
        <item x="86"/>
        <item x="76"/>
        <item m="1" x="408"/>
        <item m="1" x="1705"/>
        <item m="1" x="217"/>
        <item m="1" x="319"/>
        <item m="1" x="1204"/>
        <item m="1" x="440"/>
        <item m="1" x="589"/>
        <item m="1" x="1417"/>
        <item m="1" x="700"/>
        <item m="1" x="1683"/>
        <item m="1" x="817"/>
        <item m="1" x="1704"/>
        <item m="1" x="925"/>
        <item m="1" x="1395"/>
        <item m="1" x="1078"/>
        <item m="1" x="497"/>
        <item x="23"/>
        <item m="1" x="1330"/>
        <item m="1" x="1465"/>
        <item m="1" x="698"/>
        <item m="1" x="1584"/>
        <item m="1" x="1702"/>
        <item m="1" x="872"/>
        <item m="1" x="216"/>
        <item m="1" x="317"/>
        <item x="39"/>
        <item m="1" x="584"/>
        <item m="1" x="697"/>
        <item m="1" x="815"/>
        <item x="36"/>
        <item m="1" x="1444"/>
        <item m="1" x="1075"/>
        <item m="1" x="315"/>
        <item x="75"/>
        <item m="1" x="1328"/>
        <item x="92"/>
        <item m="1" x="1583"/>
        <item x="77"/>
        <item m="1" x="215"/>
        <item m="1" x="314"/>
        <item x="14"/>
        <item m="1" x="1392"/>
        <item m="1" x="583"/>
        <item m="1" x="696"/>
        <item m="1" x="813"/>
        <item m="1" x="1071"/>
        <item m="1" x="917"/>
        <item m="1" x="1073"/>
        <item m="1" x="833"/>
        <item m="1" x="1201"/>
        <item m="1" x="1327"/>
        <item x="110"/>
        <item m="1" x="1515"/>
        <item m="1" x="1581"/>
        <item x="52"/>
        <item m="1" x="214"/>
        <item m="1" x="313"/>
        <item m="1" x="277"/>
        <item m="1" x="438"/>
        <item m="1" x="581"/>
        <item m="1" x="695"/>
        <item m="1" x="811"/>
        <item m="1" x="916"/>
        <item m="1" x="1070"/>
        <item m="1" x="1200"/>
        <item x="67"/>
        <item m="1" x="1459"/>
        <item m="1" x="1580"/>
        <item m="1" x="1699"/>
        <item x="98"/>
        <item m="1" x="435"/>
        <item x="97"/>
        <item m="1" x="436"/>
        <item m="1" x="847"/>
        <item m="1" x="514"/>
        <item m="1" x="579"/>
        <item m="1" x="693"/>
        <item m="1" x="809"/>
        <item m="1" x="913"/>
        <item m="1" x="338"/>
        <item m="1" x="1067"/>
        <item m="1" x="1199"/>
        <item m="1" x="1323"/>
        <item m="1" x="1458"/>
        <item m="1" x="207"/>
        <item m="1" x="1579"/>
        <item x="90"/>
        <item m="1" x="209"/>
        <item m="1" x="424"/>
        <item x="26"/>
        <item x="57"/>
        <item m="1" x="1302"/>
        <item x="19"/>
        <item m="1" x="691"/>
        <item x="17"/>
        <item m="1" x="912"/>
        <item m="1" x="1064"/>
        <item m="1" x="365"/>
        <item m="1" x="1198"/>
        <item m="1" x="931"/>
        <item m="1" x="1248"/>
        <item m="1" x="492"/>
        <item m="1" x="1387"/>
        <item m="1" x="1225"/>
        <item m="1" x="631"/>
        <item x="32"/>
        <item m="1" x="747"/>
        <item m="1" x="1632"/>
        <item m="1" x="862"/>
        <item m="1" x="150"/>
        <item m="1" x="1095"/>
        <item m="1" x="983"/>
        <item m="1" x="264"/>
        <item m="1" x="1130"/>
        <item m="1" x="364"/>
        <item m="1" x="1245"/>
        <item m="1" x="489"/>
        <item m="1" x="1383"/>
        <item m="1" x="630"/>
        <item x="68"/>
        <item m="1" x="746"/>
        <item m="1" x="794"/>
        <item m="1" x="1631"/>
        <item m="1" x="903"/>
        <item m="1" x="861"/>
        <item m="1" x="1053"/>
        <item m="1" x="149"/>
        <item m="1" x="982"/>
        <item m="1" x="263"/>
        <item m="1" x="282"/>
        <item x="88"/>
        <item m="1" x="1150"/>
        <item m="1" x="362"/>
        <item m="1" x="1244"/>
        <item m="1" x="304"/>
        <item m="1" x="893"/>
        <item m="1" x="486"/>
        <item m="1" x="1382"/>
        <item m="1" x="501"/>
        <item m="1" x="629"/>
        <item m="1" x="1513"/>
        <item m="1" x="745"/>
        <item m="1" x="1548"/>
        <item m="1" x="1629"/>
        <item m="1" x="859"/>
        <item m="1" x="147"/>
        <item m="1" x="978"/>
        <item m="1" x="262"/>
        <item m="1" x="1128"/>
        <item m="1" x="361"/>
        <item m="1" x="1243"/>
        <item m="1" x="1298"/>
        <item x="96"/>
        <item x="102"/>
        <item m="1" x="898"/>
        <item m="1" x="628"/>
        <item m="1" x="1048"/>
        <item m="1" x="1511"/>
        <item x="48"/>
        <item m="1" x="1628"/>
        <item x="55"/>
        <item m="1" x="146"/>
        <item m="1" x="975"/>
        <item x="74"/>
        <item m="1" x="1127"/>
        <item m="1" x="360"/>
        <item m="1" x="1242"/>
        <item m="1" x="483"/>
        <item m="1" x="1381"/>
        <item m="1" x="627"/>
        <item m="1" x="490"/>
        <item m="1" x="1111"/>
        <item x="99"/>
        <item m="1" x="744"/>
        <item m="1" x="1625"/>
        <item m="1" x="855"/>
        <item m="1" x="145"/>
        <item m="1" x="973"/>
        <item x="111"/>
        <item m="1" x="1126"/>
        <item x="49"/>
        <item x="113"/>
        <item m="1" x="482"/>
        <item m="1" x="1380"/>
        <item m="1" x="625"/>
        <item m="1" x="1008"/>
        <item m="1" x="1507"/>
        <item m="1" x="190"/>
        <item m="1" x="740"/>
        <item m="1" x="1624"/>
        <item x="34"/>
        <item m="1" x="143"/>
        <item m="1" x="363"/>
        <item x="43"/>
        <item m="1" x="259"/>
        <item m="1" x="1124"/>
        <item m="1" x="302"/>
        <item m="1" x="358"/>
        <item m="1" x="1239"/>
        <item m="1" x="481"/>
        <item m="1" x="899"/>
        <item m="1" x="1379"/>
        <item m="1" x="624"/>
        <item m="1" x="1506"/>
        <item m="1" x="738"/>
        <item x="69"/>
        <item m="1" x="854"/>
        <item m="1" x="142"/>
        <item m="1" x="971"/>
        <item m="1" x="256"/>
        <item m="1" x="1123"/>
        <item m="1" x="357"/>
        <item m="1" x="1238"/>
        <item m="1" x="480"/>
        <item m="1" x="1378"/>
        <item m="1" x="623"/>
        <item m="1" x="1505"/>
        <item m="1" x="737"/>
        <item m="1" x="1621"/>
        <item m="1" x="853"/>
        <item m="1" x="141"/>
        <item m="1" x="969"/>
        <item m="1" x="1428"/>
        <item m="1" x="254"/>
        <item m="1" x="790"/>
        <item m="1" x="549"/>
        <item m="1" x="1122"/>
        <item m="1" x="752"/>
        <item m="1" x="356"/>
        <item x="59"/>
        <item m="1" x="478"/>
        <item m="1" x="1376"/>
        <item m="1" x="621"/>
        <item m="1" x="1504"/>
        <item m="1" x="736"/>
        <item m="1" x="1620"/>
        <item m="1" x="852"/>
        <item m="1" x="140"/>
        <item m="1" x="967"/>
        <item m="1" x="211"/>
        <item m="1" x="382"/>
        <item m="1" x="253"/>
        <item m="1" x="1121"/>
        <item m="1" x="355"/>
        <item m="1" x="1235"/>
        <item m="1" x="476"/>
        <item m="1" x="1375"/>
        <item m="1" x="1367"/>
        <item m="1" x="619"/>
        <item m="1" x="199"/>
        <item x="104"/>
        <item m="1" x="734"/>
        <item m="1" x="1618"/>
        <item x="40"/>
        <item m="1" x="139"/>
        <item m="1" x="964"/>
        <item m="1" x="148"/>
        <item m="1" x="251"/>
        <item m="1" x="1119"/>
        <item m="1" x="354"/>
        <item x="105"/>
        <item m="1" x="475"/>
        <item m="1" x="1374"/>
        <item m="1" x="618"/>
        <item x="114"/>
        <item x="73"/>
        <item m="1" x="1616"/>
        <item m="1" x="849"/>
        <item m="1" x="136"/>
        <item m="1" x="963"/>
        <item m="1" x="250"/>
        <item m="1" x="955"/>
        <item m="1" x="1118"/>
        <item m="1" x="477"/>
        <item m="1" x="353"/>
        <item m="1" x="1232"/>
        <item m="1" x="473"/>
        <item m="1" x="1325"/>
        <item m="1" x="1373"/>
        <item m="1" x="617"/>
        <item m="1" x="1502"/>
        <item m="1" x="733"/>
        <item m="1" x="663"/>
        <item x="71"/>
        <item x="91"/>
        <item m="1" x="248"/>
        <item m="1" x="1117"/>
        <item m="1" x="352"/>
        <item m="1" x="1231"/>
        <item m="1" x="472"/>
        <item m="1" x="1341"/>
        <item m="1" x="537"/>
        <item m="1" x="1372"/>
        <item m="1" x="615"/>
        <item m="1" x="125"/>
        <item m="1" x="1501"/>
        <item m="1" x="732"/>
        <item m="1" x="1179"/>
        <item m="1" x="1614"/>
        <item m="1" x="845"/>
        <item m="1" x="134"/>
        <item m="1" x="960"/>
        <item m="1" x="247"/>
        <item m="1" x="1116"/>
        <item m="1" x="350"/>
        <item m="1" x="471"/>
        <item m="1" x="1371"/>
        <item m="1" x="614"/>
        <item m="1" x="1500"/>
        <item m="1" x="759"/>
        <item m="1" x="731"/>
        <item m="1" x="1613"/>
        <item m="1" x="843"/>
        <item m="1" x="1356"/>
        <item m="1" x="707"/>
        <item m="1" x="133"/>
        <item m="1" x="959"/>
        <item m="1" x="246"/>
        <item m="1" x="1113"/>
        <item m="1" x="349"/>
        <item m="1" x="1229"/>
        <item m="1" x="764"/>
        <item m="1" x="470"/>
        <item m="1" x="1369"/>
        <item m="1" x="613"/>
        <item x="115"/>
        <item m="1" x="799"/>
        <item m="1" x="842"/>
        <item m="1" x="132"/>
        <item m="1" x="577"/>
        <item m="1" x="958"/>
        <item m="1" x="244"/>
        <item m="1" x="1112"/>
        <item m="1" x="347"/>
        <item m="1" x="1228"/>
        <item m="1" x="469"/>
        <item m="1" x="1368"/>
        <item m="1" x="1499"/>
        <item x="47"/>
        <item m="1" x="841"/>
        <item m="1" x="128"/>
        <item m="1" x="183"/>
        <item m="1" x="605"/>
        <item m="1" x="220"/>
        <item m="1" x="1024"/>
        <item m="1" x="1491"/>
        <item m="1" x="288"/>
        <item m="1" x="724"/>
        <item m="1" x="1163"/>
        <item m="1" x="567"/>
        <item m="1" x="401"/>
        <item m="1" x="834"/>
        <item m="1" x="1681"/>
        <item m="1" x="1290"/>
        <item m="1" x="531"/>
        <item m="1" x="1169"/>
        <item m="1" x="947"/>
        <item m="1" x="1424"/>
        <item m="1" x="233"/>
        <item m="1" x="661"/>
        <item m="1" x="1100"/>
        <item m="1" x="1545"/>
        <item m="1" x="337"/>
        <item m="1" x="780"/>
        <item m="1" x="203"/>
        <item m="1" x="1221"/>
        <item m="1" x="1670"/>
        <item m="1" x="457"/>
        <item m="1" x="1354"/>
        <item m="1" x="182"/>
        <item m="1" x="690"/>
        <item m="1" x="604"/>
        <item m="1" x="1436"/>
        <item m="1" x="1021"/>
        <item m="1" x="1456"/>
        <item m="1" x="1488"/>
        <item m="1" x="287"/>
        <item m="1" x="723"/>
        <item m="1" x="1162"/>
        <item m="1" x="1138"/>
        <item m="1" x="831"/>
        <item m="1" x="1261"/>
        <item m="1" x="118"/>
        <item m="1" x="713"/>
        <item m="1" x="529"/>
        <item m="1" x="945"/>
        <item m="1" x="1422"/>
        <item m="1" x="231"/>
        <item m="1" x="1255"/>
        <item m="1" x="1099"/>
        <item m="1" x="1466"/>
        <item m="1" x="336"/>
        <item m="1" x="779"/>
        <item m="1" x="1220"/>
        <item x="62"/>
        <item x="27"/>
        <item m="1" x="1352"/>
        <item m="1" x="181"/>
        <item m="1" x="603"/>
        <item m="1" x="1114"/>
        <item m="1" x="1020"/>
        <item m="1" x="1484"/>
        <item m="1" x="286"/>
        <item m="1" x="1161"/>
        <item m="1" x="170"/>
        <item m="1" x="1187"/>
        <item m="1" x="400"/>
        <item m="1" x="829"/>
        <item m="1" x="1288"/>
        <item m="1" x="1724"/>
        <item m="1" x="943"/>
        <item m="1" x="1419"/>
        <item m="1" x="230"/>
        <item m="1" x="656"/>
        <item m="1" x="1097"/>
        <item m="1" x="1543"/>
        <item m="1" x="335"/>
        <item m="1" x="777"/>
        <item m="1" x="1219"/>
        <item m="1" x="1669"/>
        <item m="1" x="455"/>
        <item m="1" x="886"/>
        <item m="1" x="1351"/>
        <item m="1" x="159"/>
        <item x="3"/>
        <item m="1" x="180"/>
        <item m="1" x="1019"/>
        <item m="1" x="283"/>
        <item m="1" x="722"/>
        <item m="1" x="1160"/>
        <item m="1" x="399"/>
        <item m="1" x="827"/>
        <item m="1" x="1287"/>
        <item m="1" x="1722"/>
        <item m="1" x="911"/>
        <item m="1" x="528"/>
        <item m="1" x="493"/>
        <item m="1" x="1418"/>
        <item m="1" x="228"/>
        <item m="1" x="655"/>
        <item m="1" x="1096"/>
        <item m="1" x="998"/>
        <item m="1" x="776"/>
        <item x="42"/>
        <item m="1" x="1666"/>
        <item m="1" x="802"/>
        <item m="1" x="454"/>
        <item m="1" x="885"/>
        <item m="1" x="1350"/>
        <item m="1" x="178"/>
        <item m="1" x="602"/>
        <item m="1" x="1018"/>
        <item m="1" x="720"/>
        <item m="1" x="1158"/>
        <item m="1" x="398"/>
        <item m="1" x="826"/>
        <item m="1" x="1285"/>
        <item m="1" x="1720"/>
        <item m="1" x="526"/>
        <item m="1" x="940"/>
        <item m="1" x="637"/>
        <item m="1" x="654"/>
        <item m="1" x="1541"/>
        <item m="1" x="1171"/>
        <item m="1" x="774"/>
        <item m="1" x="1216"/>
        <item m="1" x="1664"/>
        <item m="1" x="453"/>
        <item m="1" x="1349"/>
        <item m="1" x="177"/>
        <item m="1" x="626"/>
        <item m="1" x="1014"/>
        <item m="1" x="1481"/>
        <item m="1" x="719"/>
        <item m="1" x="1157"/>
        <item m="1" x="1284"/>
        <item m="1" x="1718"/>
        <item m="1" x="970"/>
        <item m="1" x="524"/>
        <item m="1" x="938"/>
        <item m="1" x="1416"/>
        <item m="1" x="653"/>
        <item m="1" x="1688"/>
        <item m="1" x="1091"/>
        <item m="1" x="560"/>
        <item m="1" x="1540"/>
        <item m="1" x="332"/>
        <item m="1" x="773"/>
        <item m="1" x="1215"/>
        <item m="1" x="1663"/>
        <item m="1" x="451"/>
        <item m="1" x="884"/>
        <item m="1" x="1658"/>
        <item m="1" x="1348"/>
        <item m="1" x="176"/>
        <item m="1" x="601"/>
        <item m="1" x="1012"/>
        <item m="1" x="1480"/>
        <item m="1" x="1154"/>
        <item m="1" x="1594"/>
        <item m="1" x="395"/>
        <item m="1" x="1446"/>
        <item m="1" x="1717"/>
        <item m="1" x="522"/>
        <item m="1" x="1299"/>
        <item m="1" x="1415"/>
        <item m="1" x="1674"/>
        <item m="1" x="1538"/>
        <item m="1" x="331"/>
        <item m="1" x="1661"/>
        <item m="1" x="882"/>
        <item m="1" x="173"/>
        <item m="1" x="1011"/>
        <item m="1" x="1108"/>
        <item m="1" x="716"/>
        <item m="1" x="561"/>
        <item m="1" x="1686"/>
        <item m="1" x="393"/>
        <item m="1" x="1648"/>
        <item m="1" x="1282"/>
        <item m="1" x="1715"/>
        <item m="1" x="521"/>
        <item m="1" x="1322"/>
        <item m="1" x="1411"/>
        <item m="1" x="226"/>
        <item m="1" x="652"/>
        <item m="1" x="1090"/>
        <item m="1" x="1537"/>
        <item m="1" x="330"/>
        <item m="1" x="771"/>
        <item m="1" x="1214"/>
        <item m="1" x="1660"/>
        <item m="1" x="937"/>
        <item m="1" x="881"/>
        <item m="1" x="541"/>
        <item m="1" x="172"/>
        <item x="4"/>
        <item m="1" x="599"/>
        <item m="1" x="1009"/>
        <item m="1" x="1045"/>
        <item m="1" x="715"/>
        <item m="1" x="532"/>
        <item m="1" x="1286"/>
        <item m="1" x="392"/>
        <item m="1" x="1281"/>
        <item m="1" x="518"/>
        <item m="1" x="554"/>
        <item m="1" x="1408"/>
        <item m="1" x="509"/>
        <item m="1" x="770"/>
        <item m="1" x="1600"/>
        <item m="1" x="1449"/>
        <item m="1" x="1659"/>
        <item m="1" x="171"/>
        <item m="1" x="1007"/>
        <item x="116"/>
        <item m="1" x="714"/>
        <item m="1" x="1153"/>
        <item m="1" x="1593"/>
        <item m="1" x="658"/>
        <item m="1" x="1278"/>
        <item m="1" x="1713"/>
        <item m="1" x="936"/>
        <item x="107"/>
        <item m="1" x="651"/>
        <item m="1" x="1088"/>
        <item m="1" x="487"/>
        <item m="1" x="418"/>
        <item m="1" x="769"/>
        <item m="1" x="1656"/>
        <item m="1" x="1346"/>
        <item m="1" x="712"/>
        <item m="1" x="1420"/>
        <item m="1" x="1617"/>
        <item m="1" x="1276"/>
        <item m="1" x="558"/>
        <item m="1" x="1562"/>
        <item m="1" x="1406"/>
        <item m="1" x="650"/>
        <item m="1" x="768"/>
        <item m="1" x="261"/>
        <item m="1" x="450"/>
        <item m="1" x="914"/>
        <item m="1" x="1474"/>
        <item m="1" x="280"/>
        <item m="1" x="976"/>
        <item m="1" x="391"/>
        <item m="1" x="824"/>
        <item m="1" x="1711"/>
        <item m="1" x="1542"/>
        <item m="1" x="962"/>
        <item m="1" x="223"/>
        <item m="1" x="1087"/>
        <item m="1" x="327"/>
        <item m="1" x="767"/>
        <item m="1" x="1212"/>
        <item m="1" x="449"/>
        <item m="1" x="880"/>
        <item m="1" x="1394"/>
        <item m="1" x="950"/>
        <item m="1" x="596"/>
        <item m="1" x="416"/>
        <item m="1" x="1473"/>
        <item m="1" x="279"/>
        <item m="1" x="1592"/>
        <item m="1" x="1470"/>
        <item m="1" x="1275"/>
        <item m="1" x="934"/>
        <item m="1" x="1452"/>
        <item m="1" x="1535"/>
        <item m="1" x="926"/>
        <item m="1" x="765"/>
        <item m="1" x="1210"/>
        <item m="1" x="403"/>
        <item m="1" x="1654"/>
        <item m="1" x="1508"/>
        <item m="1" x="169"/>
        <item m="1" x="1004"/>
        <item m="1" x="818"/>
        <item m="1" x="1272"/>
        <item m="1" x="513"/>
        <item m="1" x="1013"/>
        <item m="1" x="933"/>
        <item m="1" x="380"/>
        <item m="1" x="900"/>
        <item m="1" x="373"/>
        <item m="1" x="1047"/>
        <item m="1" x="798"/>
        <item m="1" x="717"/>
        <item m="1" x="594"/>
        <item m="1" x="1003"/>
        <item m="1" x="1471"/>
        <item m="1" x="708"/>
        <item m="1" x="1151"/>
        <item m="1" x="1271"/>
        <item m="1" x="883"/>
        <item m="1" x="325"/>
        <item m="1" x="348"/>
        <item m="1" x="1209"/>
        <item m="1" x="1131"/>
        <item m="1" x="168"/>
        <item m="1" x="878"/>
        <item m="1" x="593"/>
        <item m="1" x="273"/>
        <item m="1" x="1578"/>
        <item m="1" x="1633"/>
        <item m="1" x="538"/>
        <item m="1" x="1626"/>
        <item m="1" x="1063"/>
        <item m="1" x="519"/>
        <item m="1" x="1061"/>
        <item m="1" x="1640"/>
        <item m="1" x="874"/>
        <item m="1" x="546"/>
        <item m="1" x="575"/>
        <item m="1" x="1402"/>
        <item m="1" x="1601"/>
        <item m="1" x="838"/>
        <item m="1" x="1230"/>
        <item m="1" x="1046"/>
        <item m="1" x="1696"/>
        <item m="1" x="1038"/>
        <item m="1" x="1236"/>
        <item m="1" x="500"/>
        <item m="1" x="1224"/>
        <item m="1" x="1036"/>
        <item m="1" x="1591"/>
        <item m="1" x="1252"/>
        <item m="1" x="1522"/>
        <item m="1" x="1032"/>
        <item m="1" x="1455"/>
        <item m="1" x="1589"/>
        <item m="1" x="1086"/>
        <item m="1" x="1197"/>
        <item m="1" x="1461"/>
        <item m="1" x="459"/>
        <item m="1" x="1599"/>
        <item m="1" x="1622"/>
        <item m="1" x="689"/>
        <item m="1" x="239"/>
        <item m="1" x="1577"/>
        <item m="1" x="1443"/>
        <item m="1" x="515"/>
        <item m="1" x="465"/>
        <item m="1" x="1106"/>
        <item m="1" x="1551"/>
        <item m="1" x="1384"/>
        <item m="1" x="206"/>
        <item m="1" x="461"/>
        <item m="1" x="610"/>
        <item m="1" x="995"/>
        <item m="1" x="1320"/>
        <item m="1" x="679"/>
        <item m="1" x="993"/>
        <item m="1" x="837"/>
        <item m="1" x="986"/>
        <item m="1" x="805"/>
        <item m="1" x="1695"/>
        <item m="1" x="309"/>
        <item m="1" x="904"/>
        <item m="1" x="428"/>
        <item m="1" x="1454"/>
        <item m="1" x="622"/>
        <item m="1" x="1183"/>
        <item m="1" x="1338"/>
        <item m="1" x="825"/>
        <item m="1" x="1685"/>
        <item m="1" x="772"/>
        <item m="1" x="782"/>
        <item m="1" x="1517"/>
        <item m="1" x="608"/>
        <item x="18"/>
        <item m="1" x="1365"/>
        <item m="1" x="987"/>
        <item m="1" x="1254"/>
        <item m="1" x="1574"/>
        <item m="1" x="494"/>
        <item m="1" x="1684"/>
        <item m="1" x="909"/>
        <item m="1" x="1059"/>
        <item m="1" x="582"/>
        <item m="1" x="753"/>
        <item m="1" x="166"/>
        <item m="1" x="1385"/>
        <item m="1" x="568"/>
        <item m="1" x="676"/>
        <item m="1" x="1109"/>
        <item m="1" x="1057"/>
        <item m="1" x="213"/>
        <item m="1" x="1651"/>
        <item m="1" x="1692"/>
        <item m="1" x="1316"/>
        <item m="1" x="636"/>
        <item m="1" x="552"/>
        <item m="1" x="887"/>
        <item m="1" x="1194"/>
        <item m="1" x="1639"/>
        <item m="1" x="1026"/>
        <item m="1" x="1442"/>
        <item m="1" x="573"/>
        <item m="1" x="725"/>
        <item m="1" x="157"/>
        <item m="1" x="792"/>
        <item m="1" x="703"/>
        <item m="1" x="644"/>
        <item m="1" x="204"/>
        <item m="1" x="374"/>
        <item m="1" x="1596"/>
        <item m="1" x="1439"/>
        <item m="1" x="865"/>
        <item m="1" x="1549"/>
        <item x="58"/>
        <item m="1" x="1148"/>
        <item m="1" x="869"/>
        <item m="1" x="1314"/>
        <item m="1" x="553"/>
        <item m="1" x="1689"/>
        <item m="1" x="814"/>
        <item m="1" x="674"/>
        <item m="1" x="1582"/>
        <item m="1" x="846"/>
        <item m="1" x="1529"/>
        <item m="1" x="307"/>
        <item m="1" x="1448"/>
        <item m="1" x="877"/>
        <item m="1" x="1667"/>
        <item m="1" x="547"/>
        <item m="1" x="908"/>
        <item m="1" x="1205"/>
        <item m="1" x="255"/>
        <item m="1" x="411"/>
        <item m="1" x="1655"/>
        <item m="1" x="1463"/>
        <item m="1" x="1437"/>
        <item m="1" x="1103"/>
        <item m="1" x="816"/>
        <item m="1" x="1149"/>
        <item m="1" x="425"/>
        <item m="1" x="965"/>
        <item m="1" x="1251"/>
        <item m="1" x="1388"/>
        <item m="1" x="1571"/>
        <item m="1" x="1433"/>
        <item m="1" x="848"/>
        <item m="1" x="836"/>
        <item m="1" x="778"/>
        <item m="1" x="1056"/>
        <item m="1" x="268"/>
        <item m="1" x="164"/>
        <item m="1" x="1190"/>
        <item m="1" x="726"/>
        <item m="1" x="137"/>
        <item m="1" x="788"/>
        <item m="1" x="566"/>
        <item m="1" x="1619"/>
        <item m="1" x="329"/>
        <item m="1" x="462"/>
        <item m="1" x="1397"/>
        <item m="1" x="243"/>
        <item m="1" x="1188"/>
        <item m="1" x="919"/>
        <item m="1" x="1482"/>
        <item m="1" x="377"/>
        <item m="1" x="266"/>
        <item m="1" x="225"/>
        <item m="1" x="686"/>
        <item m="1" x="201"/>
        <item x="5"/>
        <item m="1" x="240"/>
        <item m="1" x="1313"/>
        <item m="1" x="563"/>
        <item m="1" x="896"/>
        <item m="1" x="265"/>
        <item m="1" x="368"/>
        <item m="1" x="801"/>
        <item m="1" x="1092"/>
        <item m="1" x="1264"/>
        <item m="1" x="718"/>
        <item m="1" x="1072"/>
        <item m="1" x="367"/>
        <item m="1" x="1609"/>
        <item m="1" x="1052"/>
        <item m="1" x="741"/>
        <item m="1" x="1049"/>
        <item m="1" x="1646"/>
        <item m="1" x="520"/>
        <item m="1" x="163"/>
        <item m="1" x="311"/>
        <item m="1" x="293"/>
        <item m="1" x="1234"/>
        <item m="1" x="1015"/>
        <item m="1" x="344"/>
        <item m="1" x="467"/>
        <item m="1" x="300"/>
        <item m="1" x="1360"/>
        <item m="1" x="1167"/>
        <item m="1" x="452"/>
        <item m="1" x="394"/>
        <item m="1" x="984"/>
        <item m="1" x="1457"/>
        <item m="1" x="305"/>
        <item m="1" x="1518"/>
        <item m="1" x="671"/>
        <item m="1" x="1227"/>
        <item m="1" x="252"/>
        <item m="1" x="1687"/>
        <item m="1" x="409"/>
        <item m="1" x="126"/>
        <item m="1" x="762"/>
        <item m="1" x="1309"/>
        <item m="1" x="527"/>
        <item m="1" x="757"/>
        <item m="1" x="754"/>
        <item m="1" x="1412"/>
        <item m="1" x="1296"/>
        <item m="1" x="1567"/>
        <item m="1" x="1110"/>
        <item m="1" x="742"/>
        <item m="1" x="1478"/>
        <item m="1" x="1364"/>
        <item m="1" x="205"/>
        <item m="1" x="1642"/>
        <item m="1" x="1273"/>
        <item m="1" x="542"/>
        <item m="1" x="639"/>
        <item m="1" x="785"/>
        <item m="1" x="155"/>
        <item m="1" x="796"/>
        <item m="1" x="901"/>
        <item m="1" x="1432"/>
        <item m="1" x="439"/>
        <item m="1" x="1065"/>
        <item m="1" x="683"/>
        <item m="1" x="1585"/>
        <item m="1" x="840"/>
        <item m="1" x="1590"/>
        <item m="1" x="648"/>
        <item m="1" x="1168"/>
        <item m="1" x="505"/>
        <item m="1" x="1707"/>
        <item m="1" x="749"/>
        <item x="8"/>
        <item m="1" x="272"/>
        <item m="1" x="423"/>
        <item m="1" x="387"/>
        <item m="1" x="257"/>
        <item m="1" x="1307"/>
        <item m="1" x="1677"/>
        <item m="1" x="310"/>
        <item m="1" x="1493"/>
        <item m="1" x="820"/>
        <item m="1" x="989"/>
        <item m="1" x="1519"/>
        <item m="1" x="544"/>
        <item m="1" x="1079"/>
        <item m="1" x="1104"/>
        <item m="1" x="525"/>
        <item m="1" x="1060"/>
        <item m="1" x="1440"/>
        <item m="1" x="607"/>
        <item m="1" x="870"/>
        <item m="1" x="1595"/>
        <item m="1" x="165"/>
        <item m="1" x="185"/>
        <item m="1" x="677"/>
        <item m="1" x="867"/>
        <item m="1" x="1333"/>
        <item m="1" x="234"/>
        <item m="1" x="1202"/>
        <item m="1" x="463"/>
        <item m="1" x="458"/>
        <item m="1" x="1357"/>
        <item m="1" x="1192"/>
        <item m="1" x="1637"/>
        <item m="1" x="688"/>
        <item m="1" x="371"/>
        <item m="1" x="1195"/>
        <item m="1" x="1389"/>
        <item m="1" x="1503"/>
        <item m="1" x="966"/>
        <item m="1" x="1494"/>
        <item m="1" x="127"/>
        <item m="1" x="1206"/>
        <item m="1" x="534"/>
        <item m="1" x="1336"/>
        <item m="1" x="1693"/>
        <item m="1" x="1129"/>
        <item m="1" x="1334"/>
        <item m="1" x="1143"/>
        <item m="1" x="320"/>
        <item m="1" x="597"/>
        <item m="1" x="1102"/>
        <item m="1" x="1668"/>
        <item m="1" x="902"/>
        <item m="1" x="1193"/>
        <item m="1" x="927"/>
        <item m="1" x="508"/>
        <item m="1" x="662"/>
        <item m="1" x="977"/>
        <item m="1" x="1467"/>
        <item m="1" x="1306"/>
        <item m="1" x="1671"/>
        <item m="1" x="611"/>
        <item m="1" x="1080"/>
        <item m="1" x="672"/>
        <item m="1" x="856"/>
        <item m="1" x="1066"/>
        <item m="1" x="587"/>
        <item m="1" x="844"/>
        <item m="1" x="1719"/>
        <item m="1" x="284"/>
        <item m="1" x="496"/>
        <item m="1" x="412"/>
        <item m="1" x="888"/>
        <item m="1" x="1241"/>
        <item m="1" x="1329"/>
        <item m="1" x="941"/>
        <item m="1" x="1652"/>
        <item m="1" x="375"/>
        <item m="1" x="894"/>
        <item m="1" x="1347"/>
        <item m="1" x="918"/>
        <item m="1" x="151"/>
        <item m="1" x="1270"/>
        <item m="1" x="1089"/>
        <item m="1" x="578"/>
        <item m="1" x="396"/>
        <item m="1" x="388"/>
        <item m="1" x="200"/>
        <item m="1" x="321"/>
        <item m="1" x="1140"/>
        <item m="1" x="704"/>
        <item m="1" x="333"/>
        <item m="1" x="1033"/>
        <item m="1" x="1050"/>
        <item m="1" x="351"/>
        <item m="1" x="419"/>
        <item m="1" x="468"/>
        <item m="1" x="249"/>
        <item m="1" x="1615"/>
        <item m="1" x="1586"/>
        <item m="1" x="488"/>
        <item m="1" x="1558"/>
        <item m="1" x="1546"/>
        <item m="1" x="224"/>
        <item x="7"/>
        <item m="1" x="915"/>
        <item m="1" x="892"/>
        <item m="1" x="1712"/>
        <item m="1" x="632"/>
        <item m="1" x="953"/>
        <item m="1" x="807"/>
        <item m="1" x="1627"/>
        <item m="1" x="1005"/>
        <item m="1" x="366"/>
        <item m="1" x="1409"/>
        <item m="1" x="1145"/>
        <item m="1" x="951"/>
        <item m="1" x="523"/>
        <item m="1" x="1213"/>
        <item m="1" x="657"/>
        <item m="1" x="1399"/>
        <item m="1" x="1226"/>
        <item m="1" x="990"/>
        <item m="1" x="343"/>
        <item m="1" x="278"/>
        <item m="1" x="890"/>
        <item m="1" x="1708"/>
        <item m="1" x="1665"/>
        <item m="1" x="675"/>
        <item m="1" x="668"/>
        <item m="1" x="806"/>
        <item m="1" x="397"/>
        <item m="1" x="210"/>
        <item m="1" x="559"/>
        <item m="1" x="979"/>
        <item m="1" x="1525"/>
        <item m="1" x="241"/>
        <item m="1" x="1289"/>
        <item m="1" x="857"/>
        <item m="1" x="232"/>
        <item m="1" x="516"/>
        <item m="1" x="999"/>
        <item m="1" x="791"/>
        <item m="1" x="1353"/>
        <item m="1" x="318"/>
        <item m="1" x="1527"/>
        <item m="1" x="1370"/>
        <item m="1" x="1135"/>
        <item m="1" x="1310"/>
        <item m="1" x="1283"/>
        <item m="1" x="1523"/>
        <item m="1" x="271"/>
        <item m="1" x="1413"/>
        <item m="1" x="595"/>
        <item m="1" x="555"/>
        <item m="1" x="129"/>
        <item m="1" x="359"/>
        <item m="1" x="1136"/>
        <item m="1" x="1701"/>
        <item m="1" x="1404"/>
        <item m="1" x="1662"/>
        <item m="1" x="1358"/>
        <item m="1" x="290"/>
        <item m="1" x="1001"/>
        <item m="1" x="184"/>
        <item m="1" x="1185"/>
        <item m="1" x="306"/>
        <item m="1" x="1496"/>
        <item m="1" x="1246"/>
        <item m="1" x="138"/>
        <item m="1" x="1569"/>
        <item m="1" x="1521"/>
        <item m="1" x="850"/>
        <item m="1" x="571"/>
        <item m="1" x="756"/>
        <item m="1" x="735"/>
        <item m="1" x="123"/>
        <item m="1" x="1645"/>
        <item m="1" x="543"/>
        <item m="1" x="1249"/>
        <item x="9"/>
        <item m="1" x="612"/>
        <item m="1" x="1076"/>
        <item m="1" x="298"/>
        <item m="1" x="954"/>
        <item m="1" x="1240"/>
        <item m="1" x="935"/>
        <item m="1" x="1034"/>
        <item m="1" x="303"/>
        <item m="1" x="1405"/>
        <item m="1" x="682"/>
        <item m="1" x="535"/>
        <item m="1" x="556"/>
        <item m="1" x="1175"/>
        <item m="1" x="1691"/>
        <item m="1" x="1173"/>
        <item m="1" x="431"/>
        <item m="1" x="985"/>
        <item m="1" x="502"/>
        <item m="1" x="274"/>
        <item m="1" x="308"/>
        <item m="1" x="1604"/>
        <item x="1"/>
        <item m="1" x="1608"/>
        <item m="1" x="1462"/>
        <item m="1" x="1258"/>
        <item m="1" x="1566"/>
        <item m="1" x="1317"/>
        <item m="1" x="345"/>
        <item m="1" x="340"/>
        <item m="1" x="1303"/>
        <item m="1" x="641"/>
        <item m="1" x="1598"/>
        <item m="1" x="1098"/>
        <item m="1" x="907"/>
        <item m="1" x="1649"/>
        <item m="1" x="1485"/>
        <item m="1" x="1512"/>
        <item m="1" x="1650"/>
        <item m="1" x="1203"/>
        <item m="1" x="1094"/>
        <item m="1" x="1559"/>
        <item m="1" x="1043"/>
        <item m="1" x="156"/>
        <item m="1" x="1679"/>
        <item m="1" x="550"/>
        <item m="1" x="456"/>
        <item m="1" x="1265"/>
        <item m="1" x="153"/>
        <item m="1" x="1068"/>
        <item m="1" x="1133"/>
        <item m="1" x="1084"/>
        <item m="1" x="1039"/>
        <item m="1" x="267"/>
        <item m="1" x="961"/>
        <item m="1" x="922"/>
        <item m="1" x="1390"/>
        <item m="1" x="858"/>
        <item m="1" x="1606"/>
        <item m="1" x="1211"/>
        <item m="1" x="1342"/>
        <item m="1" x="1189"/>
        <item m="1" x="803"/>
        <item m="1" x="1475"/>
        <item m="1" x="1037"/>
        <item m="1" x="316"/>
        <item m="1" x="1324"/>
        <item m="1" x="426"/>
        <item m="1" x="121"/>
        <item m="1" x="1682"/>
        <item m="1" x="1343"/>
        <item m="1" x="789"/>
        <item m="1" x="562"/>
        <item m="1" x="871"/>
        <item m="1" x="312"/>
        <item m="1" x="1144"/>
        <item m="1" x="1176"/>
        <item m="1" x="1030"/>
        <item m="1" x="863"/>
        <item m="1" x="1676"/>
        <item m="1" x="1430"/>
        <item m="1" x="1447"/>
        <item m="1" x="1469"/>
        <item m="1" x="1222"/>
        <item m="1" x="991"/>
        <item m="1" x="135"/>
        <item m="1" x="1407"/>
        <item m="1" x="1186"/>
        <item m="1" x="378"/>
        <item m="1" x="946"/>
        <item m="1" x="647"/>
        <item m="1" x="1623"/>
        <item m="1" x="942"/>
        <item m="1" x="421"/>
        <item m="1" x="1182"/>
        <item m="1" x="1335"/>
        <item m="1" x="1721"/>
        <item m="1" x="510"/>
        <item m="1" x="322"/>
        <item m="1" x="442"/>
        <item m="1" x="197"/>
        <item m="1" x="684"/>
        <item m="1" x="1304"/>
        <item m="1" x="1723"/>
        <item m="1" x="924"/>
        <item m="1" x="1635"/>
        <item m="1" x="1362"/>
        <item m="1" x="576"/>
        <item m="1" x="1489"/>
        <item m="1" x="381"/>
        <item m="1" x="1396"/>
        <item m="1" x="939"/>
        <item m="1" x="415"/>
        <item m="1" x="1344"/>
        <item m="1" x="1657"/>
        <item m="1" x="495"/>
        <item m="1" x="1266"/>
        <item m="1" x="1472"/>
        <item m="1" x="1575"/>
        <item m="1" x="1016"/>
        <item m="1" x="196"/>
        <item m="1" x="1184"/>
        <item m="1" x="212"/>
        <item m="1" x="1526"/>
        <item m="1" x="511"/>
        <item m="1" x="1028"/>
        <item m="1" x="1152"/>
        <item m="1" x="729"/>
        <item m="1" x="1300"/>
        <item m="1" x="1331"/>
        <item m="1" x="1022"/>
        <item m="1" x="1107"/>
        <item m="1" x="1312"/>
        <item m="1" x="1339"/>
        <item m="1" x="1027"/>
        <item m="1" x="763"/>
        <item m="1" x="1520"/>
        <item m="1" x="1714"/>
        <item m="1" x="512"/>
        <item m="1" x="383"/>
        <item m="1" x="891"/>
        <item m="1" x="835"/>
        <item m="1" x="1603"/>
        <item m="1" x="188"/>
        <item m="1" x="932"/>
        <item m="1" x="980"/>
        <item m="1" x="405"/>
        <item m="1" x="1233"/>
        <item m="1" x="474"/>
        <item m="1" x="839"/>
        <item m="1" x="670"/>
        <item m="1" x="795"/>
        <item m="1" x="1359"/>
        <item m="1" x="221"/>
        <item m="1" x="620"/>
        <item m="1" x="167"/>
        <item m="1" x="944"/>
        <item m="1" x="569"/>
        <item m="1" x="972"/>
        <item m="1" x="680"/>
        <item m="1" x="1607"/>
        <item m="1" x="699"/>
        <item m="1" x="1716"/>
        <item m="1" x="1315"/>
        <item m="1" x="1263"/>
        <item m="1" x="432"/>
        <item m="1" x="1269"/>
        <item m="1" x="585"/>
        <item m="1" x="285"/>
        <item m="1" x="1062"/>
        <item m="1" x="743"/>
        <item m="1" x="727"/>
        <item m="1" x="1528"/>
        <item m="1" x="1069"/>
        <item m="1" x="235"/>
        <item m="1" x="1557"/>
        <item m="1" x="755"/>
        <item m="1" x="1058"/>
        <item m="1" x="1477"/>
        <item m="1" x="238"/>
        <item m="1" x="1159"/>
        <item m="1" x="420"/>
        <item m="1" x="1259"/>
        <item m="1" x="591"/>
        <item m="1" x="444"/>
        <item m="1" x="1247"/>
        <item m="1" x="385"/>
        <item m="1" x="1155"/>
        <item m="1" x="464"/>
        <item m="1" x="1308"/>
        <item m="1" x="539"/>
        <item m="1" x="1017"/>
        <item m="1" x="968"/>
        <item m="1" x="1441"/>
        <item m="1" x="721"/>
        <item m="1" x="1530"/>
        <item m="1" x="275"/>
        <item m="1" x="245"/>
        <item m="1" x="192"/>
        <item m="1" x="928"/>
        <item m="1" x="1576"/>
        <item m="1" x="1644"/>
        <item m="1" x="766"/>
        <item m="1" x="923"/>
        <item m="1" x="296"/>
        <item m="1" x="1180"/>
        <item m="1" x="1137"/>
        <item m="1" x="548"/>
        <item m="1" x="1040"/>
        <item m="1" x="920"/>
        <item m="1" x="269"/>
        <item m="1" x="557"/>
        <item m="1" x="1006"/>
        <item m="1" x="609"/>
        <item m="1" x="616"/>
        <item m="1" x="879"/>
        <item x="108"/>
        <item m="1" x="162"/>
        <item m="1" x="1400"/>
        <item m="1" x="1125"/>
        <item m="1" x="1156"/>
        <item m="1" x="876"/>
        <item m="1" x="572"/>
        <item m="1" x="339"/>
        <item m="1" x="1279"/>
        <item m="1" x="1570"/>
        <item m="1" x="1536"/>
        <item m="1" x="1653"/>
        <item m="1" x="1697"/>
        <item m="1" x="389"/>
        <item m="1" x="1690"/>
        <item m="1" x="1295"/>
        <item m="1" x="810"/>
        <item m="1" x="341"/>
        <item m="1" x="1223"/>
        <item m="1" x="1610"/>
        <item m="1" x="281"/>
        <item m="1" x="709"/>
        <item m="1" x="948"/>
        <item m="1" x="1010"/>
        <item m="1" x="1554"/>
        <item m="1" x="119"/>
        <item m="1" x="1326"/>
        <item m="1" x="996"/>
        <item m="1" x="804"/>
        <item m="1" x="237"/>
        <item m="1" x="1093"/>
        <item m="1" x="1256"/>
        <item m="1" x="1429"/>
        <item m="1" x="1041"/>
        <item m="1" x="291"/>
        <item m="1" x="1703"/>
        <item m="1" x="1587"/>
        <item m="1" x="1563"/>
        <item m="1" x="1509"/>
        <item m="1" x="1544"/>
        <item m="1" x="1638"/>
        <item m="1" x="685"/>
        <item m="1" x="1410"/>
        <item m="1" x="710"/>
        <item m="1" x="292"/>
        <item m="1" x="730"/>
        <item m="1" x="1398"/>
        <item m="1" x="1672"/>
        <item m="1" x="952"/>
        <item m="1" x="144"/>
        <item m="1" x="430"/>
        <item m="1" x="1177"/>
        <item m="1" x="860"/>
        <item m="1" x="701"/>
        <item m="1" x="120"/>
        <item m="1" x="1115"/>
        <item m="1" x="1141"/>
        <item m="1" x="1178"/>
        <item m="1" x="506"/>
        <item m="1" x="1082"/>
        <item m="1" x="634"/>
        <item m="1" x="437"/>
        <item m="1" x="427"/>
        <item m="1" x="485"/>
        <item m="1" x="1105"/>
        <item m="1" x="1510"/>
        <item m="1" x="390"/>
        <item m="1" x="808"/>
        <item m="1" x="739"/>
        <item m="1" x="174"/>
        <item m="1" x="161"/>
        <item m="1" x="1539"/>
        <item m="1" x="1181"/>
        <item m="1" x="1164"/>
        <item m="1" x="160"/>
        <item m="1" x="1490"/>
        <item m="1" x="1077"/>
        <item m="1" x="574"/>
        <item m="1" x="498"/>
        <item m="1" x="868"/>
        <item m="1" x="1498"/>
        <item m="1" x="499"/>
        <item m="1" x="417"/>
        <item m="1" x="1643"/>
        <item m="1" x="864"/>
        <item m="1" x="580"/>
        <item m="1" x="504"/>
        <item m="1" x="326"/>
        <item m="1" x="130"/>
        <item m="1" x="649"/>
        <item m="1" x="410"/>
        <item m="1" x="124"/>
        <item m="1" x="1318"/>
        <item m="1" x="994"/>
        <item m="1" x="491"/>
        <item m="1" x="346"/>
        <item m="1" x="1292"/>
        <item m="1" x="466"/>
        <item m="1" x="828"/>
        <item m="1" x="222"/>
        <item m="1" x="1074"/>
        <item m="1" x="1479"/>
        <item m="1" x="369"/>
        <item m="1" x="1257"/>
        <item m="1" x="642"/>
        <item m="1" x="570"/>
        <item m="1" x="503"/>
        <item m="1" x="1605"/>
        <item m="1" x="598"/>
        <item m="1" x="258"/>
        <item m="1" x="1085"/>
        <item m="1" x="1534"/>
        <item m="1" x="198"/>
        <item m="1" x="1641"/>
        <item m="1" x="507"/>
        <item m="1" x="1208"/>
        <item m="1" x="793"/>
        <item m="1" x="1532"/>
        <item m="1" x="1636"/>
        <item m="1" x="376"/>
        <item m="1" x="186"/>
        <item m="1" x="386"/>
        <item m="1" x="1438"/>
        <item m="1" x="1531"/>
        <item m="1" x="433"/>
        <item m="1" x="1355"/>
        <item m="1" x="873"/>
        <item m="1" x="1550"/>
        <item m="1" x="666"/>
        <item m="1" x="1552"/>
        <item m="1" x="974"/>
        <item m="1" x="342"/>
        <item m="1" x="748"/>
        <item m="1" x="1237"/>
        <item m="1" x="645"/>
        <item m="1" x="1483"/>
        <item m="1" x="949"/>
        <item m="1" x="1305"/>
        <item m="1" x="565"/>
        <item m="1" x="530"/>
        <item m="1" x="1612"/>
        <item m="1" x="786"/>
        <item m="1" x="851"/>
        <item m="1" x="1486"/>
        <item m="1" x="800"/>
        <item m="1" x="1673"/>
        <item m="1" x="372"/>
        <item m="1" x="1044"/>
        <item m="1" x="564"/>
        <item m="1" x="1366"/>
        <item m="1" x="750"/>
        <item x="0"/>
        <item m="1" x="429"/>
        <item m="1" x="1386"/>
        <item m="1" x="1700"/>
        <item m="1" x="997"/>
        <item m="1" x="1260"/>
        <item m="1" x="694"/>
        <item m="1" x="1393"/>
        <item m="1" x="1042"/>
        <item m="1" x="1547"/>
        <item m="1" x="659"/>
        <item m="1" x="1602"/>
        <item m="1" x="1425"/>
        <item m="1" x="1572"/>
        <item x="6"/>
      </items>
    </pivotField>
    <pivotField dataField="1" compact="0" outline="0" subtotalTop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4">
    <field x="1"/>
    <field x="3"/>
    <field x="6"/>
    <field x="5"/>
  </rowFields>
  <rowItems count="454">
    <i>
      <x/>
      <x v="332"/>
    </i>
    <i r="2">
      <x v="101"/>
      <x v="91"/>
    </i>
    <i r="2">
      <x v="135"/>
      <x v="91"/>
    </i>
    <i r="2">
      <x v="487"/>
      <x v="91"/>
    </i>
    <i r="2">
      <x v="565"/>
      <x v="93"/>
    </i>
    <i r="2">
      <x v="1724"/>
      <x v="91"/>
    </i>
    <i r="3">
      <x v="95"/>
    </i>
    <i r="3">
      <x v="97"/>
    </i>
    <i r="3">
      <x v="98"/>
    </i>
    <i>
      <x v="1"/>
      <x v="332"/>
    </i>
    <i r="2">
      <x v="101"/>
      <x v="91"/>
    </i>
    <i r="2">
      <x v="126"/>
      <x v="91"/>
    </i>
    <i r="2">
      <x v="475"/>
      <x v="91"/>
    </i>
    <i r="2">
      <x v="547"/>
      <x v="93"/>
    </i>
    <i r="2">
      <x v="1724"/>
      <x v="91"/>
    </i>
    <i r="3">
      <x v="95"/>
    </i>
    <i r="3">
      <x v="97"/>
    </i>
    <i r="3">
      <x v="98"/>
    </i>
    <i>
      <x v="2"/>
      <x v="332"/>
    </i>
    <i r="2">
      <x v="46"/>
      <x v="91"/>
    </i>
    <i r="2">
      <x v="66"/>
      <x v="91"/>
    </i>
    <i r="2">
      <x v="92"/>
      <x v="91"/>
    </i>
    <i r="2">
      <x v="134"/>
      <x v="91"/>
    </i>
    <i r="3">
      <x v="93"/>
    </i>
    <i r="2">
      <x v="223"/>
      <x v="91"/>
    </i>
    <i r="2">
      <x v="240"/>
      <x v="93"/>
    </i>
    <i r="2">
      <x v="298"/>
      <x v="91"/>
    </i>
    <i r="2">
      <x v="445"/>
      <x v="93"/>
    </i>
    <i r="2">
      <x v="1724"/>
      <x v="91"/>
    </i>
    <i r="3">
      <x v="92"/>
    </i>
    <i r="3">
      <x v="95"/>
    </i>
    <i r="3">
      <x v="96"/>
    </i>
    <i r="3">
      <x v="97"/>
    </i>
    <i r="3">
      <x v="128"/>
    </i>
    <i>
      <x v="3"/>
      <x v="332"/>
    </i>
    <i r="2">
      <x v="61"/>
      <x v="91"/>
    </i>
    <i r="2">
      <x v="83"/>
      <x v="91"/>
    </i>
    <i r="2">
      <x v="86"/>
      <x v="91"/>
    </i>
    <i r="2">
      <x v="124"/>
      <x v="91"/>
    </i>
    <i r="2">
      <x v="240"/>
      <x v="91"/>
    </i>
    <i r="2">
      <x v="281"/>
      <x v="91"/>
    </i>
    <i r="2">
      <x v="315"/>
      <x v="93"/>
    </i>
    <i r="2">
      <x v="319"/>
      <x v="93"/>
    </i>
    <i r="2">
      <x v="1724"/>
      <x v="91"/>
    </i>
    <i r="3">
      <x v="95"/>
    </i>
    <i r="3">
      <x v="96"/>
    </i>
    <i r="3">
      <x v="97"/>
    </i>
    <i>
      <x v="4"/>
      <x v="332"/>
    </i>
    <i r="2">
      <x v="38"/>
      <x v="91"/>
    </i>
    <i r="2">
      <x v="50"/>
      <x v="91"/>
    </i>
    <i r="2">
      <x v="86"/>
      <x v="91"/>
    </i>
    <i r="2">
      <x v="150"/>
      <x v="91"/>
    </i>
    <i r="2">
      <x v="188"/>
      <x v="91"/>
    </i>
    <i r="2">
      <x v="191"/>
      <x v="93"/>
    </i>
    <i r="2">
      <x v="193"/>
      <x v="93"/>
    </i>
    <i r="2">
      <x v="1724"/>
      <x v="91"/>
    </i>
    <i r="3">
      <x v="95"/>
    </i>
    <i r="3">
      <x v="96"/>
    </i>
    <i r="3">
      <x v="97"/>
    </i>
    <i>
      <x v="5"/>
      <x v="332"/>
    </i>
    <i r="2">
      <x v="28"/>
      <x v="91"/>
    </i>
    <i r="2">
      <x v="57"/>
      <x v="91"/>
    </i>
    <i r="2">
      <x v="124"/>
      <x v="91"/>
    </i>
    <i r="2">
      <x v="167"/>
      <x v="91"/>
    </i>
    <i r="2">
      <x v="188"/>
      <x v="91"/>
    </i>
    <i r="2">
      <x v="189"/>
      <x v="93"/>
    </i>
    <i r="2">
      <x v="247"/>
      <x v="93"/>
    </i>
    <i r="2">
      <x v="1724"/>
      <x v="91"/>
    </i>
    <i r="3">
      <x v="95"/>
    </i>
    <i r="3">
      <x v="96"/>
    </i>
    <i r="3">
      <x v="97"/>
    </i>
    <i>
      <x v="6"/>
      <x v="332"/>
    </i>
    <i r="2">
      <x v="46"/>
      <x v="91"/>
    </i>
    <i r="2">
      <x v="61"/>
      <x v="91"/>
    </i>
    <i r="2">
      <x v="110"/>
      <x v="91"/>
    </i>
    <i r="2">
      <x v="124"/>
      <x v="91"/>
    </i>
    <i r="2">
      <x v="204"/>
      <x v="91"/>
    </i>
    <i r="3">
      <x v="93"/>
    </i>
    <i r="2">
      <x v="269"/>
      <x v="91"/>
    </i>
    <i r="2">
      <x v="280"/>
      <x v="93"/>
    </i>
    <i r="2">
      <x v="322"/>
      <x v="91"/>
    </i>
    <i r="2">
      <x v="412"/>
      <x v="93"/>
    </i>
    <i r="2">
      <x v="1724"/>
      <x v="91"/>
    </i>
    <i r="3">
      <x v="92"/>
    </i>
    <i r="3">
      <x v="95"/>
    </i>
    <i r="3">
      <x v="96"/>
    </i>
    <i r="3">
      <x v="97"/>
    </i>
    <i r="3">
      <x v="128"/>
    </i>
    <i>
      <x v="7"/>
      <x v="332"/>
    </i>
    <i r="2">
      <x v="46"/>
      <x v="91"/>
    </i>
    <i r="2">
      <x v="94"/>
      <x v="91"/>
    </i>
    <i r="2">
      <x v="336"/>
      <x v="91"/>
    </i>
    <i r="2">
      <x v="368"/>
      <x v="93"/>
    </i>
    <i r="2">
      <x v="1724"/>
      <x v="91"/>
    </i>
    <i r="3">
      <x v="92"/>
    </i>
    <i r="3">
      <x v="95"/>
    </i>
    <i r="3">
      <x v="97"/>
    </i>
    <i>
      <x v="8"/>
      <x v="332"/>
    </i>
    <i r="2">
      <x v="66"/>
      <x v="91"/>
    </i>
    <i r="2">
      <x v="134"/>
      <x v="91"/>
    </i>
    <i r="2">
      <x v="147"/>
      <x v="91"/>
    </i>
    <i r="2">
      <x v="440"/>
      <x v="91"/>
    </i>
    <i r="2">
      <x v="566"/>
      <x v="93"/>
    </i>
    <i r="2">
      <x v="1724"/>
      <x v="91"/>
    </i>
    <i r="3">
      <x v="92"/>
    </i>
    <i r="3">
      <x v="95"/>
    </i>
    <i r="3">
      <x v="97"/>
    </i>
    <i r="3">
      <x v="98"/>
    </i>
    <i r="3">
      <x v="99"/>
    </i>
    <i>
      <x v="9"/>
      <x v="332"/>
    </i>
    <i r="2">
      <x v="28"/>
      <x v="91"/>
    </i>
    <i r="2">
      <x v="83"/>
      <x v="91"/>
    </i>
    <i r="2">
      <x v="86"/>
      <x v="91"/>
    </i>
    <i r="2">
      <x v="150"/>
      <x v="91"/>
    </i>
    <i r="2">
      <x v="153"/>
      <x v="93"/>
    </i>
    <i r="2">
      <x v="167"/>
      <x v="91"/>
    </i>
    <i r="3">
      <x v="93"/>
    </i>
    <i r="2">
      <x v="269"/>
      <x v="91"/>
    </i>
    <i r="2">
      <x v="317"/>
      <x v="93"/>
    </i>
    <i r="2">
      <x v="1724"/>
      <x v="91"/>
    </i>
    <i r="3">
      <x v="95"/>
    </i>
    <i r="3">
      <x v="96"/>
    </i>
    <i r="3">
      <x v="97"/>
    </i>
    <i r="3">
      <x v="128"/>
    </i>
    <i>
      <x v="10"/>
      <x v="332"/>
    </i>
    <i r="2">
      <x v="61"/>
      <x v="91"/>
    </i>
    <i r="2">
      <x v="106"/>
      <x v="91"/>
    </i>
    <i r="2">
      <x v="223"/>
      <x v="91"/>
    </i>
    <i r="2">
      <x v="254"/>
      <x v="91"/>
    </i>
    <i r="2">
      <x v="267"/>
      <x v="93"/>
    </i>
    <i r="2">
      <x v="281"/>
      <x v="91"/>
    </i>
    <i r="2">
      <x v="434"/>
      <x v="93"/>
    </i>
    <i r="2">
      <x v="1724"/>
      <x v="91"/>
    </i>
    <i r="3">
      <x v="95"/>
    </i>
    <i r="3">
      <x v="96"/>
    </i>
    <i r="3">
      <x v="97"/>
    </i>
    <i>
      <x v="11"/>
      <x v="332"/>
    </i>
    <i r="2">
      <x v="46"/>
      <x v="91"/>
    </i>
    <i r="2">
      <x v="77"/>
      <x v="91"/>
    </i>
    <i r="2">
      <x v="83"/>
      <x v="91"/>
    </i>
    <i r="2">
      <x v="190"/>
      <x v="91"/>
    </i>
    <i r="2">
      <x v="204"/>
      <x v="91"/>
    </i>
    <i r="2">
      <x v="223"/>
      <x v="91"/>
    </i>
    <i r="2">
      <x v="351"/>
      <x v="93"/>
    </i>
    <i r="2">
      <x v="353"/>
      <x v="93"/>
    </i>
    <i r="2">
      <x v="1724"/>
      <x v="91"/>
    </i>
    <i r="3">
      <x v="92"/>
    </i>
    <i r="3">
      <x v="95"/>
    </i>
    <i r="3">
      <x v="96"/>
    </i>
    <i r="3">
      <x v="97"/>
    </i>
    <i>
      <x v="12"/>
      <x v="332"/>
    </i>
    <i r="2">
      <x v="66"/>
      <x v="91"/>
    </i>
    <i r="2">
      <x v="106"/>
      <x v="91"/>
    </i>
    <i r="2">
      <x v="124"/>
      <x v="91"/>
    </i>
    <i r="2">
      <x v="240"/>
      <x v="91"/>
    </i>
    <i r="2">
      <x v="254"/>
      <x v="93"/>
    </i>
    <i r="2">
      <x v="374"/>
      <x v="91"/>
    </i>
    <i r="2">
      <x v="454"/>
      <x v="93"/>
    </i>
    <i r="2">
      <x v="1724"/>
      <x v="91"/>
    </i>
    <i r="3">
      <x v="95"/>
    </i>
    <i r="3">
      <x v="96"/>
    </i>
    <i r="3">
      <x v="97"/>
    </i>
    <i>
      <x v="13"/>
      <x v="332"/>
    </i>
    <i r="2">
      <x v="43"/>
      <x v="91"/>
    </i>
    <i r="2">
      <x v="113"/>
      <x v="91"/>
    </i>
    <i r="2">
      <x v="124"/>
      <x v="91"/>
    </i>
    <i r="2">
      <x v="204"/>
      <x v="91"/>
    </i>
    <i r="3">
      <x v="93"/>
    </i>
    <i r="2">
      <x v="213"/>
      <x v="93"/>
    </i>
    <i r="2">
      <x v="347"/>
      <x v="91"/>
    </i>
    <i r="2">
      <x v="435"/>
      <x v="93"/>
    </i>
    <i r="2">
      <x v="1724"/>
      <x v="91"/>
    </i>
    <i r="3">
      <x v="95"/>
    </i>
    <i r="3">
      <x v="96"/>
    </i>
    <i r="3">
      <x v="97"/>
    </i>
    <i r="3">
      <x v="128"/>
    </i>
    <i>
      <x v="14"/>
      <x v="332"/>
    </i>
    <i r="2">
      <x v="46"/>
      <x v="91"/>
    </i>
    <i r="2">
      <x v="122"/>
      <x v="91"/>
    </i>
    <i r="2">
      <x v="190"/>
      <x v="91"/>
    </i>
    <i r="2">
      <x v="387"/>
      <x v="91"/>
    </i>
    <i r="2">
      <x v="532"/>
      <x v="93"/>
    </i>
    <i r="2">
      <x v="1724"/>
      <x v="91"/>
    </i>
    <i r="3">
      <x v="92"/>
    </i>
    <i r="3">
      <x v="95"/>
    </i>
    <i r="3">
      <x v="97"/>
    </i>
    <i r="3">
      <x v="98"/>
    </i>
    <i r="3">
      <x v="99"/>
    </i>
    <i>
      <x v="15"/>
      <x v="332"/>
    </i>
    <i r="2">
      <x v="66"/>
      <x v="91"/>
    </i>
    <i r="2">
      <x v="117"/>
      <x v="91"/>
    </i>
    <i r="2">
      <x v="475"/>
      <x v="91"/>
    </i>
    <i r="2">
      <x v="542"/>
      <x v="91"/>
    </i>
    <i r="2">
      <x v="845"/>
      <x v="93"/>
    </i>
    <i r="2">
      <x v="1724"/>
      <x v="91"/>
    </i>
    <i r="3">
      <x v="92"/>
    </i>
    <i r="3">
      <x v="95"/>
    </i>
    <i r="3">
      <x v="97"/>
    </i>
    <i r="3">
      <x v="98"/>
    </i>
    <i>
      <x v="16"/>
      <x v="332"/>
    </i>
    <i r="2">
      <x v="109"/>
      <x v="91"/>
    </i>
    <i r="2">
      <x v="124"/>
      <x v="91"/>
    </i>
    <i r="2">
      <x v="134"/>
      <x v="91"/>
    </i>
    <i r="3">
      <x v="93"/>
    </i>
    <i r="2">
      <x v="190"/>
      <x v="91"/>
    </i>
    <i r="2">
      <x v="298"/>
      <x v="91"/>
    </i>
    <i r="2">
      <x v="322"/>
      <x v="91"/>
    </i>
    <i r="2">
      <x v="333"/>
      <x v="93"/>
    </i>
    <i r="2">
      <x v="460"/>
      <x v="93"/>
    </i>
    <i r="2">
      <x v="1724"/>
      <x v="91"/>
    </i>
    <i r="3">
      <x v="95"/>
    </i>
    <i r="3">
      <x v="96"/>
    </i>
    <i r="3">
      <x v="97"/>
    </i>
    <i r="3">
      <x v="128"/>
    </i>
    <i r="1">
      <x v="625"/>
    </i>
    <i r="2">
      <x v="1559"/>
      <x v="150"/>
    </i>
    <i r="2">
      <x v="1724"/>
      <x v="93"/>
    </i>
    <i>
      <x v="17"/>
      <x v="332"/>
    </i>
    <i r="2">
      <x v="46"/>
      <x v="91"/>
    </i>
    <i r="2">
      <x v="66"/>
      <x v="91"/>
    </i>
    <i r="2">
      <x v="111"/>
      <x v="91"/>
    </i>
    <i r="2">
      <x v="124"/>
      <x v="91"/>
    </i>
    <i r="2">
      <x v="240"/>
      <x v="91"/>
    </i>
    <i r="2">
      <x v="254"/>
      <x v="93"/>
    </i>
    <i r="2">
      <x v="374"/>
      <x v="91"/>
    </i>
    <i r="2">
      <x v="463"/>
      <x v="93"/>
    </i>
    <i r="2">
      <x v="1724"/>
      <x v="91"/>
    </i>
    <i r="3">
      <x v="92"/>
    </i>
    <i r="3">
      <x v="95"/>
    </i>
    <i r="3">
      <x v="96"/>
    </i>
    <i r="3">
      <x v="97"/>
    </i>
    <i>
      <x v="18"/>
      <x v="332"/>
    </i>
    <i r="2">
      <x v="46"/>
      <x v="91"/>
    </i>
    <i r="2">
      <x v="147"/>
      <x v="91"/>
    </i>
    <i r="2">
      <x v="374"/>
      <x v="91"/>
    </i>
    <i r="3">
      <x v="93"/>
    </i>
    <i r="2">
      <x v="546"/>
      <x v="91"/>
    </i>
    <i r="2">
      <x v="607"/>
      <x v="93"/>
    </i>
    <i r="2">
      <x v="1724"/>
      <x v="91"/>
    </i>
    <i r="3">
      <x v="92"/>
    </i>
    <i r="3">
      <x v="95"/>
    </i>
    <i r="3">
      <x v="97"/>
    </i>
    <i r="3">
      <x v="114"/>
    </i>
    <i r="1">
      <x v="388"/>
    </i>
    <i r="2">
      <x v="837"/>
      <x v="93"/>
    </i>
    <i r="2">
      <x v="1724"/>
      <x v="109"/>
    </i>
    <i>
      <x v="1210"/>
      <x v="332"/>
    </i>
    <i r="2">
      <x v="46"/>
      <x v="91"/>
    </i>
    <i r="2">
      <x v="57"/>
      <x v="91"/>
    </i>
    <i r="2">
      <x v="86"/>
      <x v="91"/>
    </i>
    <i r="2">
      <x v="101"/>
      <x v="91"/>
    </i>
    <i r="2">
      <x v="223"/>
      <x v="91"/>
    </i>
    <i r="2">
      <x v="245"/>
      <x v="93"/>
    </i>
    <i r="2">
      <x v="322"/>
      <x v="91"/>
    </i>
    <i r="2">
      <x v="374"/>
      <x v="91"/>
    </i>
    <i r="3">
      <x v="93"/>
    </i>
    <i r="2">
      <x v="376"/>
      <x v="93"/>
    </i>
    <i r="2">
      <x v="993"/>
      <x v="91"/>
    </i>
    <i r="3">
      <x v="93"/>
    </i>
    <i r="2">
      <x v="1724"/>
      <x v="91"/>
    </i>
    <i r="3">
      <x v="92"/>
    </i>
    <i r="3">
      <x v="95"/>
    </i>
    <i r="3">
      <x v="96"/>
    </i>
    <i r="3">
      <x v="97"/>
    </i>
    <i r="3">
      <x v="114"/>
    </i>
    <i r="3">
      <x v="126"/>
    </i>
    <i r="3">
      <x v="129"/>
    </i>
    <i r="1">
      <x v="622"/>
    </i>
    <i r="2">
      <x v="19"/>
      <x v="137"/>
    </i>
    <i r="3">
      <x v="138"/>
    </i>
    <i r="3">
      <x v="140"/>
    </i>
    <i r="3">
      <x v="141"/>
    </i>
    <i r="3">
      <x v="142"/>
    </i>
    <i r="3">
      <x v="145"/>
    </i>
    <i r="2">
      <x v="706"/>
      <x v="139"/>
    </i>
    <i r="2">
      <x v="818"/>
      <x v="143"/>
    </i>
    <i r="2">
      <x v="1089"/>
      <x v="144"/>
    </i>
    <i r="2">
      <x v="1163"/>
      <x v="106"/>
    </i>
    <i r="2">
      <x v="1267"/>
      <x v="118"/>
    </i>
    <i r="2">
      <x v="1343"/>
      <x v="147"/>
    </i>
    <i r="3">
      <x v="148"/>
    </i>
    <i r="2">
      <x v="1365"/>
      <x v="136"/>
    </i>
    <i r="2">
      <x v="1710"/>
      <x v="93"/>
    </i>
    <i r="2">
      <x v="1724"/>
      <x v="92"/>
    </i>
    <i r="3">
      <x v="94"/>
    </i>
    <i r="3">
      <x v="95"/>
    </i>
    <i r="3">
      <x v="96"/>
    </i>
    <i r="3">
      <x v="97"/>
    </i>
    <i r="3">
      <x v="98"/>
    </i>
    <i r="3">
      <x v="99"/>
    </i>
    <i r="3">
      <x v="101"/>
    </i>
    <i r="3">
      <x v="102"/>
    </i>
    <i r="3">
      <x v="104"/>
    </i>
    <i r="3">
      <x v="108"/>
    </i>
    <i r="3">
      <x v="114"/>
    </i>
    <i r="3">
      <x v="119"/>
    </i>
    <i r="3">
      <x v="126"/>
    </i>
    <i r="3">
      <x v="128"/>
    </i>
    <i r="3">
      <x v="129"/>
    </i>
    <i r="3">
      <x v="135"/>
    </i>
    <i r="3">
      <x v="146"/>
    </i>
    <i>
      <x v="1241"/>
      <x v="332"/>
    </i>
    <i r="2">
      <x v="28"/>
      <x v="91"/>
    </i>
    <i r="2">
      <x v="46"/>
      <x v="91"/>
    </i>
    <i r="2">
      <x v="83"/>
      <x v="91"/>
    </i>
    <i r="2">
      <x v="124"/>
      <x v="91"/>
    </i>
    <i r="2">
      <x v="134"/>
      <x v="91"/>
    </i>
    <i r="3">
      <x v="93"/>
    </i>
    <i r="2">
      <x v="204"/>
      <x v="91"/>
    </i>
    <i r="2">
      <x v="207"/>
      <x v="93"/>
    </i>
    <i r="2">
      <x v="298"/>
      <x v="91"/>
    </i>
    <i r="2">
      <x v="371"/>
      <x v="93"/>
    </i>
    <i r="2">
      <x v="677"/>
      <x v="91"/>
    </i>
    <i r="3">
      <x v="93"/>
    </i>
    <i r="2">
      <x v="1724"/>
      <x v="91"/>
    </i>
    <i r="3">
      <x v="95"/>
    </i>
    <i r="3">
      <x v="96"/>
    </i>
    <i r="3">
      <x v="97"/>
    </i>
    <i r="3">
      <x v="99"/>
    </i>
    <i r="3">
      <x v="126"/>
    </i>
    <i r="3">
      <x v="128"/>
    </i>
    <i r="3">
      <x v="129"/>
    </i>
    <i>
      <x v="1269"/>
      <x v="332"/>
    </i>
    <i r="2">
      <x v="46"/>
      <x v="91"/>
    </i>
    <i r="2">
      <x v="55"/>
      <x v="91"/>
    </i>
    <i r="2">
      <x v="107"/>
      <x v="91"/>
    </i>
    <i r="2">
      <x v="124"/>
      <x v="91"/>
    </i>
    <i r="2">
      <x v="269"/>
      <x v="91"/>
    </i>
    <i r="2">
      <x v="278"/>
      <x v="93"/>
    </i>
    <i r="2">
      <x v="387"/>
      <x v="91"/>
    </i>
    <i r="2">
      <x v="472"/>
      <x v="93"/>
    </i>
    <i r="2">
      <x v="1724"/>
      <x v="91"/>
    </i>
    <i r="3">
      <x v="92"/>
    </i>
    <i r="3">
      <x v="95"/>
    </i>
    <i r="3">
      <x v="96"/>
    </i>
    <i r="3">
      <x v="97"/>
    </i>
    <i>
      <x v="1300"/>
      <x v="332"/>
    </i>
    <i r="2">
      <x v="69"/>
      <x v="91"/>
    </i>
    <i r="2">
      <x v="86"/>
      <x v="91"/>
    </i>
    <i r="2">
      <x v="88"/>
      <x v="91"/>
    </i>
    <i r="2">
      <x v="92"/>
      <x v="91"/>
    </i>
    <i r="2">
      <x v="223"/>
      <x v="91"/>
    </i>
    <i r="2">
      <x v="298"/>
      <x v="91"/>
    </i>
    <i r="2">
      <x v="307"/>
      <x v="93"/>
    </i>
    <i r="2">
      <x v="311"/>
      <x v="93"/>
    </i>
    <i r="2">
      <x v="1724"/>
      <x v="91"/>
    </i>
    <i r="3">
      <x v="95"/>
    </i>
    <i r="3">
      <x v="96"/>
    </i>
    <i r="3">
      <x v="97"/>
    </i>
    <i r="3">
      <x v="99"/>
    </i>
    <i>
      <x v="1330"/>
      <x v="332"/>
    </i>
    <i r="2">
      <x v="46"/>
      <x v="91"/>
    </i>
    <i r="2">
      <x v="149"/>
      <x v="91"/>
    </i>
    <i r="2">
      <x v="269"/>
      <x v="91"/>
    </i>
    <i r="2">
      <x v="535"/>
      <x v="91"/>
    </i>
    <i r="2">
      <x v="725"/>
      <x v="93"/>
    </i>
    <i r="2">
      <x v="1724"/>
      <x v="91"/>
    </i>
    <i r="3">
      <x v="92"/>
    </i>
    <i r="3">
      <x v="95"/>
    </i>
    <i r="3">
      <x v="97"/>
    </i>
    <i r="3">
      <x v="98"/>
    </i>
    <i r="3">
      <x v="99"/>
    </i>
    <i>
      <x v="1361"/>
      <x v="332"/>
    </i>
    <i r="2">
      <x v="103"/>
      <x v="91"/>
    </i>
    <i r="2">
      <x v="147"/>
      <x v="91"/>
    </i>
    <i r="2">
      <x v="156"/>
      <x v="91"/>
    </i>
    <i r="2">
      <x v="475"/>
      <x v="91"/>
    </i>
    <i r="2">
      <x v="620"/>
      <x v="93"/>
    </i>
    <i r="2">
      <x v="1724"/>
      <x v="91"/>
    </i>
    <i r="3">
      <x v="95"/>
    </i>
    <i r="3">
      <x v="97"/>
    </i>
    <i r="3">
      <x v="98"/>
    </i>
    <i r="3">
      <x v="99"/>
    </i>
    <i>
      <x v="1385"/>
      <x v="332"/>
    </i>
    <i r="2">
      <x v="92"/>
      <x v="91"/>
    </i>
    <i r="2">
      <x v="440"/>
      <x v="91"/>
    </i>
    <i r="2">
      <x v="462"/>
      <x v="93"/>
    </i>
    <i r="2">
      <x v="1724"/>
      <x v="91"/>
    </i>
    <i r="3">
      <x v="95"/>
    </i>
    <i r="3">
      <x v="97"/>
    </i>
    <i>
      <x v="1392"/>
      <x v="332"/>
    </i>
    <i r="2">
      <x v="55"/>
      <x v="91"/>
    </i>
    <i r="2">
      <x v="77"/>
      <x v="91"/>
    </i>
    <i r="2">
      <x v="113"/>
      <x v="91"/>
    </i>
    <i r="2">
      <x v="124"/>
      <x v="91"/>
    </i>
    <i r="2">
      <x v="167"/>
      <x v="91"/>
    </i>
    <i r="2">
      <x v="183"/>
      <x v="93"/>
    </i>
    <i r="2">
      <x v="269"/>
      <x v="91"/>
    </i>
    <i r="3">
      <x v="93"/>
    </i>
    <i r="2">
      <x v="336"/>
      <x v="91"/>
    </i>
    <i r="2">
      <x v="374"/>
      <x v="91"/>
    </i>
    <i r="3">
      <x v="93"/>
    </i>
    <i r="2">
      <x v="442"/>
      <x v="93"/>
    </i>
    <i r="2">
      <x v="1724"/>
      <x v="91"/>
    </i>
    <i r="3">
      <x v="95"/>
    </i>
    <i r="3">
      <x v="96"/>
    </i>
    <i r="3">
      <x v="97"/>
    </i>
    <i r="3">
      <x v="99"/>
    </i>
    <i r="3">
      <x v="108"/>
    </i>
    <i r="3">
      <x v="128"/>
    </i>
    <i>
      <x v="1398"/>
      <x v="517"/>
    </i>
    <i r="2">
      <x v="66"/>
      <x v="91"/>
    </i>
    <i r="2">
      <x v="88"/>
      <x v="91"/>
    </i>
    <i r="2">
      <x v="336"/>
      <x v="91"/>
    </i>
    <i r="2">
      <x v="372"/>
      <x v="93"/>
    </i>
    <i r="2">
      <x v="1724"/>
      <x v="91"/>
    </i>
    <i r="3">
      <x v="95"/>
    </i>
    <i r="3">
      <x v="97"/>
    </i>
    <i r="3">
      <x v="104"/>
    </i>
    <i r="1">
      <x v="623"/>
    </i>
    <i r="2">
      <x v="1033"/>
      <x v="106"/>
    </i>
    <i r="2">
      <x v="1724"/>
      <x v="93"/>
    </i>
    <i r="1">
      <x v="624"/>
    </i>
    <i r="2">
      <x v="1267"/>
      <x v="118"/>
    </i>
    <i r="2">
      <x v="1724"/>
      <x v="93"/>
    </i>
    <i>
      <x v="1404"/>
      <x v="332"/>
    </i>
    <i r="2">
      <x v="66"/>
      <x v="91"/>
    </i>
    <i r="2">
      <x v="77"/>
      <x v="91"/>
    </i>
    <i r="2">
      <x v="153"/>
      <x v="91"/>
    </i>
    <i r="2">
      <x v="190"/>
      <x v="91"/>
    </i>
    <i r="2">
      <x v="511"/>
      <x v="91"/>
    </i>
    <i r="2">
      <x v="676"/>
      <x v="93"/>
    </i>
    <i r="2">
      <x v="1724"/>
      <x v="91"/>
    </i>
    <i r="3">
      <x v="92"/>
    </i>
    <i r="3">
      <x v="95"/>
    </i>
    <i r="3">
      <x v="97"/>
    </i>
    <i r="3">
      <x v="98"/>
    </i>
    <i r="3">
      <x v="99"/>
    </i>
    <i>
      <x v="1410"/>
      <x v="332"/>
    </i>
    <i r="2">
      <x v="46"/>
      <x v="91"/>
    </i>
    <i r="2">
      <x v="55"/>
      <x v="91"/>
    </i>
    <i r="2">
      <x v="167"/>
      <x v="91"/>
    </i>
    <i r="2">
      <x v="183"/>
      <x v="93"/>
    </i>
    <i r="2">
      <x v="240"/>
      <x v="91"/>
    </i>
    <i r="2">
      <x v="249"/>
      <x v="93"/>
    </i>
    <i r="2">
      <x v="1724"/>
      <x v="91"/>
    </i>
    <i r="3">
      <x v="95"/>
    </i>
    <i r="3">
      <x v="97"/>
    </i>
    <i>
      <x v="1416"/>
      <x v="332"/>
    </i>
    <i r="2">
      <x v="61"/>
      <x v="91"/>
    </i>
    <i r="2">
      <x v="86"/>
      <x v="91"/>
    </i>
    <i r="2">
      <x v="103"/>
      <x v="91"/>
    </i>
    <i r="2">
      <x v="204"/>
      <x v="91"/>
    </i>
    <i r="3">
      <x v="93"/>
    </i>
    <i r="2">
      <x v="240"/>
      <x v="91"/>
    </i>
    <i r="2">
      <x v="253"/>
      <x v="93"/>
    </i>
    <i r="2">
      <x v="347"/>
      <x v="91"/>
    </i>
    <i r="2">
      <x v="401"/>
      <x v="93"/>
    </i>
    <i r="2">
      <x v="1724"/>
      <x v="91"/>
    </i>
    <i r="3">
      <x v="95"/>
    </i>
    <i r="3">
      <x v="96"/>
    </i>
    <i r="3">
      <x v="97"/>
    </i>
    <i r="3">
      <x v="128"/>
    </i>
    <i t="grand">
      <x/>
    </i>
  </rowItems>
  <colFields count="1">
    <field x="-2"/>
  </colFields>
  <colItems count="2">
    <i>
      <x/>
    </i>
    <i i="1">
      <x v="1"/>
    </i>
  </colItems>
  <dataFields count="2">
    <dataField name="DR." fld="6" baseField="5" baseItem="58" numFmtId="168"/>
    <dataField name="CR." fld="7" baseField="5" baseItem="57" numFmtId="168"/>
  </dataFields>
  <formats count="24">
    <format dxfId="88">
      <pivotArea dataOnly="0" labelOnly="1" grandRow="1" outline="0" fieldPosition="0"/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dataOnly="0" labelOnly="1" outline="0" fieldPosition="0">
        <references count="1">
          <reference field="1" count="0"/>
        </references>
      </pivotArea>
    </format>
    <format dxfId="84">
      <pivotArea dataOnly="0" labelOnly="1" grandRow="1" outline="0" fieldPosition="0"/>
    </format>
    <format dxfId="8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2">
      <pivotArea dataOnly="0" labelOnly="1" outline="0" fieldPosition="0">
        <references count="1">
          <reference field="1" count="0"/>
        </references>
      </pivotArea>
    </format>
    <format dxfId="81">
      <pivotArea dataOnly="0" labelOnly="1" grandRow="1" outline="0" fieldPosition="0"/>
    </format>
    <format dxfId="80">
      <pivotArea dataOnly="0" labelOnly="1" outline="0" fieldPosition="0">
        <references count="1">
          <reference field="1" count="0"/>
        </references>
      </pivotArea>
    </format>
    <format dxfId="79">
      <pivotArea field="1" type="button" dataOnly="0" labelOnly="1" outline="0" axis="axisRow" fieldPosition="0"/>
    </format>
    <format dxfId="78">
      <pivotArea field="3" type="button" dataOnly="0" labelOnly="1" outline="0" axis="axisRow" fieldPosition="1"/>
    </format>
    <format dxfId="77">
      <pivotArea field="6" type="button" dataOnly="0" labelOnly="1" outline="0" axis="axisRow" fieldPosition="2"/>
    </format>
    <format dxfId="76">
      <pivotArea field="5" type="button" dataOnly="0" labelOnly="1" outline="0" axis="axisRow" fieldPosition="3"/>
    </format>
    <format dxfId="7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4">
      <pivotArea dataOnly="0" labelOnly="1" grandRow="1" outline="0" fieldPosition="0"/>
    </format>
    <format dxfId="73">
      <pivotArea type="all" dataOnly="0" outline="0" fieldPosition="0"/>
    </format>
    <format dxfId="72">
      <pivotArea dataOnly="0" labelOnly="1" outline="0" fieldPosition="0">
        <references count="1">
          <reference field="1" count="0"/>
        </references>
      </pivotArea>
    </format>
    <format dxfId="71">
      <pivotArea dataOnly="0" labelOnly="1" grandRow="1" outline="0" fieldPosition="0"/>
    </format>
    <format dxfId="70">
      <pivotArea outline="0" fieldPosition="0">
        <references count="1">
          <reference field="4294967294" count="1">
            <x v="0"/>
          </reference>
        </references>
      </pivotArea>
    </format>
    <format dxfId="69">
      <pivotArea outline="0" fieldPosition="0">
        <references count="1">
          <reference field="4294967294" count="1">
            <x v="1"/>
          </reference>
        </references>
      </pivotArea>
    </format>
    <format dxfId="68">
      <pivotArea dataOnly="0" labelOnly="1" outline="0" fieldPosition="0">
        <references count="1">
          <reference field="1" count="0"/>
        </references>
      </pivotArea>
    </format>
    <format dxfId="67">
      <pivotArea dataOnly="0" labelOnly="1" grandRow="1" outline="0" fieldPosition="0"/>
    </format>
    <format dxfId="66">
      <pivotArea outline="0" collapsedLevelsAreSubtotals="1" fieldPosition="0"/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4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4" cacheId="0" applyNumberFormats="0" applyBorderFormats="0" applyFontFormats="0" applyPatternFormats="0" applyAlignmentFormats="0" applyWidthHeightFormats="1" dataCaption="จำนวนเงิน (บาท)" updatedVersion="6" minRefreshableVersion="3" showDrill="0" pageWrap="1" fieldPrintTitles="1" itemPrintTitles="1" createdVersion="5" indent="0" compact="0" compactData="0" gridDropZones="1" multipleFieldFilters="0">
  <location ref="A3:F269" firstHeaderRow="1" firstDataRow="2" firstDataCol="4"/>
  <pivotFields count="13">
    <pivotField compact="0" outline="0" showAll="0" defaultSubtotal="0"/>
    <pivotField axis="axisRow" compact="0" outline="0" subtotalTop="0" showAll="0" defaultSubtotal="0">
      <items count="1417">
        <item m="1" x="223"/>
        <item m="1" x="917"/>
        <item m="1" x="247"/>
        <item m="1" x="354"/>
        <item m="1" x="378"/>
        <item m="1" x="401"/>
        <item m="1" x="443"/>
        <item m="1" x="1142"/>
        <item m="1" x="480"/>
        <item m="1" x="1175"/>
        <item m="1" x="510"/>
        <item m="1" x="1241"/>
        <item m="1" x="598"/>
        <item m="1" x="634"/>
        <item m="1" x="1350"/>
        <item m="1" x="1398"/>
        <item m="1" x="41"/>
        <item m="1" x="70"/>
        <item m="1" x="100"/>
        <item m="1" x="803"/>
        <item m="1" x="130"/>
        <item m="1" x="635"/>
        <item m="1" x="656"/>
        <item m="1" x="1399"/>
        <item m="1" x="42"/>
        <item m="1" x="748"/>
        <item m="1" x="71"/>
        <item m="1" x="773"/>
        <item m="1" x="804"/>
        <item m="1" x="131"/>
        <item m="1" x="830"/>
        <item m="1" x="155"/>
        <item m="1" x="855"/>
        <item m="1" x="677"/>
        <item m="1" x="1376"/>
        <item m="1" x="1402"/>
        <item m="1" x="45"/>
        <item m="1" x="74"/>
        <item m="1" x="776"/>
        <item m="1" x="805"/>
        <item m="1" x="831"/>
        <item m="1" x="156"/>
        <item m="1" x="856"/>
        <item m="1" x="181"/>
        <item m="1" x="238"/>
        <item m="1" x="990"/>
        <item m="1" x="326"/>
        <item m="1" x="849"/>
        <item m="1" x="900"/>
        <item m="1" x="951"/>
        <item m="1" x="1095"/>
        <item m="1" x="1130"/>
        <item m="1" x="1163"/>
        <item m="1" x="1196"/>
        <item m="1" x="1228"/>
        <item m="1" x="273"/>
        <item m="1" x="966"/>
        <item m="1" x="299"/>
        <item m="1" x="1162"/>
        <item m="1" x="498"/>
        <item m="1" x="1177"/>
        <item m="1" x="512"/>
        <item m="1" x="1194"/>
        <item m="1" x="528"/>
        <item m="1" x="1208"/>
        <item m="1" x="542"/>
        <item m="1" x="1224"/>
        <item m="1" x="554"/>
        <item m="1" x="1240"/>
        <item m="1" x="567"/>
        <item m="1" x="583"/>
        <item m="1" x="1272"/>
        <item m="1" x="597"/>
        <item m="1" x="1290"/>
        <item m="1" x="616"/>
        <item m="1" x="1307"/>
        <item m="1" x="632"/>
        <item m="1" x="1329"/>
        <item m="1" x="655"/>
        <item m="1" x="1349"/>
        <item m="1" x="1372"/>
        <item m="1" x="721"/>
        <item m="1" x="1195"/>
        <item m="1" x="529"/>
        <item m="1" x="1225"/>
        <item m="1" x="1242"/>
        <item m="1" x="1259"/>
        <item m="1" x="584"/>
        <item m="1" x="1308"/>
        <item m="1" x="633"/>
        <item m="1" x="1373"/>
        <item m="1" x="722"/>
        <item m="1" x="40"/>
        <item m="1" x="69"/>
        <item m="1" x="802"/>
        <item m="1" x="129"/>
        <item m="1" x="277"/>
        <item m="1" x="1017"/>
        <item m="1" x="373"/>
        <item m="1" x="396"/>
        <item m="1" x="485"/>
        <item m="1" x="203"/>
        <item m="1" x="206"/>
        <item m="1" x="904"/>
        <item m="1" x="231"/>
        <item m="1" x="901"/>
        <item m="1" x="925"/>
        <item m="1" x="255"/>
        <item m="1" x="947"/>
        <item m="1" x="280"/>
        <item m="1" x="972"/>
        <item m="1" x="305"/>
        <item m="1" x="996"/>
        <item m="1" x="1020"/>
        <item m="1" x="357"/>
        <item m="1" x="1044"/>
        <item m="1" x="376"/>
        <item m="1" x="1064"/>
        <item m="1" x="399"/>
        <item m="1" x="1082"/>
        <item m="1" x="420"/>
        <item m="1" x="1100"/>
        <item m="1" x="437"/>
        <item m="1" x="1117"/>
        <item m="1" x="455"/>
        <item m="1" x="1132"/>
        <item m="1" x="470"/>
        <item m="1" x="1148"/>
        <item m="1" x="486"/>
        <item m="1" x="1164"/>
        <item m="1" x="499"/>
        <item m="1" x="1182"/>
        <item m="1" x="517"/>
        <item m="1" x="259"/>
        <item m="1" x="952"/>
        <item m="1" x="284"/>
        <item m="1" x="976"/>
        <item m="1" x="309"/>
        <item m="1" x="999"/>
        <item m="1" x="335"/>
        <item m="1" x="1024"/>
        <item m="1" x="361"/>
        <item m="1" x="1048"/>
        <item m="1" x="381"/>
        <item m="1" x="1067"/>
        <item m="1" x="404"/>
        <item m="1" x="1085"/>
        <item m="1" x="424"/>
        <item m="1" x="1104"/>
        <item m="1" x="441"/>
        <item m="1" x="1120"/>
        <item m="1" x="459"/>
        <item m="1" x="1136"/>
        <item m="1" x="474"/>
        <item m="1" x="1152"/>
        <item m="1" x="488"/>
        <item m="1" x="1166"/>
        <item m="1" x="501"/>
        <item m="1" x="1184"/>
        <item m="1" x="519"/>
        <item m="1" x="1201"/>
        <item m="1" x="534"/>
        <item m="1" x="1216"/>
        <item m="1" x="313"/>
        <item m="1" x="1003"/>
        <item m="1" x="339"/>
        <item m="1" x="1028"/>
        <item m="1" x="1052"/>
        <item m="1" x="385"/>
        <item m="1" x="1070"/>
        <item m="1" x="408"/>
        <item m="1" x="1089"/>
        <item m="1" x="428"/>
        <item m="1" x="1108"/>
        <item m="1" x="446"/>
        <item m="1" x="1124"/>
        <item m="1" x="463"/>
        <item m="1" x="1140"/>
        <item m="1" x="478"/>
        <item m="1" x="1156"/>
        <item m="1" x="492"/>
        <item m="1" x="1170"/>
        <item m="1" x="505"/>
        <item m="1" x="1188"/>
        <item m="1" x="523"/>
        <item m="1" x="1203"/>
        <item m="1" x="536"/>
        <item m="1" x="1218"/>
        <item m="1" x="550"/>
        <item m="1" x="1236"/>
        <item m="1" x="563"/>
        <item m="1" x="1255"/>
        <item m="1" x="579"/>
        <item m="1" x="1178"/>
        <item m="1" x="513"/>
        <item m="1" x="1197"/>
        <item m="1" x="530"/>
        <item m="1" x="1209"/>
        <item m="1" x="543"/>
        <item m="1" x="1227"/>
        <item m="1" x="555"/>
        <item m="1" x="1243"/>
        <item m="1" x="1091"/>
        <item m="1" x="1260"/>
        <item m="1" x="585"/>
        <item m="1" x="1273"/>
        <item m="1" x="599"/>
        <item m="1" x="1291"/>
        <item m="1" x="617"/>
        <item m="1" x="1309"/>
        <item m="1" x="636"/>
        <item m="1" x="1330"/>
        <item m="1" x="657"/>
        <item m="1" x="1351"/>
        <item m="1" x="675"/>
        <item m="1" x="1374"/>
        <item m="1" x="699"/>
        <item m="1" x="1400"/>
        <item m="1" x="723"/>
        <item m="1" x="43"/>
        <item m="1" x="749"/>
        <item m="1" x="72"/>
        <item m="1" x="774"/>
        <item m="1" x="101"/>
        <item m="1" x="1210"/>
        <item m="1" x="544"/>
        <item m="1" x="1230"/>
        <item m="1" x="557"/>
        <item m="1" x="1245"/>
        <item m="1" x="569"/>
        <item m="1" x="1262"/>
        <item m="1" x="587"/>
        <item m="1" x="1275"/>
        <item m="1" x="601"/>
        <item m="1" x="1293"/>
        <item m="1" x="619"/>
        <item m="1" x="1311"/>
        <item m="1" x="638"/>
        <item m="1" x="1332"/>
        <item m="1" x="659"/>
        <item m="1" x="1353"/>
        <item m="1" x="678"/>
        <item m="1" x="1377"/>
        <item m="1" x="701"/>
        <item m="1" x="1403"/>
        <item m="1" x="725"/>
        <item m="1" x="46"/>
        <item m="1" x="751"/>
        <item m="1" x="75"/>
        <item m="1" x="777"/>
        <item m="1" x="103"/>
        <item m="1" x="806"/>
        <item m="1" x="1249"/>
        <item m="1" x="573"/>
        <item m="1" x="1266"/>
        <item m="1" x="591"/>
        <item m="1" x="1280"/>
        <item m="1" x="605"/>
        <item m="1" x="1297"/>
        <item m="1" x="623"/>
        <item m="1" x="1315"/>
        <item m="1" x="642"/>
        <item m="1" x="1336"/>
        <item m="1" x="663"/>
        <item m="1" x="1357"/>
        <item m="1" x="682"/>
        <item m="1" x="1381"/>
        <item m="1" x="705"/>
        <item m="1" x="1407"/>
        <item m="1" x="729"/>
        <item m="1" x="50"/>
        <item m="1" x="755"/>
        <item m="1" x="79"/>
        <item m="1" x="781"/>
        <item m="1" x="107"/>
        <item m="1" x="808"/>
        <item m="1" x="132"/>
        <item m="1" x="832"/>
        <item m="1" x="157"/>
        <item m="1" x="857"/>
        <item m="1" x="182"/>
        <item m="1" x="880"/>
        <item m="1" x="210"/>
        <item m="1" x="1284"/>
        <item m="1" x="609"/>
        <item m="1" x="1301"/>
        <item m="1" x="626"/>
        <item m="1" x="1319"/>
        <item m="1" x="646"/>
        <item m="1" x="1340"/>
        <item m="1" x="667"/>
        <item m="1" x="1361"/>
        <item m="1" x="686"/>
        <item m="1" x="1385"/>
        <item m="1" x="709"/>
        <item m="1" x="1411"/>
        <item m="1" x="733"/>
        <item m="1" x="54"/>
        <item m="1" x="759"/>
        <item m="1" x="83"/>
        <item m="1" x="785"/>
        <item m="1" x="111"/>
        <item m="1" x="813"/>
        <item m="1" x="134"/>
        <item m="1" x="834"/>
        <item m="1" x="159"/>
        <item m="1" x="859"/>
        <item m="1" x="184"/>
        <item m="1" x="882"/>
        <item m="1" x="212"/>
        <item m="1" x="908"/>
        <item m="1" x="239"/>
        <item m="1" x="932"/>
        <item m="1" x="1323"/>
        <item m="1" x="650"/>
        <item m="1" x="1344"/>
        <item m="1" x="670"/>
        <item m="1" x="1364"/>
        <item m="1" x="690"/>
        <item m="1" x="1389"/>
        <item m="1" x="713"/>
        <item m="1" x="1415"/>
        <item m="1" x="737"/>
        <item m="1" x="58"/>
        <item m="1" x="763"/>
        <item m="1" x="87"/>
        <item m="1" x="789"/>
        <item m="1" x="115"/>
        <item m="1" x="817"/>
        <item m="1" x="138"/>
        <item m="1" x="838"/>
        <item m="1" x="163"/>
        <item m="1" x="863"/>
        <item m="1" x="188"/>
        <item m="1" x="886"/>
        <item m="1" x="216"/>
        <item m="1" x="910"/>
        <item m="1" x="240"/>
        <item m="1" x="933"/>
        <item m="1" x="266"/>
        <item m="1" x="959"/>
        <item m="1" x="292"/>
        <item m="1" x="983"/>
        <item m="1" x="320"/>
        <item m="1" x="1367"/>
        <item m="1" x="693"/>
        <item m="1" x="1392"/>
        <item m="1" x="715"/>
        <item m="1" x="32"/>
        <item m="1" x="740"/>
        <item m="1" x="61"/>
        <item m="1" x="766"/>
        <item m="1" x="90"/>
        <item m="1" x="792"/>
        <item m="1" x="118"/>
        <item m="1" x="820"/>
        <item m="1" x="141"/>
        <item m="1" x="841"/>
        <item m="1" x="166"/>
        <item m="1" x="866"/>
        <item m="1" x="191"/>
        <item m="1" x="889"/>
        <item m="1" x="219"/>
        <item m="1" x="913"/>
        <item m="1" x="243"/>
        <item m="1" x="936"/>
        <item m="1" x="267"/>
        <item m="1" x="960"/>
        <item m="1" x="293"/>
        <item m="1" x="984"/>
        <item m="1" x="1010"/>
        <item m="1" x="347"/>
        <item m="1" x="1035"/>
        <item m="1" x="36"/>
        <item m="1" x="744"/>
        <item m="1" x="65"/>
        <item m="1" x="769"/>
        <item m="1" x="94"/>
        <item m="1" x="796"/>
        <item m="1" x="122"/>
        <item m="1" x="824"/>
        <item m="1" x="145"/>
        <item m="1" x="845"/>
        <item m="1" x="170"/>
        <item m="1" x="870"/>
        <item m="1" x="195"/>
        <item m="1" x="893"/>
        <item m="1" x="224"/>
        <item m="1" x="918"/>
        <item m="1" x="248"/>
        <item m="1" x="940"/>
        <item m="1" x="271"/>
        <item m="1" x="964"/>
        <item m="1" x="297"/>
        <item m="1" x="988"/>
        <item m="1" x="324"/>
        <item m="1" x="1012"/>
        <item m="1" x="349"/>
        <item m="1" x="1037"/>
        <item m="1" x="370"/>
        <item m="1" x="1059"/>
        <item m="1" x="393"/>
        <item m="1" x="1077"/>
        <item m="1" x="415"/>
        <item m="1" x="97"/>
        <item m="1" x="799"/>
        <item m="1" x="125"/>
        <item m="1" x="826"/>
        <item m="1" x="148"/>
        <item m="1" x="173"/>
        <item m="1" x="873"/>
        <item m="1" x="198"/>
        <item m="1" x="896"/>
        <item m="1" x="227"/>
        <item m="1" x="921"/>
        <item m="1" x="251"/>
        <item m="1" x="943"/>
        <item m="1" x="275"/>
        <item m="1" x="968"/>
        <item m="1" x="301"/>
        <item m="1" x="992"/>
        <item m="1" x="328"/>
        <item m="1" x="1015"/>
        <item m="1" x="352"/>
        <item m="1" x="1040"/>
        <item m="1" x="371"/>
        <item m="1" x="1060"/>
        <item m="1" x="394"/>
        <item m="1" x="1078"/>
        <item m="1" x="416"/>
        <item m="1" x="1097"/>
        <item m="1" x="435"/>
        <item m="1" x="1114"/>
        <item m="1" x="452"/>
        <item m="1" x="151"/>
        <item m="1" x="851"/>
        <item m="1" x="176"/>
        <item m="1" x="875"/>
        <item m="1" x="201"/>
        <item m="1" x="898"/>
        <item m="1" x="229"/>
        <item m="1" x="923"/>
        <item m="1" x="253"/>
        <item m="1" x="945"/>
        <item m="1" x="278"/>
        <item m="1" x="970"/>
        <item m="1" x="303"/>
        <item m="1" x="994"/>
        <item m="1" x="330"/>
        <item m="1" x="1018"/>
        <item m="1" x="355"/>
        <item m="1" x="1042"/>
        <item m="1" x="374"/>
        <item m="1" x="1062"/>
        <item m="1" x="397"/>
        <item m="1" x="1080"/>
        <item m="1" x="418"/>
        <item m="1" x="1098"/>
        <item m="1" x="1115"/>
        <item m="1" x="453"/>
        <item m="1" x="1131"/>
        <item m="1" x="469"/>
        <item m="1" x="1147"/>
        <item m="1" x="580"/>
        <item m="1" x="234"/>
        <item m="1" x="927"/>
        <item m="1" x="257"/>
        <item m="1" x="949"/>
        <item m="1" x="282"/>
        <item m="1" x="974"/>
        <item m="1" x="307"/>
        <item m="1" x="1050"/>
        <item m="1" x="333"/>
        <item m="1" x="1022"/>
        <item m="1" x="359"/>
        <item m="1" x="1046"/>
        <item m="1" x="379"/>
        <item m="1" x="1065"/>
        <item m="1" x="402"/>
        <item m="1" x="1226"/>
        <item m="1" x="422"/>
        <item m="1" x="1102"/>
        <item m="1" x="439"/>
        <item m="1" x="1118"/>
        <item m="1" x="457"/>
        <item m="1" x="1134"/>
        <item m="1" x="472"/>
        <item m="1" x="1150"/>
        <item m="1" x="487"/>
        <item m="1" x="1165"/>
        <item m="1" x="500"/>
        <item m="1" x="1183"/>
        <item m="1" x="518"/>
        <item m="1" x="262"/>
        <item m="1" x="955"/>
        <item m="1" x="287"/>
        <item m="1" x="978"/>
        <item m="1" x="311"/>
        <item m="1" x="1001"/>
        <item m="1" x="337"/>
        <item m="1" x="1026"/>
        <item m="1" x="363"/>
        <item m="1" x="383"/>
        <item m="1" x="1068"/>
        <item m="1" x="406"/>
        <item m="1" x="1087"/>
        <item m="1" x="426"/>
        <item m="1" x="1106"/>
        <item m="1" x="444"/>
        <item m="1" x="1122"/>
        <item m="1" x="461"/>
        <item m="1" x="1138"/>
        <item m="1" x="476"/>
        <item m="1" x="1154"/>
        <item m="1" x="490"/>
        <item m="1" x="1168"/>
        <item m="1" x="503"/>
        <item m="1" x="1186"/>
        <item m="1" x="521"/>
        <item m="1" x="1202"/>
        <item m="1" x="535"/>
        <item m="1" x="1217"/>
        <item m="1" x="316"/>
        <item m="1" x="1006"/>
        <item m="1" x="342"/>
        <item m="1" x="1030"/>
        <item m="1" x="1054"/>
        <item m="1" x="387"/>
        <item m="1" x="615"/>
        <item m="1" x="1072"/>
        <item m="1" x="410"/>
        <item m="1" x="430"/>
        <item m="1" x="1110"/>
        <item m="1" x="448"/>
        <item m="1" x="1126"/>
        <item m="1" x="465"/>
        <item m="1" x="1143"/>
        <item m="1" x="481"/>
        <item m="1" x="1158"/>
        <item m="1" x="494"/>
        <item m="1" x="1172"/>
        <item m="1" x="507"/>
        <item m="1" x="1190"/>
        <item m="1" x="525"/>
        <item m="1" x="1205"/>
        <item m="1" x="538"/>
        <item m="1" x="1220"/>
        <item m="1" x="551"/>
        <item m="1" x="1237"/>
        <item m="1" x="564"/>
        <item m="1" x="1256"/>
        <item m="1" x="1179"/>
        <item m="1" x="514"/>
        <item m="1" x="1198"/>
        <item m="1" x="531"/>
        <item m="1" x="1229"/>
        <item m="1" x="556"/>
        <item m="1" x="1244"/>
        <item m="1" x="568"/>
        <item m="1" x="1261"/>
        <item m="1" x="586"/>
        <item m="1" x="1274"/>
        <item m="1" x="600"/>
        <item m="1" x="1292"/>
        <item m="1" x="618"/>
        <item m="1" x="1310"/>
        <item m="1" x="637"/>
        <item m="1" x="1331"/>
        <item m="1" x="658"/>
        <item m="1" x="1352"/>
        <item m="1" x="676"/>
        <item m="1" x="1375"/>
        <item m="1" x="700"/>
        <item m="1" x="1401"/>
        <item m="1" x="724"/>
        <item m="1" x="44"/>
        <item m="1" x="750"/>
        <item m="1" x="73"/>
        <item m="1" x="775"/>
        <item m="1" x="102"/>
        <item m="1" x="1212"/>
        <item m="1" x="589"/>
        <item m="1" x="546"/>
        <item m="1" x="1232"/>
        <item m="1" x="559"/>
        <item m="1" x="1247"/>
        <item m="1" x="571"/>
        <item m="1" x="1264"/>
        <item m="1" x="590"/>
        <item m="1" x="1278"/>
        <item m="1" x="603"/>
        <item m="1" x="1295"/>
        <item m="1" x="621"/>
        <item m="1" x="1313"/>
        <item m="1" x="640"/>
        <item m="1" x="1334"/>
        <item m="1" x="661"/>
        <item m="1" x="1355"/>
        <item m="1" x="680"/>
        <item m="1" x="1379"/>
        <item m="1" x="703"/>
        <item m="1" x="1405"/>
        <item m="1" x="727"/>
        <item m="1" x="48"/>
        <item m="1" x="753"/>
        <item m="1" x="77"/>
        <item m="1" x="779"/>
        <item m="1" x="105"/>
        <item m="1" x="807"/>
        <item m="1" x="1251"/>
        <item m="1" x="575"/>
        <item m="1" x="1277"/>
        <item m="1" x="1268"/>
        <item m="1" x="593"/>
        <item m="1" x="1282"/>
        <item m="1" x="607"/>
        <item m="1" x="1299"/>
        <item m="1" x="625"/>
        <item m="1" x="1317"/>
        <item m="1" x="644"/>
        <item m="1" x="1338"/>
        <item m="1" x="665"/>
        <item m="1" x="1359"/>
        <item m="1" x="684"/>
        <item m="1" x="1383"/>
        <item m="1" x="707"/>
        <item m="1" x="1409"/>
        <item m="1" x="731"/>
        <item m="1" x="52"/>
        <item m="1" x="757"/>
        <item m="1" x="81"/>
        <item m="1" x="783"/>
        <item m="1" x="109"/>
        <item m="1" x="810"/>
        <item m="1" x="133"/>
        <item m="1" x="833"/>
        <item m="1" x="158"/>
        <item m="1" x="858"/>
        <item m="1" x="183"/>
        <item m="1" x="881"/>
        <item m="1" x="211"/>
        <item m="1" x="1286"/>
        <item m="1" x="611"/>
        <item m="1" x="1303"/>
        <item m="1" x="628"/>
        <item m="1" x="1321"/>
        <item m="1" x="648"/>
        <item m="1" x="1342"/>
        <item m="1" x="669"/>
        <item m="1" x="688"/>
        <item m="1" x="1387"/>
        <item m="1" x="711"/>
        <item m="1" x="1413"/>
        <item m="1" x="735"/>
        <item m="1" x="56"/>
        <item m="1" x="761"/>
        <item m="1" x="85"/>
        <item m="1" x="787"/>
        <item m="1" x="113"/>
        <item m="1" x="815"/>
        <item m="1" x="136"/>
        <item m="1" x="836"/>
        <item m="1" x="161"/>
        <item m="1" x="861"/>
        <item m="1" x="186"/>
        <item m="1" x="884"/>
        <item m="1" x="214"/>
        <item m="1" x="909"/>
        <item m="1" x="1325"/>
        <item m="1" x="1368"/>
        <item m="1" x="695"/>
        <item m="1" x="1394"/>
        <item m="1" x="717"/>
        <item m="1" x="34"/>
        <item m="1" x="742"/>
        <item m="1" x="63"/>
        <item m="1" x="768"/>
        <item m="1" x="92"/>
        <item m="1" x="794"/>
        <item m="1" x="120"/>
        <item m="1" x="822"/>
        <item m="1" x="143"/>
        <item m="1" x="843"/>
        <item m="1" x="168"/>
        <item m="1" x="868"/>
        <item m="1" x="193"/>
        <item m="1" x="891"/>
        <item m="1" x="221"/>
        <item m="1" x="915"/>
        <item m="1" x="245"/>
        <item m="1" x="938"/>
        <item m="1" x="269"/>
        <item m="1" x="962"/>
        <item m="1" x="295"/>
        <item m="1" x="986"/>
        <item m="1" x="322"/>
        <item m="1" x="1011"/>
        <item m="1" x="348"/>
        <item m="1" x="1036"/>
        <item m="1" x="153"/>
        <item m="1" x="853"/>
        <item m="1" x="178"/>
        <item m="1" x="877"/>
        <item m="1" x="204"/>
        <item m="1" x="902"/>
        <item m="1" x="232"/>
        <item m="1" x="926"/>
        <item m="1" x="256"/>
        <item m="1" x="948"/>
        <item m="1" x="281"/>
        <item m="1" x="973"/>
        <item m="1" x="306"/>
        <item m="1" x="997"/>
        <item m="1" x="332"/>
        <item m="1" x="1021"/>
        <item m="1" x="358"/>
        <item m="1" x="1045"/>
        <item m="1" x="377"/>
        <item m="1" x="400"/>
        <item m="1" x="1083"/>
        <item m="1" x="421"/>
        <item m="1" x="1101"/>
        <item m="1" x="438"/>
        <item m="1" x="456"/>
        <item m="1" x="1133"/>
        <item m="1" x="471"/>
        <item m="1" x="1149"/>
        <item m="1" x="208"/>
        <item m="1" x="906"/>
        <item m="1" x="929"/>
        <item m="1" x="260"/>
        <item m="1" x="953"/>
        <item m="1" x="285"/>
        <item m="1" x="977"/>
        <item m="1" x="310"/>
        <item m="1" x="1000"/>
        <item m="1" x="336"/>
        <item m="1" x="1025"/>
        <item m="1" x="362"/>
        <item m="1" x="1049"/>
        <item m="1" x="382"/>
        <item m="1" x="1086"/>
        <item m="1" x="425"/>
        <item m="1" x="1105"/>
        <item m="1" x="442"/>
        <item m="1" x="1121"/>
        <item m="1" x="460"/>
        <item m="1" x="1137"/>
        <item m="1" x="475"/>
        <item m="1" x="1153"/>
        <item m="1" x="489"/>
        <item m="1" x="1167"/>
        <item m="1" x="502"/>
        <item m="1" x="1185"/>
        <item m="1" x="520"/>
        <item m="1" x="405"/>
        <item m="1" x="264"/>
        <item m="1" x="957"/>
        <item m="1" x="289"/>
        <item m="1" x="980"/>
        <item m="1" x="314"/>
        <item m="1" x="1004"/>
        <item m="1" x="340"/>
        <item m="1" x="1029"/>
        <item m="1" x="365"/>
        <item m="1" x="1053"/>
        <item m="1" x="386"/>
        <item m="1" x="1071"/>
        <item m="1" x="409"/>
        <item m="1" x="1090"/>
        <item m="1" x="429"/>
        <item m="1" x="1109"/>
        <item m="1" x="447"/>
        <item m="1" x="1125"/>
        <item m="1" x="464"/>
        <item m="1" x="1141"/>
        <item m="1" x="479"/>
        <item m="1" x="1157"/>
        <item m="1" x="493"/>
        <item m="1" x="1171"/>
        <item m="1" x="506"/>
        <item m="1" x="1189"/>
        <item m="1" x="524"/>
        <item m="1" x="1204"/>
        <item m="1" x="537"/>
        <item m="1" x="1219"/>
        <item m="1" x="318"/>
        <item m="1" x="1008"/>
        <item m="1" x="344"/>
        <item m="1" x="1032"/>
        <item m="1" x="367"/>
        <item m="1" x="1056"/>
        <item m="1" x="389"/>
        <item m="1" x="1074"/>
        <item m="1" x="412"/>
        <item m="1" x="1093"/>
        <item m="1" x="432"/>
        <item m="1" x="1112"/>
        <item m="1" x="450"/>
        <item m="1" x="1128"/>
        <item m="1" x="467"/>
        <item m="1" x="1145"/>
        <item m="1" x="483"/>
        <item m="1" x="1160"/>
        <item m="1" x="496"/>
        <item m="1" x="1174"/>
        <item m="1" x="509"/>
        <item m="1" x="1192"/>
        <item m="1" x="527"/>
        <item m="1" x="1207"/>
        <item m="1" x="540"/>
        <item m="1" x="1222"/>
        <item m="1" x="552"/>
        <item m="1" x="1238"/>
        <item m="1" x="565"/>
        <item m="1" x="1257"/>
        <item m="1" x="581"/>
        <item m="1" x="1180"/>
        <item m="1" x="515"/>
        <item m="1" x="1199"/>
        <item m="1" x="532"/>
        <item m="1" x="1211"/>
        <item m="1" x="545"/>
        <item m="1" x="1231"/>
        <item m="1" x="558"/>
        <item m="1" x="1246"/>
        <item m="1" x="570"/>
        <item m="1" x="1263"/>
        <item m="1" x="588"/>
        <item m="1" x="1276"/>
        <item m="1" x="602"/>
        <item m="1" x="1294"/>
        <item m="1" x="620"/>
        <item m="1" x="1312"/>
        <item m="1" x="639"/>
        <item m="1" x="1333"/>
        <item m="1" x="660"/>
        <item m="1" x="1354"/>
        <item m="1" x="679"/>
        <item m="1" x="1378"/>
        <item m="1" x="702"/>
        <item m="1" x="1404"/>
        <item m="1" x="726"/>
        <item m="1" x="47"/>
        <item m="1" x="752"/>
        <item m="1" x="76"/>
        <item m="1" x="778"/>
        <item m="1" x="104"/>
        <item m="1" x="1214"/>
        <item m="1" x="548"/>
        <item m="1" x="1234"/>
        <item m="1" x="561"/>
        <item m="1" x="1250"/>
        <item m="1" x="574"/>
        <item m="1" x="1267"/>
        <item m="1" x="592"/>
        <item m="1" x="1281"/>
        <item m="1" x="606"/>
        <item m="1" x="1298"/>
        <item m="1" x="624"/>
        <item m="1" x="1316"/>
        <item m="1" x="643"/>
        <item m="1" x="1337"/>
        <item m="1" x="664"/>
        <item m="1" x="1358"/>
        <item m="1" x="683"/>
        <item m="1" x="1382"/>
        <item m="1" x="706"/>
        <item m="1" x="1408"/>
        <item m="1" x="730"/>
        <item m="1" x="51"/>
        <item m="1" x="756"/>
        <item m="1" x="80"/>
        <item m="1" x="782"/>
        <item m="1" x="108"/>
        <item m="1" x="809"/>
        <item m="1" x="1253"/>
        <item m="1" x="577"/>
        <item m="1" x="1270"/>
        <item m="1" x="595"/>
        <item m="1" x="1285"/>
        <item m="1" x="610"/>
        <item m="1" x="1302"/>
        <item m="1" x="627"/>
        <item m="1" x="1320"/>
        <item m="1" x="647"/>
        <item m="1" x="1341"/>
        <item m="1" x="668"/>
        <item m="1" x="1362"/>
        <item m="1" x="687"/>
        <item m="1" x="1386"/>
        <item m="1" x="710"/>
        <item m="1" x="1412"/>
        <item m="1" x="734"/>
        <item m="1" x="55"/>
        <item m="1" x="760"/>
        <item m="1" x="84"/>
        <item m="1" x="786"/>
        <item m="1" x="112"/>
        <item m="1" x="814"/>
        <item m="1" x="135"/>
        <item m="1" x="835"/>
        <item m="1" x="160"/>
        <item m="1" x="860"/>
        <item m="1" x="185"/>
        <item m="1" x="883"/>
        <item m="1" x="213"/>
        <item m="1" x="1288"/>
        <item m="1" x="613"/>
        <item m="1" x="1305"/>
        <item m="1" x="630"/>
        <item m="1" x="1324"/>
        <item m="1" x="651"/>
        <item m="1" x="1345"/>
        <item m="1" x="671"/>
        <item m="1" x="1365"/>
        <item m="1" x="691"/>
        <item m="1" x="1390"/>
        <item m="1" x="714"/>
        <item m="1" x="1416"/>
        <item m="1" x="738"/>
        <item m="1" x="59"/>
        <item m="1" x="764"/>
        <item m="1" x="88"/>
        <item m="1" x="790"/>
        <item m="1" x="116"/>
        <item m="1" x="818"/>
        <item m="1" x="139"/>
        <item m="1" x="839"/>
        <item m="1" x="164"/>
        <item m="1" x="864"/>
        <item m="1" x="189"/>
        <item m="1" x="887"/>
        <item m="1" x="217"/>
        <item m="1" x="911"/>
        <item m="1" x="241"/>
        <item m="1" x="934"/>
        <item m="1" x="1327"/>
        <item m="1" x="653"/>
        <item m="1" x="1347"/>
        <item m="1" x="673"/>
        <item m="1" x="694"/>
        <item m="1" x="1393"/>
        <item m="1" x="716"/>
        <item m="1" x="33"/>
        <item m="1" x="950"/>
        <item m="1" x="62"/>
        <item m="1" x="767"/>
        <item m="1" x="741"/>
        <item m="1" x="91"/>
        <item m="1" x="793"/>
        <item m="1" x="119"/>
        <item m="1" x="821"/>
        <item m="1" x="142"/>
        <item m="1" x="842"/>
        <item m="1" x="167"/>
        <item m="1" x="867"/>
        <item m="1" x="192"/>
        <item m="1" x="890"/>
        <item m="1" x="914"/>
        <item m="1" x="220"/>
        <item m="1" x="244"/>
        <item m="1" x="937"/>
        <item m="1" x="268"/>
        <item m="1" x="961"/>
        <item m="1" x="294"/>
        <item m="1" x="985"/>
        <item m="1" x="321"/>
        <item m="1" x="1370"/>
        <item m="1" x="697"/>
        <item m="1" x="1396"/>
        <item m="1" x="719"/>
        <item m="1" x="37"/>
        <item m="1" x="745"/>
        <item m="1" x="66"/>
        <item m="1" x="770"/>
        <item m="1" x="95"/>
        <item m="1" x="797"/>
        <item m="1" x="123"/>
        <item m="1" x="825"/>
        <item m="1" x="146"/>
        <item m="1" x="846"/>
        <item m="1" x="171"/>
        <item m="1" x="871"/>
        <item m="1" x="196"/>
        <item m="1" x="894"/>
        <item m="1" x="225"/>
        <item m="1" x="919"/>
        <item m="1" x="249"/>
        <item m="1" x="941"/>
        <item m="1" x="272"/>
        <item m="1" x="965"/>
        <item m="1" x="298"/>
        <item m="1" x="989"/>
        <item m="1" x="325"/>
        <item m="1" x="1013"/>
        <item m="1" x="350"/>
        <item m="1" x="1038"/>
        <item m="1" x="39"/>
        <item m="1" x="747"/>
        <item m="1" x="68"/>
        <item m="1" x="772"/>
        <item m="1" x="98"/>
        <item m="1" x="800"/>
        <item m="1" x="126"/>
        <item m="1" x="827"/>
        <item m="1" x="149"/>
        <item m="1" x="848"/>
        <item m="1" x="174"/>
        <item m="1" x="874"/>
        <item m="1" x="199"/>
        <item m="1" x="897"/>
        <item m="1" x="228"/>
        <item m="1" x="922"/>
        <item m="1" x="252"/>
        <item m="1" x="944"/>
        <item m="1" x="276"/>
        <item m="1" x="969"/>
        <item m="1" x="302"/>
        <item m="1" x="993"/>
        <item m="1" x="329"/>
        <item m="1" x="1016"/>
        <item m="1" x="353"/>
        <item m="1" x="1041"/>
        <item m="1" x="372"/>
        <item m="1" x="1061"/>
        <item m="1" x="395"/>
        <item m="1" x="1079"/>
        <item m="1" x="417"/>
        <item m="1" x="99"/>
        <item m="1" x="801"/>
        <item m="1" x="128"/>
        <item m="1" x="829"/>
        <item m="1" x="152"/>
        <item m="1" x="852"/>
        <item m="1" x="177"/>
        <item m="1" x="876"/>
        <item m="1" x="202"/>
        <item m="1" x="899"/>
        <item m="1" x="230"/>
        <item m="1" x="924"/>
        <item m="1" x="254"/>
        <item m="1" x="946"/>
        <item m="1" x="279"/>
        <item m="1" x="971"/>
        <item m="1" x="304"/>
        <item m="1" x="995"/>
        <item m="1" x="331"/>
        <item m="1" x="1019"/>
        <item m="1" x="356"/>
        <item m="1" x="1043"/>
        <item m="1" x="375"/>
        <item m="1" x="1063"/>
        <item m="1" x="398"/>
        <item m="1" x="1081"/>
        <item m="1" x="419"/>
        <item m="1" x="1099"/>
        <item m="1" x="436"/>
        <item m="1" x="1116"/>
        <item m="1" x="454"/>
        <item m="1" x="154"/>
        <item m="1" x="854"/>
        <item m="1" x="180"/>
        <item m="1" x="879"/>
        <item m="1" x="207"/>
        <item m="1" x="905"/>
        <item m="1" x="235"/>
        <item m="1" x="928"/>
        <item m="1" x="258"/>
        <item m="1" x="283"/>
        <item m="1" x="975"/>
        <item m="1" x="308"/>
        <item m="1" x="998"/>
        <item m="1" x="334"/>
        <item m="1" x="1023"/>
        <item m="1" x="360"/>
        <item m="1" x="1047"/>
        <item m="1" x="380"/>
        <item m="1" x="1066"/>
        <item m="1" x="403"/>
        <item m="1" x="1084"/>
        <item m="1" x="423"/>
        <item m="1" x="1103"/>
        <item m="1" x="440"/>
        <item m="1" x="1119"/>
        <item m="1" x="458"/>
        <item m="1" x="1135"/>
        <item m="1" x="473"/>
        <item m="1" x="1151"/>
        <item m="1" x="209"/>
        <item m="1" x="907"/>
        <item m="1" x="237"/>
        <item m="1" x="931"/>
        <item m="1" x="263"/>
        <item m="1" x="956"/>
        <item m="1" x="288"/>
        <item m="1" x="979"/>
        <item m="1" x="312"/>
        <item m="1" x="1002"/>
        <item m="1" x="338"/>
        <item m="1" x="1027"/>
        <item m="1" x="364"/>
        <item m="1" x="1051"/>
        <item m="1" x="384"/>
        <item m="1" x="1069"/>
        <item m="1" x="407"/>
        <item m="1" x="1088"/>
        <item m="1" x="427"/>
        <item m="1" x="1107"/>
        <item m="1" x="445"/>
        <item m="1" x="1123"/>
        <item m="1" x="462"/>
        <item m="1" x="1139"/>
        <item m="1" x="477"/>
        <item m="1" x="1155"/>
        <item m="1" x="491"/>
        <item m="1" x="1169"/>
        <item m="1" x="504"/>
        <item m="1" x="1187"/>
        <item m="1" x="522"/>
        <item m="1" x="265"/>
        <item m="1" x="812"/>
        <item m="1" x="958"/>
        <item m="1" x="291"/>
        <item m="1" x="982"/>
        <item m="1" x="317"/>
        <item m="1" x="1007"/>
        <item m="1" x="343"/>
        <item m="1" x="1031"/>
        <item m="1" x="366"/>
        <item m="1" x="1055"/>
        <item m="1" x="388"/>
        <item m="1" x="1073"/>
        <item m="1" x="411"/>
        <item m="1" x="1092"/>
        <item m="1" x="431"/>
        <item m="1" x="1111"/>
        <item m="1" x="449"/>
        <item m="1" x="1127"/>
        <item m="1" x="466"/>
        <item m="1" x="1144"/>
        <item m="1" x="482"/>
        <item m="1" x="1159"/>
        <item m="1" x="495"/>
        <item m="1" x="1173"/>
        <item m="1" x="508"/>
        <item m="1" x="1191"/>
        <item m="1" x="526"/>
        <item m="1" x="1206"/>
        <item m="1" x="539"/>
        <item m="1" x="1221"/>
        <item m="1" x="319"/>
        <item m="1" x="1009"/>
        <item m="1" x="346"/>
        <item m="1" x="1034"/>
        <item m="1" x="369"/>
        <item m="1" x="1058"/>
        <item m="1" x="391"/>
        <item m="1" x="1075"/>
        <item m="1" x="413"/>
        <item m="1" x="1094"/>
        <item m="1" x="433"/>
        <item m="1" x="1113"/>
        <item m="1" x="451"/>
        <item m="1" x="1129"/>
        <item m="1" x="468"/>
        <item m="1" x="1146"/>
        <item m="1" x="484"/>
        <item m="1" x="1161"/>
        <item m="1" x="497"/>
        <item m="1" x="1176"/>
        <item m="1" x="511"/>
        <item m="1" x="1193"/>
        <item m="1" x="541"/>
        <item m="1" x="1223"/>
        <item m="1" x="553"/>
        <item m="1" x="1239"/>
        <item m="1" x="566"/>
        <item m="1" x="1258"/>
        <item m="1" x="582"/>
        <item m="1" x="1181"/>
        <item m="1" x="516"/>
        <item m="1" x="1200"/>
        <item m="1" x="533"/>
        <item m="1" x="1213"/>
        <item m="1" x="547"/>
        <item m="1" x="1233"/>
        <item m="1" x="560"/>
        <item m="1" x="1248"/>
        <item m="1" x="572"/>
        <item m="1" x="1265"/>
        <item x="0"/>
        <item m="1" x="1279"/>
        <item m="1" x="604"/>
        <item m="1" x="1296"/>
        <item m="1" x="622"/>
        <item m="1" x="1314"/>
        <item m="1" x="641"/>
        <item m="1" x="1335"/>
        <item m="1" x="662"/>
        <item m="1" x="1356"/>
        <item m="1" x="681"/>
        <item m="1" x="1380"/>
        <item m="1" x="704"/>
        <item m="1" x="1406"/>
        <item m="1" x="728"/>
        <item m="1" x="49"/>
        <item m="1" x="754"/>
        <item m="1" x="78"/>
        <item m="1" x="780"/>
        <item m="1" x="106"/>
        <item m="1" x="1215"/>
        <item m="1" x="549"/>
        <item m="1" x="1235"/>
        <item m="1" x="562"/>
        <item m="1" x="1252"/>
        <item m="1" x="576"/>
        <item m="1" x="1269"/>
        <item m="1" x="594"/>
        <item m="1" x="1283"/>
        <item m="1" x="608"/>
        <item m="1" x="1300"/>
        <item x="1"/>
        <item m="1" x="1318"/>
        <item m="1" x="645"/>
        <item m="1" x="1339"/>
        <item m="1" x="666"/>
        <item m="1" x="1360"/>
        <item m="1" x="685"/>
        <item m="1" x="1384"/>
        <item m="1" x="708"/>
        <item m="1" x="1410"/>
        <item m="1" x="732"/>
        <item m="1" x="53"/>
        <item m="1" x="758"/>
        <item m="1" x="82"/>
        <item m="1" x="784"/>
        <item m="1" x="110"/>
        <item m="1" x="811"/>
        <item m="1" x="1254"/>
        <item m="1" x="578"/>
        <item m="1" x="1271"/>
        <item m="1" x="596"/>
        <item m="1" x="1287"/>
        <item m="1" x="612"/>
        <item m="1" x="1304"/>
        <item m="1" x="629"/>
        <item m="1" x="1322"/>
        <item m="1" x="649"/>
        <item m="1" x="1343"/>
        <item x="2"/>
        <item m="1" x="1363"/>
        <item m="1" x="689"/>
        <item m="1" x="1388"/>
        <item m="1" x="712"/>
        <item m="1" x="1414"/>
        <item m="1" x="736"/>
        <item m="1" x="57"/>
        <item m="1" x="762"/>
        <item m="1" x="86"/>
        <item m="1" x="788"/>
        <item m="1" x="114"/>
        <item m="1" x="816"/>
        <item m="1" x="137"/>
        <item m="1" x="837"/>
        <item m="1" x="162"/>
        <item m="1" x="862"/>
        <item m="1" x="187"/>
        <item m="1" x="885"/>
        <item m="1" x="215"/>
        <item m="1" x="1289"/>
        <item m="1" x="614"/>
        <item m="1" x="1306"/>
        <item m="1" x="631"/>
        <item m="1" x="1326"/>
        <item m="1" x="652"/>
        <item m="1" x="1346"/>
        <item m="1" x="672"/>
        <item m="1" x="1366"/>
        <item m="1" x="692"/>
        <item m="1" x="1391"/>
        <item x="3"/>
        <item m="1" x="31"/>
        <item m="1" x="739"/>
        <item m="1" x="60"/>
        <item m="1" x="765"/>
        <item m="1" x="89"/>
        <item m="1" x="791"/>
        <item m="1" x="117"/>
        <item m="1" x="819"/>
        <item m="1" x="140"/>
        <item m="1" x="840"/>
        <item m="1" x="165"/>
        <item m="1" x="865"/>
        <item m="1" x="190"/>
        <item m="1" x="888"/>
        <item m="1" x="218"/>
        <item m="1" x="912"/>
        <item m="1" x="242"/>
        <item m="1" x="935"/>
        <item m="1" x="1371"/>
        <item m="1" x="698"/>
        <item m="1" x="1328"/>
        <item m="1" x="654"/>
        <item m="1" x="1348"/>
        <item m="1" x="674"/>
        <item m="1" x="1369"/>
        <item m="1" x="696"/>
        <item m="1" x="67"/>
        <item m="1" x="1395"/>
        <item m="1" x="718"/>
        <item m="1" x="35"/>
        <item m="1" x="743"/>
        <item m="1" x="64"/>
        <item x="4"/>
        <item m="1" x="93"/>
        <item m="1" x="795"/>
        <item m="1" x="121"/>
        <item m="1" x="823"/>
        <item m="1" x="144"/>
        <item m="1" x="844"/>
        <item m="1" x="169"/>
        <item m="1" x="869"/>
        <item m="1" x="194"/>
        <item m="1" x="892"/>
        <item m="1" x="222"/>
        <item m="1" x="916"/>
        <item m="1" x="246"/>
        <item m="1" x="939"/>
        <item m="1" x="270"/>
        <item m="1" x="963"/>
        <item m="1" x="296"/>
        <item m="1" x="987"/>
        <item m="1" x="323"/>
        <item m="1" x="1397"/>
        <item m="1" x="720"/>
        <item m="1" x="38"/>
        <item m="1" x="746"/>
        <item m="1" x="771"/>
        <item m="1" x="96"/>
        <item m="1" x="798"/>
        <item m="1" x="124"/>
        <item x="5"/>
        <item m="1" x="147"/>
        <item m="1" x="847"/>
        <item m="1" x="172"/>
        <item m="1" x="872"/>
        <item m="1" x="197"/>
        <item m="1" x="895"/>
        <item m="1" x="226"/>
        <item m="1" x="920"/>
        <item m="1" x="250"/>
        <item m="1" x="942"/>
        <item m="1" x="274"/>
        <item m="1" x="967"/>
        <item m="1" x="300"/>
        <item m="1" x="991"/>
        <item m="1" x="327"/>
        <item m="1" x="1014"/>
        <item m="1" x="351"/>
        <item m="1" x="1039"/>
        <item m="1" x="127"/>
        <item m="1" x="179"/>
        <item m="1" x="236"/>
        <item m="1" x="290"/>
        <item m="1" x="345"/>
        <item m="1" x="392"/>
        <item m="1" x="200"/>
        <item m="1" x="828"/>
        <item m="1" x="878"/>
        <item m="1" x="930"/>
        <item m="1" x="981"/>
        <item m="1" x="1033"/>
        <item m="1" x="1076"/>
        <item m="1" x="150"/>
        <item m="1" x="205"/>
        <item m="1" x="261"/>
        <item m="1" x="315"/>
        <item m="1" x="368"/>
        <item m="1" x="414"/>
        <item m="1" x="850"/>
        <item m="1" x="903"/>
        <item m="1" x="954"/>
        <item m="1" x="1005"/>
        <item m="1" x="1057"/>
        <item m="1" x="1096"/>
        <item m="1" x="175"/>
        <item m="1" x="233"/>
        <item m="1" x="286"/>
        <item m="1" x="341"/>
        <item m="1" x="390"/>
        <item m="1" x="43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axis="axisRow" compact="0" outline="0" subtotalTop="0" showAll="0" defaultSubtotal="0">
      <items count="626">
        <item m="1" x="186"/>
        <item m="1" x="431"/>
        <item m="1" x="185"/>
        <item m="1" x="342"/>
        <item m="1" x="214"/>
        <item m="1" x="317"/>
        <item m="1" x="537"/>
        <item m="1" x="534"/>
        <item m="1" x="30"/>
        <item m="1" x="266"/>
        <item m="1" x="369"/>
        <item m="1" x="302"/>
        <item m="1" x="428"/>
        <item m="1" x="538"/>
        <item m="1" x="539"/>
        <item m="1" x="207"/>
        <item m="1" x="287"/>
        <item m="1" x="557"/>
        <item m="1" x="550"/>
        <item m="1" x="113"/>
        <item m="1" x="224"/>
        <item m="1" x="262"/>
        <item m="1" x="455"/>
        <item m="1" x="615"/>
        <item m="1" x="276"/>
        <item m="1" x="499"/>
        <item m="1" x="309"/>
        <item m="1" x="375"/>
        <item m="1" x="187"/>
        <item m="1" x="430"/>
        <item m="1" x="272"/>
        <item m="1" x="531"/>
        <item m="1" x="293"/>
        <item m="1" x="361"/>
        <item m="1" x="114"/>
        <item m="1" x="322"/>
        <item m="1" x="211"/>
        <item m="1" x="387"/>
        <item m="1" x="407"/>
        <item m="1" x="540"/>
        <item m="1" x="435"/>
        <item m="1" x="256"/>
        <item m="1" x="296"/>
        <item m="1" x="347"/>
        <item m="1" x="393"/>
        <item m="1" x="454"/>
        <item m="1" x="528"/>
        <item m="1" x="441"/>
        <item m="1" x="611"/>
        <item m="1" x="622"/>
        <item m="1" x="553"/>
        <item m="1" x="609"/>
        <item m="1" x="103"/>
        <item m="1" x="536"/>
        <item m="1" x="464"/>
        <item m="1" x="38"/>
        <item m="1" x="560"/>
        <item m="1" x="259"/>
        <item m="1" x="226"/>
        <item m="1" x="158"/>
        <item m="1" x="310"/>
        <item m="1" x="144"/>
        <item m="1" x="339"/>
        <item m="1" x="456"/>
        <item m="1" x="25"/>
        <item m="1" x="558"/>
        <item m="1" x="159"/>
        <item m="1" x="121"/>
        <item m="1" x="95"/>
        <item m="1" x="417"/>
        <item m="1" x="595"/>
        <item m="1" x="572"/>
        <item m="1" x="423"/>
        <item m="1" x="160"/>
        <item m="1" x="301"/>
        <item m="1" x="518"/>
        <item m="1" x="596"/>
        <item m="1" x="365"/>
        <item m="1" x="527"/>
        <item m="1" x="39"/>
        <item m="1" x="31"/>
        <item m="1" x="442"/>
        <item m="1" x="511"/>
        <item m="1" x="473"/>
        <item m="1" x="353"/>
        <item m="1" x="71"/>
        <item m="1" x="9"/>
        <item m="1" x="32"/>
        <item m="1" x="260"/>
        <item m="1" x="52"/>
        <item m="1" x="331"/>
        <item m="1" x="618"/>
        <item m="1" x="459"/>
        <item m="1" x="413"/>
        <item m="1" x="526"/>
        <item m="1" x="378"/>
        <item m="1" x="316"/>
        <item m="1" x="330"/>
        <item m="1" x="503"/>
        <item m="1" x="168"/>
        <item m="1" x="75"/>
        <item m="1" x="625"/>
        <item m="1" x="370"/>
        <item m="1" x="502"/>
        <item m="1" x="128"/>
        <item m="1" x="576"/>
        <item m="1" x="372"/>
        <item m="1" x="136"/>
        <item m="1" x="397"/>
        <item m="1" x="152"/>
        <item m="1" x="513"/>
        <item m="1" x="448"/>
        <item m="1" x="367"/>
        <item m="1" x="360"/>
        <item m="1" x="420"/>
        <item m="1" x="453"/>
        <item m="1" x="96"/>
        <item m="1" x="179"/>
        <item m="1" x="621"/>
        <item m="1" x="312"/>
        <item m="1" x="383"/>
        <item m="1" x="243"/>
        <item m="1" x="382"/>
        <item m="1" x="88"/>
        <item m="1" x="223"/>
        <item m="1" x="65"/>
        <item m="1" x="227"/>
        <item m="1" x="545"/>
        <item m="1" x="83"/>
        <item m="1" x="196"/>
        <item m="1" x="62"/>
        <item m="1" x="598"/>
        <item m="1" x="412"/>
        <item m="1" x="58"/>
        <item m="1" x="11"/>
        <item m="1" x="230"/>
        <item m="1" x="238"/>
        <item m="1" x="48"/>
        <item m="1" x="162"/>
        <item m="1" x="67"/>
        <item m="1" x="460"/>
        <item m="1" x="354"/>
        <item m="1" x="129"/>
        <item m="1" x="432"/>
        <item m="1" x="478"/>
        <item m="1" x="275"/>
        <item m="1" x="483"/>
        <item m="1" x="366"/>
        <item m="1" x="562"/>
        <item m="1" x="231"/>
        <item m="1" x="496"/>
        <item m="1" x="108"/>
        <item m="1" x="279"/>
        <item m="1" x="419"/>
        <item m="1" x="452"/>
        <item m="1" x="154"/>
        <item m="1" x="137"/>
        <item m="1" x="109"/>
        <item m="1" x="45"/>
        <item m="1" x="135"/>
        <item m="1" x="589"/>
        <item m="1" x="358"/>
        <item m="1" x="278"/>
        <item m="1" x="507"/>
        <item m="1" x="599"/>
        <item m="1" x="400"/>
        <item m="1" x="388"/>
        <item m="1" x="228"/>
        <item m="1" x="593"/>
        <item m="1" x="376"/>
        <item m="1" x="336"/>
        <item m="1" x="392"/>
        <item m="1" x="362"/>
        <item m="1" x="173"/>
        <item m="1" x="197"/>
        <item m="1" x="584"/>
        <item m="1" x="98"/>
        <item m="1" x="426"/>
        <item m="1" x="425"/>
        <item m="1" x="555"/>
        <item m="1" x="206"/>
        <item m="1" x="212"/>
        <item m="1" x="34"/>
        <item m="1" x="597"/>
        <item m="1" x="66"/>
        <item m="1" x="104"/>
        <item m="1" x="544"/>
        <item m="1" x="504"/>
        <item m="1" x="205"/>
        <item m="1" x="497"/>
        <item m="1" x="493"/>
        <item m="1" x="510"/>
        <item m="1" x="529"/>
        <item m="1" x="577"/>
        <item m="1" x="217"/>
        <item m="1" x="182"/>
        <item m="1" x="311"/>
        <item m="1" x="76"/>
        <item m="1" x="488"/>
        <item m="1" x="480"/>
        <item m="1" x="475"/>
        <item m="1" x="498"/>
        <item m="1" x="500"/>
        <item m="1" x="508"/>
        <item m="1" x="565"/>
        <item m="1" x="482"/>
        <item m="1" x="476"/>
        <item m="1" x="495"/>
        <item m="1" x="298"/>
        <item m="1" x="15"/>
        <item m="1" x="29"/>
        <item m="1" x="283"/>
        <item m="1" x="614"/>
        <item m="1" x="501"/>
        <item m="1" x="337"/>
        <item m="1" x="177"/>
        <item m="1" x="409"/>
        <item m="1" x="438"/>
        <item m="1" x="280"/>
        <item m="1" x="613"/>
        <item m="1" x="395"/>
        <item m="1" x="153"/>
        <item m="1" x="399"/>
        <item m="1" x="122"/>
        <item m="1" x="69"/>
        <item m="1" x="447"/>
        <item m="1" x="288"/>
        <item m="1" x="463"/>
        <item m="1" x="209"/>
        <item m="1" x="491"/>
        <item m="1" x="506"/>
        <item m="1" x="579"/>
        <item m="1" x="603"/>
        <item m="1" x="620"/>
        <item m="1" x="257"/>
        <item m="1" x="241"/>
        <item m="1" x="92"/>
        <item m="1" x="403"/>
        <item m="1" x="467"/>
        <item m="1" x="13"/>
        <item m="1" x="568"/>
        <item m="1" x="601"/>
        <item m="1" x="575"/>
        <item m="1" x="559"/>
        <item m="1" x="571"/>
        <item m="1" x="590"/>
        <item m="1" x="592"/>
        <item m="1" x="16"/>
        <item m="1" x="249"/>
        <item m="1" x="561"/>
        <item m="1" x="74"/>
        <item m="1" x="240"/>
        <item m="1" x="253"/>
        <item m="1" x="146"/>
        <item m="1" x="90"/>
        <item m="1" x="612"/>
        <item m="1" x="396"/>
        <item m="1" x="440"/>
        <item m="1" x="380"/>
        <item m="1" x="487"/>
        <item m="1" x="443"/>
        <item m="1" x="462"/>
        <item m="1" x="474"/>
        <item m="1" x="254"/>
        <item m="1" x="263"/>
        <item m="1" x="532"/>
        <item m="1" x="486"/>
        <item m="1" x="569"/>
        <item m="1" x="623"/>
        <item m="1" x="17"/>
        <item m="1" x="327"/>
        <item m="1" x="321"/>
        <item m="1" x="277"/>
        <item m="1" x="33"/>
        <item m="1" x="290"/>
        <item m="1" x="389"/>
        <item m="1" x="401"/>
        <item m="1" x="54"/>
        <item m="1" x="72"/>
        <item m="1" x="343"/>
        <item m="1" x="363"/>
        <item m="1" x="533"/>
        <item m="1" x="341"/>
        <item m="1" x="368"/>
        <item m="1" x="340"/>
        <item m="1" x="94"/>
        <item m="1" x="525"/>
        <item m="1" x="70"/>
        <item m="1" x="106"/>
        <item m="1" x="105"/>
        <item m="1" x="169"/>
        <item m="1" x="12"/>
        <item m="1" x="194"/>
        <item m="1" x="156"/>
        <item m="1" x="519"/>
        <item m="1" x="390"/>
        <item m="1" x="357"/>
        <item m="1" x="218"/>
        <item m="1" x="445"/>
        <item m="1" x="489"/>
        <item m="1" x="64"/>
        <item m="1" x="100"/>
        <item m="1" x="22"/>
        <item m="1" x="556"/>
        <item m="1" x="239"/>
        <item m="1" x="315"/>
        <item m="1" x="324"/>
        <item m="1" x="436"/>
        <item m="1" x="570"/>
        <item m="1" x="587"/>
        <item m="1" x="608"/>
        <item m="1" x="8"/>
        <item m="1" x="588"/>
        <item m="1" x="151"/>
        <item m="1" x="512"/>
        <item m="1" x="61"/>
        <item m="1" x="134"/>
        <item m="1" x="374"/>
        <item m="1" x="35"/>
        <item m="1" x="297"/>
        <item m="1" x="271"/>
        <item m="1" x="352"/>
        <item m="1" x="23"/>
        <item m="1" x="585"/>
        <item m="1" x="406"/>
        <item m="1" x="26"/>
        <item m="1" x="359"/>
        <item m="1" x="7"/>
        <item m="1" x="314"/>
        <item m="1" x="133"/>
        <item m="1" x="564"/>
        <item m="1" x="326"/>
        <item x="1"/>
        <item m="1" x="299"/>
        <item m="1" x="318"/>
        <item m="1" x="164"/>
        <item m="1" x="402"/>
        <item m="1" x="111"/>
        <item m="1" x="27"/>
        <item m="1" x="155"/>
        <item m="1" x="46"/>
        <item m="1" x="551"/>
        <item m="1" x="521"/>
        <item m="1" x="384"/>
        <item m="1" x="391"/>
        <item m="1" x="468"/>
        <item m="1" x="178"/>
        <item m="1" x="619"/>
        <item m="1" x="126"/>
        <item m="1" x="236"/>
        <item m="1" x="28"/>
        <item m="1" x="77"/>
        <item m="1" x="235"/>
        <item m="1" x="282"/>
        <item m="1" x="171"/>
        <item m="1" x="60"/>
        <item m="1" x="373"/>
        <item m="1" x="112"/>
        <item m="1" x="273"/>
        <item m="1" x="24"/>
        <item m="1" x="174"/>
        <item m="1" x="410"/>
        <item m="1" x="161"/>
        <item m="1" x="606"/>
        <item m="1" x="530"/>
        <item m="1" x="140"/>
        <item m="1" x="138"/>
        <item m="1" x="350"/>
        <item m="1" x="139"/>
        <item m="1" x="535"/>
        <item m="1" x="172"/>
        <item m="1" x="200"/>
        <item m="1" x="328"/>
        <item m="1" x="385"/>
        <item m="1" x="220"/>
        <item m="1" x="472"/>
        <item m="1" x="86"/>
        <item m="1" x="381"/>
        <item m="1" x="505"/>
        <item m="1" x="244"/>
        <item m="1" x="123"/>
        <item m="1" x="234"/>
        <item m="1" x="87"/>
        <item m="1" x="19"/>
        <item m="1" x="433"/>
        <item m="1" x="333"/>
        <item m="1" x="204"/>
        <item m="1" x="602"/>
        <item x="6"/>
        <item m="1" x="268"/>
        <item m="1" x="379"/>
        <item m="1" x="73"/>
        <item m="1" x="469"/>
        <item m="1" x="515"/>
        <item m="1" x="582"/>
        <item m="1" x="624"/>
        <item m="1" x="394"/>
        <item m="1" x="303"/>
        <item m="1" x="494"/>
        <item m="1" x="541"/>
        <item m="1" x="150"/>
        <item m="1" x="320"/>
        <item m="1" x="434"/>
        <item m="1" x="554"/>
        <item m="1" x="481"/>
        <item m="1" x="345"/>
        <item m="1" x="461"/>
        <item m="1" x="578"/>
        <item m="1" x="49"/>
        <item m="1" x="294"/>
        <item m="1" x="429"/>
        <item m="1" x="522"/>
        <item m="1" x="258"/>
        <item m="1" x="356"/>
        <item m="1" x="421"/>
        <item m="1" x="118"/>
        <item m="1" x="180"/>
        <item m="1" x="175"/>
        <item m="1" x="145"/>
        <item m="1" x="183"/>
        <item m="1" x="40"/>
        <item m="1" x="89"/>
        <item m="1" x="323"/>
        <item m="1" x="245"/>
        <item m="1" x="591"/>
        <item m="1" x="97"/>
        <item m="1" x="225"/>
        <item m="1" x="78"/>
        <item m="1" x="127"/>
        <item m="1" x="574"/>
        <item m="1" x="411"/>
        <item m="1" x="319"/>
        <item m="1" x="147"/>
        <item m="1" x="219"/>
        <item m="1" x="600"/>
        <item m="1" x="221"/>
        <item m="1" x="250"/>
        <item m="1" x="232"/>
        <item m="1" x="202"/>
        <item m="1" x="192"/>
        <item m="1" x="470"/>
        <item m="1" x="610"/>
        <item m="1" x="520"/>
        <item m="1" x="466"/>
        <item m="1" x="142"/>
        <item m="1" x="364"/>
        <item m="1" x="451"/>
        <item m="1" x="201"/>
        <item m="1" x="246"/>
        <item m="1" x="300"/>
        <item m="1" x="222"/>
        <item m="1" x="216"/>
        <item m="1" x="208"/>
        <item m="1" x="117"/>
        <item m="1" x="346"/>
        <item m="1" x="55"/>
        <item m="1" x="405"/>
        <item m="1" x="251"/>
        <item m="1" x="20"/>
        <item m="1" x="616"/>
        <item m="1" x="307"/>
        <item m="1" x="313"/>
        <item m="1" x="416"/>
        <item m="1" x="291"/>
        <item m="1" x="199"/>
        <item m="1" x="63"/>
        <item m="1" x="295"/>
        <item m="1" x="81"/>
        <item m="1" x="285"/>
        <item m="1" x="51"/>
        <item m="1" x="484"/>
        <item m="1" x="181"/>
        <item m="1" x="165"/>
        <item m="1" x="148"/>
        <item m="1" x="566"/>
        <item m="1" x="132"/>
        <item m="1" x="292"/>
        <item m="1" x="163"/>
        <item m="1" x="547"/>
        <item m="1" x="41"/>
        <item m="1" x="36"/>
        <item m="1" x="479"/>
        <item m="1" x="457"/>
        <item m="1" x="188"/>
        <item m="1" x="79"/>
        <item m="1" x="91"/>
        <item m="1" x="107"/>
        <item m="1" x="265"/>
        <item m="1" x="563"/>
        <item m="1" x="304"/>
        <item m="1" x="50"/>
        <item m="1" x="115"/>
        <item m="1" x="344"/>
        <item m="1" x="124"/>
        <item m="1" x="583"/>
        <item m="1" x="141"/>
        <item m="1" x="242"/>
        <item m="1" x="329"/>
        <item m="1" x="233"/>
        <item m="1" x="167"/>
        <item m="1" x="422"/>
        <item m="1" x="351"/>
        <item m="1" x="166"/>
        <item m="1" x="450"/>
        <item m="1" x="195"/>
        <item m="1" x="229"/>
        <item m="1" x="334"/>
        <item m="1" x="289"/>
        <item m="1" x="604"/>
        <item m="1" x="247"/>
        <item m="1" x="190"/>
        <item m="1" x="490"/>
        <item m="1" x="213"/>
        <item m="1" x="269"/>
        <item m="1" x="415"/>
        <item m="1" x="573"/>
        <item m="1" x="59"/>
        <item x="2"/>
        <item m="1" x="308"/>
        <item m="1" x="305"/>
        <item m="1" x="408"/>
        <item m="1" x="542"/>
        <item m="1" x="274"/>
        <item m="1" x="377"/>
        <item m="1" x="255"/>
        <item m="1" x="53"/>
        <item m="1" x="348"/>
        <item m="1" x="580"/>
        <item m="1" x="386"/>
        <item m="1" x="284"/>
        <item m="1" x="237"/>
        <item m="1" x="418"/>
        <item m="1" x="44"/>
        <item m="1" x="125"/>
        <item m="1" x="523"/>
        <item m="1" x="82"/>
        <item m="1" x="414"/>
        <item m="1" x="119"/>
        <item m="1" x="552"/>
        <item m="1" x="93"/>
        <item m="1" x="57"/>
        <item m="1" x="189"/>
        <item m="1" x="485"/>
        <item m="1" x="18"/>
        <item m="1" x="427"/>
        <item m="1" x="149"/>
        <item m="1" x="170"/>
        <item m="1" x="594"/>
        <item m="1" x="184"/>
        <item m="1" x="56"/>
        <item m="1" x="332"/>
        <item m="1" x="42"/>
        <item m="1" x="37"/>
        <item m="1" x="449"/>
        <item m="1" x="99"/>
        <item m="1" x="84"/>
        <item m="1" x="548"/>
        <item m="1" x="267"/>
        <item m="1" x="80"/>
        <item m="1" x="252"/>
        <item m="1" x="193"/>
        <item m="1" x="549"/>
        <item m="1" x="130"/>
        <item m="1" x="116"/>
        <item m="1" x="617"/>
        <item m="1" x="586"/>
        <item m="1" x="355"/>
        <item m="1" x="605"/>
        <item m="1" x="543"/>
        <item m="1" x="471"/>
        <item m="1" x="143"/>
        <item m="1" x="477"/>
        <item m="1" x="176"/>
        <item m="1" x="14"/>
        <item m="1" x="371"/>
        <item m="1" x="437"/>
        <item m="1" x="424"/>
        <item m="1" x="335"/>
        <item m="1" x="248"/>
        <item m="1" x="203"/>
        <item m="1" x="281"/>
        <item m="1" x="43"/>
        <item m="1" x="465"/>
        <item m="1" x="198"/>
        <item m="1" x="101"/>
        <item m="1" x="21"/>
        <item m="1" x="191"/>
        <item m="1" x="607"/>
        <item m="1" x="210"/>
        <item m="1" x="516"/>
        <item m="1" x="68"/>
        <item m="1" x="270"/>
        <item m="1" x="509"/>
        <item m="1" x="131"/>
        <item m="1" x="446"/>
        <item m="1" x="47"/>
        <item m="1" x="325"/>
        <item m="1" x="264"/>
        <item m="1" x="306"/>
        <item m="1" x="546"/>
        <item m="1" x="157"/>
        <item m="1" x="439"/>
        <item m="1" x="458"/>
        <item m="1" x="338"/>
        <item m="1" x="10"/>
        <item m="1" x="349"/>
        <item m="1" x="581"/>
        <item m="1" x="444"/>
        <item m="1" x="398"/>
        <item m="1" x="404"/>
        <item m="1" x="517"/>
        <item m="1" x="286"/>
        <item m="1" x="110"/>
        <item m="1" x="567"/>
        <item m="1" x="85"/>
        <item m="1" x="524"/>
        <item m="1" x="261"/>
        <item m="1" x="102"/>
        <item m="1" x="120"/>
        <item m="1" x="492"/>
        <item m="1" x="514"/>
        <item m="1" x="215"/>
        <item x="0"/>
        <item x="3"/>
        <item x="4"/>
        <item x="5"/>
      </items>
    </pivotField>
    <pivotField axis="axisRow" compact="0" outline="0" showAll="0" sortType="ascending" defaultSubtotal="0">
      <items count="92"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m="1" x="64"/>
        <item m="1" x="65"/>
        <item m="1" x="57"/>
        <item m="1" x="74"/>
        <item m="1" x="72"/>
        <item m="1" x="43"/>
        <item m="1" x="47"/>
        <item m="1" x="54"/>
        <item x="11"/>
        <item m="1" x="56"/>
        <item x="12"/>
        <item m="1" x="58"/>
        <item m="1" x="60"/>
        <item m="1" x="63"/>
        <item x="13"/>
        <item m="1" x="67"/>
        <item m="1" x="69"/>
        <item m="1" x="71"/>
        <item m="1" x="73"/>
        <item m="1" x="55"/>
        <item m="1" x="62"/>
        <item m="1" x="82"/>
        <item m="1" x="77"/>
        <item m="1" x="80"/>
        <item m="1" x="84"/>
        <item m="1" x="88"/>
        <item m="1" x="91"/>
        <item m="1" x="40"/>
        <item m="1" x="41"/>
        <item m="1" x="42"/>
        <item x="14"/>
        <item x="15"/>
        <item x="16"/>
        <item m="1" x="68"/>
        <item m="1" x="70"/>
        <item x="17"/>
        <item x="18"/>
        <item x="19"/>
        <item x="20"/>
        <item x="21"/>
        <item x="22"/>
        <item x="23"/>
        <item m="1" x="78"/>
        <item x="24"/>
        <item x="25"/>
        <item x="26"/>
        <item m="1" x="86"/>
        <item x="27"/>
        <item x="35"/>
        <item x="28"/>
        <item m="1" x="37"/>
        <item m="1" x="61"/>
        <item x="29"/>
        <item m="1" x="44"/>
        <item x="30"/>
        <item m="1" x="45"/>
        <item m="1" x="46"/>
        <item m="1" x="48"/>
        <item m="1" x="49"/>
        <item m="1" x="50"/>
        <item m="1" x="51"/>
        <item m="1" x="52"/>
        <item m="1" x="53"/>
        <item x="31"/>
        <item x="32"/>
        <item m="1" x="59"/>
        <item x="34"/>
        <item m="1" x="76"/>
        <item m="1" x="79"/>
        <item m="1" x="81"/>
        <item m="1" x="83"/>
        <item m="1" x="85"/>
        <item m="1" x="87"/>
        <item m="1" x="89"/>
        <item m="1" x="90"/>
        <item m="1" x="36"/>
        <item m="1" x="38"/>
        <item m="1" x="39"/>
        <item m="1" x="66"/>
        <item m="1" x="75"/>
      </items>
    </pivotField>
    <pivotField name="A" axis="axisRow" compact="0" subtotalTop="0" showAll="0" defaultSubtotal="0">
      <items count="151">
        <item m="1" x="124"/>
        <item m="1" x="144"/>
        <item m="1" x="49"/>
        <item m="1" x="147"/>
        <item m="1" x="81"/>
        <item m="1" x="72"/>
        <item m="1" x="67"/>
        <item m="1" x="92"/>
        <item m="1" x="87"/>
        <item m="1" x="44"/>
        <item m="1" x="63"/>
        <item m="1" x="111"/>
        <item m="1" x="95"/>
        <item m="1" x="85"/>
        <item m="1" x="80"/>
        <item m="1" x="78"/>
        <item m="1" x="91"/>
        <item m="1" x="98"/>
        <item m="1" x="90"/>
        <item m="1" x="102"/>
        <item m="1" x="51"/>
        <item m="1" x="100"/>
        <item m="1" x="53"/>
        <item m="1" x="123"/>
        <item m="1" x="149"/>
        <item m="1" x="61"/>
        <item m="1" x="116"/>
        <item m="1" x="145"/>
        <item m="1" x="131"/>
        <item m="1" x="99"/>
        <item m="1" x="54"/>
        <item m="1" x="43"/>
        <item m="1" x="117"/>
        <item m="1" x="118"/>
        <item m="1" x="126"/>
        <item m="1" x="115"/>
        <item m="1" x="58"/>
        <item m="1" x="106"/>
        <item m="1" x="59"/>
        <item m="1" x="75"/>
        <item m="1" x="137"/>
        <item m="1" x="84"/>
        <item m="1" x="64"/>
        <item m="1" x="74"/>
        <item m="1" x="42"/>
        <item m="1" x="97"/>
        <item m="1" x="69"/>
        <item m="1" x="71"/>
        <item m="1" x="89"/>
        <item m="1" x="94"/>
        <item m="1" x="65"/>
        <item m="1" x="88"/>
        <item m="1" x="37"/>
        <item m="1" x="125"/>
        <item m="1" x="103"/>
        <item m="1" x="45"/>
        <item m="1" x="101"/>
        <item m="1" x="56"/>
        <item m="1" x="122"/>
        <item m="1" x="108"/>
        <item m="1" x="134"/>
        <item m="1" x="47"/>
        <item m="1" x="68"/>
        <item m="1" x="77"/>
        <item m="1" x="48"/>
        <item m="1" x="128"/>
        <item m="1" x="140"/>
        <item m="1" x="62"/>
        <item m="1" x="82"/>
        <item m="1" x="104"/>
        <item m="1" x="120"/>
        <item m="1" x="121"/>
        <item m="1" x="40"/>
        <item m="1" x="52"/>
        <item m="1" x="119"/>
        <item m="1" x="143"/>
        <item m="1" x="73"/>
        <item m="1" x="39"/>
        <item m="1" x="142"/>
        <item m="1" x="130"/>
        <item m="1" x="129"/>
        <item m="1" x="127"/>
        <item m="1" x="136"/>
        <item m="1" x="135"/>
        <item m="1" x="55"/>
        <item m="1" x="113"/>
        <item m="1" x="146"/>
        <item m="1" x="112"/>
        <item m="1" x="148"/>
        <item m="1" x="133"/>
        <item m="1" x="36"/>
        <item x="33"/>
        <item x="28"/>
        <item x="0"/>
        <item x="14"/>
        <item x="17"/>
        <item x="18"/>
        <item x="24"/>
        <item x="19"/>
        <item x="20"/>
        <item m="1" x="46"/>
        <item x="23"/>
        <item x="22"/>
        <item m="1" x="110"/>
        <item x="27"/>
        <item m="1" x="141"/>
        <item x="30"/>
        <item m="1" x="76"/>
        <item x="21"/>
        <item x="35"/>
        <item m="1" x="109"/>
        <item m="1" x="38"/>
        <item m="1" x="150"/>
        <item m="1" x="132"/>
        <item x="26"/>
        <item m="1" x="86"/>
        <item m="1" x="50"/>
        <item m="1" x="139"/>
        <item x="29"/>
        <item x="15"/>
        <item m="1" x="96"/>
        <item m="1" x="57"/>
        <item m="1" x="66"/>
        <item m="1" x="138"/>
        <item m="1" x="105"/>
        <item m="1" x="41"/>
        <item x="12"/>
        <item m="1" x="70"/>
        <item x="11"/>
        <item x="25"/>
        <item m="1" x="114"/>
        <item m="1" x="60"/>
        <item m="1" x="107"/>
        <item m="1" x="93"/>
        <item m="1" x="83"/>
        <item x="13"/>
        <item x="1"/>
        <item x="2"/>
        <item x="3"/>
        <item x="4"/>
        <item x="6"/>
        <item x="7"/>
        <item x="8"/>
        <item x="9"/>
        <item x="10"/>
        <item x="5"/>
        <item x="16"/>
        <item x="31"/>
        <item x="32"/>
        <item m="1" x="79"/>
        <item x="34"/>
      </items>
    </pivotField>
    <pivotField dataField="1" compact="0" outline="0" subtotalTop="0" showAll="0"/>
    <pivotField dataField="1" compact="0" outline="0" subtotalTop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4">
    <field x="4"/>
    <field x="5"/>
    <field x="1"/>
    <field x="3"/>
  </rowFields>
  <rowItems count="265">
    <i>
      <x/>
      <x v="91"/>
    </i>
    <i r="2">
      <x v="1191"/>
      <x v="332"/>
    </i>
    <i r="2">
      <x v="1222"/>
      <x v="332"/>
    </i>
    <i r="2">
      <x v="1250"/>
      <x v="332"/>
    </i>
    <i r="2">
      <x v="1281"/>
      <x v="332"/>
    </i>
    <i r="2">
      <x v="1314"/>
      <x v="332"/>
    </i>
    <i r="2">
      <x v="1342"/>
      <x v="332"/>
    </i>
    <i r="2">
      <x v="1392"/>
      <x v="332"/>
    </i>
    <i r="2">
      <x v="1393"/>
      <x v="332"/>
    </i>
    <i r="2">
      <x v="1394"/>
      <x v="517"/>
    </i>
    <i r="2">
      <x v="1395"/>
      <x v="332"/>
    </i>
    <i r="2">
      <x v="1396"/>
      <x v="332"/>
    </i>
    <i r="2">
      <x v="1397"/>
      <x v="332"/>
    </i>
    <i r="2">
      <x v="1398"/>
      <x v="332"/>
    </i>
    <i r="2">
      <x v="1399"/>
      <x v="332"/>
    </i>
    <i r="2">
      <x v="1400"/>
      <x v="332"/>
    </i>
    <i r="2">
      <x v="1401"/>
      <x v="332"/>
    </i>
    <i r="2">
      <x v="1402"/>
      <x v="332"/>
    </i>
    <i r="2">
      <x v="1403"/>
      <x v="332"/>
    </i>
    <i r="2">
      <x v="1404"/>
      <x v="332"/>
    </i>
    <i r="2">
      <x v="1405"/>
      <x v="332"/>
    </i>
    <i r="2">
      <x v="1406"/>
      <x v="332"/>
    </i>
    <i r="2">
      <x v="1407"/>
      <x v="332"/>
    </i>
    <i r="2">
      <x v="1408"/>
      <x v="332"/>
    </i>
    <i r="2">
      <x v="1409"/>
      <x v="332"/>
    </i>
    <i r="2">
      <x v="1410"/>
      <x v="332"/>
    </i>
    <i r="2">
      <x v="1411"/>
      <x v="332"/>
    </i>
    <i r="2">
      <x v="1412"/>
      <x v="332"/>
    </i>
    <i r="2">
      <x v="1413"/>
      <x v="332"/>
    </i>
    <i r="2">
      <x v="1414"/>
      <x v="332"/>
    </i>
    <i r="2">
      <x v="1415"/>
      <x v="332"/>
    </i>
    <i r="2">
      <x v="1416"/>
      <x v="332"/>
    </i>
    <i>
      <x v="1"/>
      <x v="93"/>
    </i>
    <i r="2">
      <x v="1191"/>
      <x v="332"/>
    </i>
    <i r="3">
      <x v="622"/>
    </i>
    <i r="2">
      <x v="1222"/>
      <x v="332"/>
    </i>
    <i r="2">
      <x v="1250"/>
      <x v="332"/>
    </i>
    <i r="2">
      <x v="1281"/>
      <x v="332"/>
    </i>
    <i r="2">
      <x v="1314"/>
      <x v="332"/>
    </i>
    <i r="2">
      <x v="1342"/>
      <x v="332"/>
    </i>
    <i r="2">
      <x v="1392"/>
      <x v="332"/>
    </i>
    <i r="2">
      <x v="1393"/>
      <x v="332"/>
    </i>
    <i r="2">
      <x v="1394"/>
      <x v="517"/>
    </i>
    <i r="3">
      <x v="623"/>
    </i>
    <i r="3">
      <x v="624"/>
    </i>
    <i r="2">
      <x v="1395"/>
      <x v="332"/>
    </i>
    <i r="2">
      <x v="1396"/>
      <x v="332"/>
    </i>
    <i r="2">
      <x v="1397"/>
      <x v="332"/>
    </i>
    <i r="2">
      <x v="1398"/>
      <x v="332"/>
    </i>
    <i r="2">
      <x v="1399"/>
      <x v="332"/>
    </i>
    <i r="2">
      <x v="1400"/>
      <x v="332"/>
    </i>
    <i r="2">
      <x v="1401"/>
      <x v="332"/>
    </i>
    <i r="2">
      <x v="1402"/>
      <x v="332"/>
    </i>
    <i r="2">
      <x v="1403"/>
      <x v="332"/>
    </i>
    <i r="2">
      <x v="1404"/>
      <x v="332"/>
    </i>
    <i r="2">
      <x v="1405"/>
      <x v="332"/>
    </i>
    <i r="2">
      <x v="1406"/>
      <x v="332"/>
    </i>
    <i r="2">
      <x v="1407"/>
      <x v="332"/>
    </i>
    <i r="2">
      <x v="1408"/>
      <x v="332"/>
    </i>
    <i r="2">
      <x v="1409"/>
      <x v="332"/>
    </i>
    <i r="2">
      <x v="1410"/>
      <x v="332"/>
    </i>
    <i r="2">
      <x v="1411"/>
      <x v="332"/>
    </i>
    <i r="2">
      <x v="1412"/>
      <x v="332"/>
    </i>
    <i r="2">
      <x v="1413"/>
      <x v="332"/>
    </i>
    <i r="2">
      <x v="1414"/>
      <x v="332"/>
    </i>
    <i r="3">
      <x v="625"/>
    </i>
    <i r="2">
      <x v="1415"/>
      <x v="332"/>
    </i>
    <i r="2">
      <x v="1416"/>
      <x v="332"/>
    </i>
    <i r="3">
      <x v="388"/>
    </i>
    <i>
      <x v="2"/>
      <x v="136"/>
    </i>
    <i r="2">
      <x v="1191"/>
      <x v="622"/>
    </i>
    <i>
      <x v="3"/>
      <x v="137"/>
    </i>
    <i r="2">
      <x v="1191"/>
      <x v="622"/>
    </i>
    <i>
      <x v="4"/>
      <x v="138"/>
    </i>
    <i r="2">
      <x v="1191"/>
      <x v="622"/>
    </i>
    <i>
      <x v="5"/>
      <x v="139"/>
    </i>
    <i r="2">
      <x v="1191"/>
      <x v="622"/>
    </i>
    <i>
      <x v="6"/>
      <x v="145"/>
    </i>
    <i r="2">
      <x v="1191"/>
      <x v="622"/>
    </i>
    <i>
      <x v="7"/>
      <x v="140"/>
    </i>
    <i r="2">
      <x v="1191"/>
      <x v="622"/>
    </i>
    <i>
      <x v="8"/>
      <x v="141"/>
    </i>
    <i r="2">
      <x v="1191"/>
      <x v="622"/>
    </i>
    <i>
      <x v="9"/>
      <x v="142"/>
    </i>
    <i r="2">
      <x v="1191"/>
      <x v="622"/>
    </i>
    <i>
      <x v="10"/>
      <x v="143"/>
    </i>
    <i r="2">
      <x v="1191"/>
      <x v="622"/>
    </i>
    <i>
      <x v="11"/>
      <x v="144"/>
    </i>
    <i r="2">
      <x v="1191"/>
      <x v="622"/>
    </i>
    <i>
      <x v="20"/>
      <x v="128"/>
    </i>
    <i r="2">
      <x v="1191"/>
      <x v="622"/>
    </i>
    <i r="2">
      <x v="1222"/>
      <x v="332"/>
    </i>
    <i r="2">
      <x v="1393"/>
      <x v="332"/>
    </i>
    <i r="2">
      <x v="1397"/>
      <x v="332"/>
    </i>
    <i r="2">
      <x v="1400"/>
      <x v="332"/>
    </i>
    <i r="2">
      <x v="1404"/>
      <x v="332"/>
    </i>
    <i r="2">
      <x v="1407"/>
      <x v="332"/>
    </i>
    <i r="2">
      <x v="1411"/>
      <x v="332"/>
    </i>
    <i r="2">
      <x v="1414"/>
      <x v="332"/>
    </i>
    <i>
      <x v="22"/>
      <x v="126"/>
    </i>
    <i r="2">
      <x v="1191"/>
      <x v="332"/>
    </i>
    <i r="3">
      <x v="622"/>
    </i>
    <i r="2">
      <x v="1222"/>
      <x v="332"/>
    </i>
    <i>
      <x v="26"/>
      <x v="135"/>
    </i>
    <i r="2">
      <x v="1191"/>
      <x v="622"/>
    </i>
    <i>
      <x v="42"/>
      <x v="94"/>
    </i>
    <i r="2">
      <x v="1191"/>
      <x v="622"/>
    </i>
    <i>
      <x v="43"/>
      <x v="119"/>
    </i>
    <i r="2">
      <x v="1191"/>
      <x v="622"/>
    </i>
    <i>
      <x v="44"/>
      <x v="146"/>
    </i>
    <i r="2">
      <x v="1191"/>
      <x v="622"/>
    </i>
    <i>
      <x v="47"/>
      <x v="95"/>
    </i>
    <i r="2">
      <x v="1191"/>
      <x v="332"/>
    </i>
    <i r="3">
      <x v="622"/>
    </i>
    <i r="2">
      <x v="1222"/>
      <x v="332"/>
    </i>
    <i r="2">
      <x v="1250"/>
      <x v="332"/>
    </i>
    <i r="2">
      <x v="1281"/>
      <x v="332"/>
    </i>
    <i r="2">
      <x v="1314"/>
      <x v="332"/>
    </i>
    <i r="2">
      <x v="1342"/>
      <x v="332"/>
    </i>
    <i r="2">
      <x v="1392"/>
      <x v="332"/>
    </i>
    <i r="2">
      <x v="1393"/>
      <x v="332"/>
    </i>
    <i r="2">
      <x v="1394"/>
      <x v="517"/>
    </i>
    <i r="2">
      <x v="1395"/>
      <x v="332"/>
    </i>
    <i r="2">
      <x v="1396"/>
      <x v="332"/>
    </i>
    <i r="2">
      <x v="1397"/>
      <x v="332"/>
    </i>
    <i r="2">
      <x v="1398"/>
      <x v="332"/>
    </i>
    <i r="2">
      <x v="1399"/>
      <x v="332"/>
    </i>
    <i r="2">
      <x v="1400"/>
      <x v="332"/>
    </i>
    <i r="2">
      <x v="1401"/>
      <x v="332"/>
    </i>
    <i r="2">
      <x v="1402"/>
      <x v="332"/>
    </i>
    <i r="2">
      <x v="1403"/>
      <x v="332"/>
    </i>
    <i r="2">
      <x v="1404"/>
      <x v="332"/>
    </i>
    <i r="2">
      <x v="1405"/>
      <x v="332"/>
    </i>
    <i r="2">
      <x v="1406"/>
      <x v="332"/>
    </i>
    <i r="2">
      <x v="1407"/>
      <x v="332"/>
    </i>
    <i r="2">
      <x v="1408"/>
      <x v="332"/>
    </i>
    <i r="2">
      <x v="1409"/>
      <x v="332"/>
    </i>
    <i r="2">
      <x v="1410"/>
      <x v="332"/>
    </i>
    <i r="2">
      <x v="1411"/>
      <x v="332"/>
    </i>
    <i r="2">
      <x v="1412"/>
      <x v="332"/>
    </i>
    <i r="2">
      <x v="1413"/>
      <x v="332"/>
    </i>
    <i r="2">
      <x v="1414"/>
      <x v="332"/>
    </i>
    <i r="2">
      <x v="1415"/>
      <x v="332"/>
    </i>
    <i r="2">
      <x v="1416"/>
      <x v="332"/>
    </i>
    <i>
      <x v="48"/>
      <x v="96"/>
    </i>
    <i r="2">
      <x v="1191"/>
      <x v="332"/>
    </i>
    <i r="3">
      <x v="622"/>
    </i>
    <i r="2">
      <x v="1222"/>
      <x v="332"/>
    </i>
    <i r="2">
      <x v="1250"/>
      <x v="332"/>
    </i>
    <i r="2">
      <x v="1281"/>
      <x v="332"/>
    </i>
    <i r="2">
      <x v="1393"/>
      <x v="332"/>
    </i>
    <i r="2">
      <x v="1397"/>
      <x v="332"/>
    </i>
    <i r="2">
      <x v="1400"/>
      <x v="332"/>
    </i>
    <i r="2">
      <x v="1401"/>
      <x v="332"/>
    </i>
    <i r="2">
      <x v="1402"/>
      <x v="332"/>
    </i>
    <i r="2">
      <x v="1403"/>
      <x v="332"/>
    </i>
    <i r="2">
      <x v="1404"/>
      <x v="332"/>
    </i>
    <i r="2">
      <x v="1407"/>
      <x v="332"/>
    </i>
    <i r="2">
      <x v="1408"/>
      <x v="332"/>
    </i>
    <i r="2">
      <x v="1409"/>
      <x v="332"/>
    </i>
    <i r="2">
      <x v="1410"/>
      <x v="332"/>
    </i>
    <i r="2">
      <x v="1411"/>
      <x v="332"/>
    </i>
    <i r="2">
      <x v="1414"/>
      <x v="332"/>
    </i>
    <i r="2">
      <x v="1415"/>
      <x v="332"/>
    </i>
    <i>
      <x v="49"/>
      <x v="98"/>
    </i>
    <i r="2">
      <x v="1191"/>
      <x v="622"/>
    </i>
    <i r="2">
      <x v="1314"/>
      <x v="332"/>
    </i>
    <i r="2">
      <x v="1342"/>
      <x v="332"/>
    </i>
    <i r="2">
      <x v="1395"/>
      <x v="332"/>
    </i>
    <i r="2">
      <x v="1398"/>
      <x v="332"/>
    </i>
    <i r="2">
      <x v="1399"/>
      <x v="332"/>
    </i>
    <i r="2">
      <x v="1406"/>
      <x v="332"/>
    </i>
    <i r="2">
      <x v="1412"/>
      <x v="332"/>
    </i>
    <i r="2">
      <x v="1413"/>
      <x v="332"/>
    </i>
    <i>
      <x v="50"/>
      <x v="99"/>
    </i>
    <i r="2">
      <x v="1191"/>
      <x v="622"/>
    </i>
    <i r="2">
      <x v="1222"/>
      <x v="332"/>
    </i>
    <i r="2">
      <x v="1281"/>
      <x v="332"/>
    </i>
    <i r="2">
      <x v="1314"/>
      <x v="332"/>
    </i>
    <i r="2">
      <x v="1342"/>
      <x v="332"/>
    </i>
    <i r="2">
      <x v="1393"/>
      <x v="332"/>
    </i>
    <i r="2">
      <x v="1395"/>
      <x v="332"/>
    </i>
    <i r="2">
      <x v="1406"/>
      <x v="332"/>
    </i>
    <i r="2">
      <x v="1412"/>
      <x v="332"/>
    </i>
    <i>
      <x v="51"/>
      <x v="108"/>
    </i>
    <i r="2">
      <x v="1191"/>
      <x v="622"/>
    </i>
    <i r="2">
      <x v="1393"/>
      <x v="332"/>
    </i>
    <i>
      <x v="52"/>
      <x v="102"/>
    </i>
    <i r="2">
      <x v="1191"/>
      <x v="622"/>
    </i>
    <i>
      <x v="53"/>
      <x v="101"/>
    </i>
    <i r="2">
      <x v="1191"/>
      <x v="622"/>
    </i>
    <i>
      <x v="55"/>
      <x v="97"/>
    </i>
    <i r="2">
      <x v="1191"/>
      <x v="332"/>
    </i>
    <i r="3">
      <x v="622"/>
    </i>
    <i r="2">
      <x v="1222"/>
      <x v="332"/>
    </i>
    <i r="2">
      <x v="1250"/>
      <x v="332"/>
    </i>
    <i r="2">
      <x v="1281"/>
      <x v="332"/>
    </i>
    <i r="2">
      <x v="1314"/>
      <x v="332"/>
    </i>
    <i r="2">
      <x v="1342"/>
      <x v="332"/>
    </i>
    <i r="2">
      <x v="1392"/>
      <x v="332"/>
    </i>
    <i r="2">
      <x v="1393"/>
      <x v="332"/>
    </i>
    <i r="2">
      <x v="1394"/>
      <x v="517"/>
    </i>
    <i r="2">
      <x v="1395"/>
      <x v="332"/>
    </i>
    <i r="2">
      <x v="1396"/>
      <x v="332"/>
    </i>
    <i r="2">
      <x v="1397"/>
      <x v="332"/>
    </i>
    <i r="2">
      <x v="1398"/>
      <x v="332"/>
    </i>
    <i r="2">
      <x v="1399"/>
      <x v="332"/>
    </i>
    <i r="2">
      <x v="1400"/>
      <x v="332"/>
    </i>
    <i r="2">
      <x v="1401"/>
      <x v="332"/>
    </i>
    <i r="2">
      <x v="1402"/>
      <x v="332"/>
    </i>
    <i r="2">
      <x v="1403"/>
      <x v="332"/>
    </i>
    <i r="2">
      <x v="1404"/>
      <x v="332"/>
    </i>
    <i r="2">
      <x v="1405"/>
      <x v="332"/>
    </i>
    <i r="2">
      <x v="1406"/>
      <x v="332"/>
    </i>
    <i r="2">
      <x v="1407"/>
      <x v="332"/>
    </i>
    <i r="2">
      <x v="1408"/>
      <x v="332"/>
    </i>
    <i r="2">
      <x v="1409"/>
      <x v="332"/>
    </i>
    <i r="2">
      <x v="1410"/>
      <x v="332"/>
    </i>
    <i r="2">
      <x v="1411"/>
      <x v="332"/>
    </i>
    <i r="2">
      <x v="1412"/>
      <x v="332"/>
    </i>
    <i r="2">
      <x v="1413"/>
      <x v="332"/>
    </i>
    <i r="2">
      <x v="1414"/>
      <x v="332"/>
    </i>
    <i r="2">
      <x v="1415"/>
      <x v="332"/>
    </i>
    <i r="2">
      <x v="1416"/>
      <x v="332"/>
    </i>
    <i>
      <x v="56"/>
      <x v="129"/>
    </i>
    <i r="2">
      <x v="1191"/>
      <x v="332"/>
    </i>
    <i r="3">
      <x v="622"/>
    </i>
    <i r="2">
      <x v="1222"/>
      <x v="332"/>
    </i>
    <i>
      <x v="57"/>
      <x v="114"/>
    </i>
    <i r="2">
      <x v="1191"/>
      <x v="332"/>
    </i>
    <i r="3">
      <x v="622"/>
    </i>
    <i r="2">
      <x v="1416"/>
      <x v="332"/>
    </i>
    <i>
      <x v="59"/>
      <x v="104"/>
    </i>
    <i r="2">
      <x v="1191"/>
      <x v="622"/>
    </i>
    <i r="2">
      <x v="1394"/>
      <x v="517"/>
    </i>
    <i>
      <x v="60"/>
      <x v="109"/>
    </i>
    <i r="2">
      <x v="1416"/>
      <x v="388"/>
    </i>
    <i>
      <x v="61"/>
      <x v="92"/>
    </i>
    <i r="2">
      <x v="1191"/>
      <x v="332"/>
    </i>
    <i r="3">
      <x v="622"/>
    </i>
    <i r="2">
      <x v="1250"/>
      <x v="332"/>
    </i>
    <i r="2">
      <x v="1314"/>
      <x v="332"/>
    </i>
    <i r="2">
      <x v="1395"/>
      <x v="332"/>
    </i>
    <i r="2">
      <x v="1400"/>
      <x v="332"/>
    </i>
    <i r="2">
      <x v="1404"/>
      <x v="332"/>
    </i>
    <i r="2">
      <x v="1405"/>
      <x v="332"/>
    </i>
    <i r="2">
      <x v="1406"/>
      <x v="332"/>
    </i>
    <i r="2">
      <x v="1409"/>
      <x v="332"/>
    </i>
    <i r="2">
      <x v="1412"/>
      <x v="332"/>
    </i>
    <i r="2">
      <x v="1413"/>
      <x v="332"/>
    </i>
    <i r="2">
      <x v="1415"/>
      <x v="332"/>
    </i>
    <i r="2">
      <x v="1416"/>
      <x v="332"/>
    </i>
    <i>
      <x v="64"/>
      <x v="118"/>
    </i>
    <i r="2">
      <x v="1191"/>
      <x v="622"/>
    </i>
    <i r="2">
      <x v="1394"/>
      <x v="624"/>
    </i>
    <i>
      <x v="66"/>
      <x v="106"/>
    </i>
    <i r="2">
      <x v="1191"/>
      <x v="622"/>
    </i>
    <i r="2">
      <x v="1394"/>
      <x v="623"/>
    </i>
    <i>
      <x v="75"/>
      <x v="147"/>
    </i>
    <i r="2">
      <x v="1191"/>
      <x v="622"/>
    </i>
    <i>
      <x v="76"/>
      <x v="148"/>
    </i>
    <i r="2">
      <x v="1191"/>
      <x v="622"/>
    </i>
    <i>
      <x v="78"/>
      <x v="150"/>
    </i>
    <i r="2">
      <x v="1414"/>
      <x v="625"/>
    </i>
    <i t="grand">
      <x/>
    </i>
  </rowItems>
  <colFields count="1">
    <field x="-2"/>
  </colFields>
  <colItems count="2">
    <i>
      <x/>
    </i>
    <i i="1">
      <x v="1"/>
    </i>
  </colItems>
  <dataFields count="2">
    <dataField name="DR." fld="6" baseField="3" baseItem="6" numFmtId="4"/>
    <dataField name="CR." fld="7" baseField="3" baseItem="7" numFmtId="4"/>
  </dataFields>
  <formats count="16">
    <format dxfId="64">
      <pivotArea type="all" dataOnly="0" outline="0" fieldPosition="0"/>
    </format>
    <format dxfId="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dataOnly="0" labelOnly="1" grandRow="1" outline="0" fieldPosition="0"/>
    </format>
    <format dxfId="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7">
      <pivotArea dataOnly="0" labelOnly="1" grandRow="1" outline="0" fieldPosition="0"/>
    </format>
    <format dxfId="56">
      <pivotArea dataOnly="0" labelOnly="1" grandRow="1" outline="0" fieldPosition="0"/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dataOnly="0" labelOnly="1" grandRow="1" outline="0" fieldPosition="0"/>
    </format>
    <format dxfId="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1">
      <pivotArea field="1" type="button" dataOnly="0" labelOnly="1" outline="0" axis="axisRow" fieldPosition="2"/>
    </format>
    <format dxfId="50">
      <pivotArea outline="0" collapsedLevelsAreSubtotals="1" fieldPosition="0"/>
    </format>
    <format dxfId="4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GL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5" cacheId="0" applyNumberFormats="0" applyBorderFormats="0" applyFontFormats="0" applyPatternFormats="0" applyAlignmentFormats="0" applyWidthHeightFormats="1" dataCaption="จำนวนเงิน (บาท)" grandTotalCaption="รวม" updatedVersion="6" minRefreshableVersion="3" showDrill="0" itemPrintTitles="1" createdVersion="5" indent="0" compact="0" compactData="0" gridDropZones="1" multipleFieldFilters="0">
  <location ref="A3:E41" firstHeaderRow="1" firstDataRow="2" firstDataCol="2" rowPageCount="1" colPageCount="1"/>
  <pivotFields count="13">
    <pivotField compact="0" outline="0" showAll="0" defaultSubtotal="0"/>
    <pivotField compact="0" outline="0" multipleItemSelectionAllowed="1" showAll="0"/>
    <pivotField compact="0" outline="0" showAll="0" defaultSubtotal="0"/>
    <pivotField compact="0" outline="0" showAll="0"/>
    <pivotField axis="axisRow" compact="0" outline="0" showAll="0" sortType="ascending" defaultSubtotal="0">
      <items count="92"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m="1" x="64"/>
        <item m="1" x="65"/>
        <item m="1" x="57"/>
        <item m="1" x="74"/>
        <item m="1" x="72"/>
        <item m="1" x="43"/>
        <item m="1" x="47"/>
        <item m="1" x="54"/>
        <item x="11"/>
        <item m="1" x="56"/>
        <item x="12"/>
        <item m="1" x="58"/>
        <item m="1" x="60"/>
        <item m="1" x="63"/>
        <item x="13"/>
        <item m="1" x="67"/>
        <item m="1" x="69"/>
        <item m="1" x="71"/>
        <item m="1" x="73"/>
        <item m="1" x="55"/>
        <item m="1" x="62"/>
        <item m="1" x="82"/>
        <item m="1" x="77"/>
        <item m="1" x="80"/>
        <item m="1" x="84"/>
        <item m="1" x="88"/>
        <item m="1" x="91"/>
        <item m="1" x="40"/>
        <item m="1" x="41"/>
        <item m="1" x="42"/>
        <item x="14"/>
        <item x="15"/>
        <item x="16"/>
        <item m="1" x="68"/>
        <item m="1" x="70"/>
        <item x="17"/>
        <item x="18"/>
        <item x="19"/>
        <item x="20"/>
        <item x="21"/>
        <item x="22"/>
        <item x="23"/>
        <item m="1" x="78"/>
        <item x="24"/>
        <item x="25"/>
        <item x="26"/>
        <item m="1" x="86"/>
        <item x="27"/>
        <item x="35"/>
        <item x="28"/>
        <item m="1" x="37"/>
        <item m="1" x="61"/>
        <item x="29"/>
        <item m="1" x="44"/>
        <item x="30"/>
        <item m="1" x="45"/>
        <item m="1" x="46"/>
        <item m="1" x="48"/>
        <item m="1" x="49"/>
        <item m="1" x="50"/>
        <item m="1" x="51"/>
        <item m="1" x="52"/>
        <item m="1" x="53"/>
        <item x="31"/>
        <item x="32"/>
        <item m="1" x="59"/>
        <item x="34"/>
        <item m="1" x="76"/>
        <item m="1" x="79"/>
        <item m="1" x="81"/>
        <item m="1" x="83"/>
        <item m="1" x="85"/>
        <item m="1" x="87"/>
        <item m="1" x="89"/>
        <item m="1" x="90"/>
        <item m="1" x="36"/>
        <item m="1" x="38"/>
        <item m="1" x="39"/>
        <item m="1" x="66"/>
        <item m="1" x="75"/>
      </items>
    </pivotField>
    <pivotField axis="axisRow" compact="0" outline="0" showAll="0">
      <items count="152">
        <item m="1" x="124"/>
        <item m="1" x="144"/>
        <item m="1" x="49"/>
        <item m="1" x="147"/>
        <item m="1" x="81"/>
        <item m="1" x="72"/>
        <item m="1" x="67"/>
        <item m="1" x="92"/>
        <item m="1" x="87"/>
        <item m="1" x="44"/>
        <item m="1" x="63"/>
        <item m="1" x="111"/>
        <item m="1" x="95"/>
        <item m="1" x="85"/>
        <item m="1" x="80"/>
        <item m="1" x="78"/>
        <item m="1" x="91"/>
        <item m="1" x="98"/>
        <item m="1" x="90"/>
        <item m="1" x="102"/>
        <item m="1" x="51"/>
        <item m="1" x="100"/>
        <item m="1" x="53"/>
        <item m="1" x="123"/>
        <item m="1" x="149"/>
        <item m="1" x="61"/>
        <item m="1" x="116"/>
        <item m="1" x="145"/>
        <item m="1" x="131"/>
        <item m="1" x="99"/>
        <item m="1" x="54"/>
        <item m="1" x="43"/>
        <item m="1" x="117"/>
        <item m="1" x="118"/>
        <item m="1" x="126"/>
        <item m="1" x="115"/>
        <item m="1" x="58"/>
        <item m="1" x="106"/>
        <item m="1" x="59"/>
        <item m="1" x="75"/>
        <item m="1" x="137"/>
        <item m="1" x="84"/>
        <item m="1" x="64"/>
        <item m="1" x="74"/>
        <item m="1" x="42"/>
        <item m="1" x="97"/>
        <item m="1" x="69"/>
        <item m="1" x="71"/>
        <item m="1" x="89"/>
        <item m="1" x="94"/>
        <item m="1" x="65"/>
        <item m="1" x="88"/>
        <item m="1" x="37"/>
        <item m="1" x="125"/>
        <item m="1" x="103"/>
        <item m="1" x="45"/>
        <item m="1" x="101"/>
        <item m="1" x="56"/>
        <item m="1" x="122"/>
        <item m="1" x="108"/>
        <item m="1" x="134"/>
        <item m="1" x="47"/>
        <item m="1" x="68"/>
        <item m="1" x="77"/>
        <item m="1" x="48"/>
        <item m="1" x="128"/>
        <item m="1" x="140"/>
        <item m="1" x="62"/>
        <item m="1" x="82"/>
        <item m="1" x="104"/>
        <item m="1" x="120"/>
        <item m="1" x="121"/>
        <item m="1" x="40"/>
        <item m="1" x="52"/>
        <item m="1" x="119"/>
        <item m="1" x="143"/>
        <item m="1" x="73"/>
        <item m="1" x="39"/>
        <item m="1" x="142"/>
        <item m="1" x="130"/>
        <item m="1" x="129"/>
        <item m="1" x="127"/>
        <item m="1" x="136"/>
        <item m="1" x="135"/>
        <item m="1" x="55"/>
        <item m="1" x="113"/>
        <item m="1" x="146"/>
        <item m="1" x="112"/>
        <item m="1" x="148"/>
        <item m="1" x="133"/>
        <item m="1" x="36"/>
        <item x="33"/>
        <item x="28"/>
        <item x="0"/>
        <item x="14"/>
        <item x="17"/>
        <item x="18"/>
        <item x="24"/>
        <item x="19"/>
        <item x="20"/>
        <item m="1" x="46"/>
        <item x="23"/>
        <item x="22"/>
        <item m="1" x="110"/>
        <item x="27"/>
        <item m="1" x="141"/>
        <item x="30"/>
        <item m="1" x="76"/>
        <item x="21"/>
        <item x="35"/>
        <item m="1" x="109"/>
        <item m="1" x="38"/>
        <item m="1" x="150"/>
        <item m="1" x="132"/>
        <item x="26"/>
        <item m="1" x="86"/>
        <item m="1" x="50"/>
        <item m="1" x="139"/>
        <item x="29"/>
        <item x="15"/>
        <item m="1" x="96"/>
        <item m="1" x="57"/>
        <item m="1" x="66"/>
        <item m="1" x="138"/>
        <item m="1" x="105"/>
        <item m="1" x="41"/>
        <item x="12"/>
        <item m="1" x="70"/>
        <item x="11"/>
        <item x="25"/>
        <item m="1" x="114"/>
        <item m="1" x="60"/>
        <item m="1" x="107"/>
        <item m="1" x="93"/>
        <item m="1" x="83"/>
        <item x="13"/>
        <item x="1"/>
        <item x="2"/>
        <item x="3"/>
        <item x="4"/>
        <item x="6"/>
        <item x="7"/>
        <item x="8"/>
        <item x="9"/>
        <item x="10"/>
        <item x="5"/>
        <item x="16"/>
        <item x="31"/>
        <item x="32"/>
        <item m="1" x="79"/>
        <item x="34"/>
        <item t="default"/>
      </items>
    </pivotField>
    <pivotField dataField="1" compact="0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h="1" m="1" x="1"/>
      </items>
    </pivotField>
    <pivotField dataField="1" compact="0" outline="0" dragToRow="0" dragToCol="0" dragToPage="0" showAll="0" defaultSubtotal="0"/>
  </pivotFields>
  <rowFields count="2">
    <field x="4"/>
    <field x="5"/>
  </rowFields>
  <rowItems count="37">
    <i>
      <x/>
      <x v="91"/>
    </i>
    <i>
      <x v="1"/>
      <x v="93"/>
    </i>
    <i>
      <x v="2"/>
      <x v="136"/>
    </i>
    <i>
      <x v="3"/>
      <x v="137"/>
    </i>
    <i>
      <x v="4"/>
      <x v="138"/>
    </i>
    <i>
      <x v="5"/>
      <x v="139"/>
    </i>
    <i>
      <x v="6"/>
      <x v="145"/>
    </i>
    <i>
      <x v="7"/>
      <x v="140"/>
    </i>
    <i>
      <x v="8"/>
      <x v="141"/>
    </i>
    <i>
      <x v="9"/>
      <x v="142"/>
    </i>
    <i>
      <x v="10"/>
      <x v="143"/>
    </i>
    <i>
      <x v="11"/>
      <x v="144"/>
    </i>
    <i>
      <x v="20"/>
      <x v="128"/>
    </i>
    <i>
      <x v="22"/>
      <x v="126"/>
    </i>
    <i>
      <x v="26"/>
      <x v="135"/>
    </i>
    <i>
      <x v="42"/>
      <x v="94"/>
    </i>
    <i>
      <x v="43"/>
      <x v="119"/>
    </i>
    <i>
      <x v="44"/>
      <x v="146"/>
    </i>
    <i>
      <x v="47"/>
      <x v="95"/>
    </i>
    <i>
      <x v="48"/>
      <x v="96"/>
    </i>
    <i>
      <x v="49"/>
      <x v="98"/>
    </i>
    <i>
      <x v="50"/>
      <x v="99"/>
    </i>
    <i>
      <x v="51"/>
      <x v="108"/>
    </i>
    <i>
      <x v="52"/>
      <x v="102"/>
    </i>
    <i>
      <x v="53"/>
      <x v="101"/>
    </i>
    <i>
      <x v="55"/>
      <x v="97"/>
    </i>
    <i>
      <x v="56"/>
      <x v="129"/>
    </i>
    <i>
      <x v="57"/>
      <x v="114"/>
    </i>
    <i>
      <x v="59"/>
      <x v="104"/>
    </i>
    <i>
      <x v="60"/>
      <x v="109"/>
    </i>
    <i>
      <x v="61"/>
      <x v="92"/>
    </i>
    <i>
      <x v="64"/>
      <x v="118"/>
    </i>
    <i>
      <x v="66"/>
      <x v="106"/>
    </i>
    <i>
      <x v="75"/>
      <x v="147"/>
    </i>
    <i>
      <x v="76"/>
      <x v="148"/>
    </i>
    <i>
      <x v="78"/>
      <x v="15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1" hier="-1"/>
  </pageFields>
  <dataFields count="3">
    <dataField name="DR." fld="6" baseField="5" baseItem="1" numFmtId="4"/>
    <dataField name="CR." fld="7" baseField="5" baseItem="0" numFmtId="4"/>
    <dataField name="จำนวนเงินคงเหลือ" fld="12" baseField="5" baseItem="20" numFmtId="167"/>
  </dataFields>
  <formats count="15">
    <format dxfId="4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dataOnly="0" labelOnly="1" grandRow="1" outline="0" fieldPosition="0"/>
    </format>
    <format dxfId="4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3">
      <pivotArea dataOnly="0" labelOnly="1" grandRow="1" outline="0" fieldPosition="0"/>
    </format>
    <format dxfId="42">
      <pivotArea outline="0" fieldPosition="0">
        <references count="1">
          <reference field="4294967294" count="1">
            <x v="2"/>
          </reference>
        </references>
      </pivotArea>
    </format>
    <format dxfId="41">
      <pivotArea dataOnly="0" labelOnly="1" grandCol="1" outline="0" fieldPosition="0"/>
    </format>
    <format dxfId="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">
      <pivotArea outline="0" fieldPosition="0">
        <references count="1">
          <reference field="4294967294" count="1">
            <x v="0"/>
          </reference>
        </references>
      </pivotArea>
    </format>
    <format dxfId="38">
      <pivotArea outline="0" fieldPosition="0">
        <references count="1">
          <reference field="4294967294" count="1">
            <x v="1"/>
          </reference>
        </references>
      </pivotArea>
    </format>
    <format dxfId="37">
      <pivotArea outline="0" collapsedLevelsAreSubtotals="1" fieldPosition="0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grandRow="1" outline="0" fieldPosition="0"/>
    </format>
    <format dxfId="34">
      <pivotArea outline="0" fieldPosition="0">
        <references count="1">
          <reference field="4294967294" count="1" selected="0">
            <x v="2"/>
          </reference>
        </references>
      </pivotArea>
    </format>
  </formats>
  <pivotTableStyleInfo name="TB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5" cacheId="0" applyNumberFormats="0" applyBorderFormats="0" applyFontFormats="0" applyPatternFormats="0" applyAlignmentFormats="0" applyWidthHeightFormats="1" dataCaption="จำนวนเงิน (บาท)" grandTotalCaption="รวม" updatedVersion="6" minRefreshableVersion="3" showDrill="0" itemPrintTitles="1" createdVersion="5" indent="0" compact="0" compactData="0" gridDropZones="1" multipleFieldFilters="0">
  <location ref="A5:D43" firstHeaderRow="1" firstDataRow="2" firstDataCol="2" rowPageCount="2" colPageCount="1"/>
  <pivotFields count="13">
    <pivotField compact="0" outline="0" showAll="0" defaultSubtotal="0"/>
    <pivotField compact="0" outline="0" multipleItemSelectionAllowed="1" showAll="0" sortType="ascending" defaultSubtotal="0"/>
    <pivotField compact="0" outline="0" showAll="0" defaultSubtotal="0"/>
    <pivotField compact="0" outline="0" showAll="0"/>
    <pivotField axis="axisRow" compact="0" outline="0" showAll="0" defaultSubtotal="0">
      <items count="92">
        <item x="33"/>
        <item x="0"/>
        <item m="1" x="64"/>
        <item m="1" x="65"/>
        <item m="1" x="57"/>
        <item m="1" x="74"/>
        <item m="1" x="72"/>
        <item m="1" x="43"/>
        <item m="1" x="47"/>
        <item m="1" x="67"/>
        <item m="1" x="69"/>
        <item m="1" x="71"/>
        <item m="1" x="73"/>
        <item m="1" x="55"/>
        <item m="1" x="62"/>
        <item m="1" x="82"/>
        <item m="1" x="77"/>
        <item m="1" x="80"/>
        <item m="1" x="84"/>
        <item m="1" x="88"/>
        <item m="1" x="91"/>
        <item m="1" x="40"/>
        <item m="1" x="41"/>
        <item m="1" x="42"/>
        <item x="14"/>
        <item x="15"/>
        <item m="1" x="68"/>
        <item m="1" x="70"/>
        <item m="1" x="61"/>
        <item x="29"/>
        <item m="1" x="44"/>
        <item x="30"/>
        <item m="1" x="76"/>
        <item m="1" x="79"/>
        <item m="1" x="81"/>
        <item m="1" x="83"/>
        <item m="1" x="85"/>
        <item m="1" x="87"/>
        <item m="1" x="89"/>
        <item m="1" x="90"/>
        <item m="1" x="36"/>
        <item m="1" x="38"/>
        <item m="1" x="39"/>
        <item m="1" x="66"/>
        <item m="1" x="75"/>
        <item x="21"/>
        <item x="17"/>
        <item x="18"/>
        <item x="24"/>
        <item x="19"/>
        <item x="20"/>
        <item x="25"/>
        <item x="23"/>
        <item x="22"/>
        <item m="1" x="54"/>
        <item x="27"/>
        <item m="1" x="45"/>
        <item m="1" x="46"/>
        <item x="35"/>
        <item m="1" x="50"/>
        <item m="1" x="51"/>
        <item m="1" x="49"/>
        <item m="1" x="48"/>
        <item x="26"/>
        <item m="1" x="52"/>
        <item m="1" x="56"/>
        <item x="11"/>
        <item m="1" x="78"/>
        <item m="1" x="37"/>
        <item x="28"/>
        <item x="12"/>
        <item m="1" x="53"/>
        <item m="1" x="58"/>
        <item m="1" x="60"/>
        <item x="1"/>
        <item m="1" x="86"/>
        <item m="1" x="63"/>
        <item x="13"/>
        <item x="2"/>
        <item x="3"/>
        <item x="4"/>
        <item x="6"/>
        <item x="7"/>
        <item x="8"/>
        <item x="9"/>
        <item x="10"/>
        <item x="5"/>
        <item x="16"/>
        <item x="31"/>
        <item x="32"/>
        <item m="1" x="59"/>
        <item x="34"/>
      </items>
    </pivotField>
    <pivotField axis="axisRow" compact="0" outline="0" showAll="0" sortType="ascending" defaultSubtotal="0">
      <items count="151">
        <item m="1" x="115"/>
        <item m="1" x="131"/>
        <item m="1" x="61"/>
        <item m="1" x="117"/>
        <item m="1" x="106"/>
        <item m="1" x="78"/>
        <item m="1" x="145"/>
        <item m="1" x="58"/>
        <item m="1" x="90"/>
        <item m="1" x="49"/>
        <item m="1" x="85"/>
        <item m="1" x="124"/>
        <item m="1" x="80"/>
        <item m="1" x="59"/>
        <item m="1" x="91"/>
        <item m="1" x="100"/>
        <item m="1" x="118"/>
        <item m="1" x="95"/>
        <item m="1" x="81"/>
        <item m="1" x="67"/>
        <item m="1" x="149"/>
        <item m="1" x="102"/>
        <item m="1" x="116"/>
        <item m="1" x="123"/>
        <item m="1" x="144"/>
        <item m="1" x="137"/>
        <item m="1" x="72"/>
        <item m="1" x="126"/>
        <item m="1" x="44"/>
        <item m="1" x="53"/>
        <item m="1" x="43"/>
        <item m="1" x="98"/>
        <item m="1" x="87"/>
        <item m="1" x="147"/>
        <item m="1" x="51"/>
        <item m="1" x="75"/>
        <item m="1" x="92"/>
        <item m="1" x="111"/>
        <item m="1" x="99"/>
        <item m="1" x="54"/>
        <item m="1" x="63"/>
        <item m="1" x="120"/>
        <item m="1" x="40"/>
        <item m="1" x="56"/>
        <item m="1" x="103"/>
        <item m="1" x="113"/>
        <item m="1" x="84"/>
        <item x="0"/>
        <item m="1" x="110"/>
        <item m="1" x="105"/>
        <item x="12"/>
        <item m="1" x="70"/>
        <item x="11"/>
        <item m="1" x="60"/>
        <item m="1" x="50"/>
        <item x="33"/>
        <item m="1" x="148"/>
        <item m="1" x="45"/>
        <item m="1" x="71"/>
        <item m="1" x="77"/>
        <item m="1" x="55"/>
        <item m="1" x="47"/>
        <item x="9"/>
        <item x="1"/>
        <item x="10"/>
        <item x="2"/>
        <item x="3"/>
        <item x="6"/>
        <item x="7"/>
        <item x="8"/>
        <item x="4"/>
        <item x="5"/>
        <item m="1" x="121"/>
        <item m="1" x="74"/>
        <item m="1" x="42"/>
        <item m="1" x="109"/>
        <item m="1" x="73"/>
        <item m="1" x="39"/>
        <item m="1" x="94"/>
        <item m="1" x="65"/>
        <item m="1" x="62"/>
        <item m="1" x="122"/>
        <item m="1" x="52"/>
        <item m="1" x="82"/>
        <item m="1" x="38"/>
        <item m="1" x="86"/>
        <item m="1" x="128"/>
        <item m="1" x="119"/>
        <item m="1" x="37"/>
        <item m="1" x="125"/>
        <item m="1" x="107"/>
        <item x="29"/>
        <item m="1" x="141"/>
        <item m="1" x="83"/>
        <item m="1" x="79"/>
        <item m="1" x="89"/>
        <item m="1" x="104"/>
        <item m="1" x="140"/>
        <item m="1" x="150"/>
        <item m="1" x="57"/>
        <item x="28"/>
        <item x="23"/>
        <item x="30"/>
        <item x="13"/>
        <item m="1" x="114"/>
        <item m="1" x="132"/>
        <item m="1" x="76"/>
        <item x="32"/>
        <item x="31"/>
        <item m="1" x="41"/>
        <item m="1" x="88"/>
        <item x="35"/>
        <item m="1" x="136"/>
        <item x="14"/>
        <item m="1" x="64"/>
        <item x="34"/>
        <item m="1" x="135"/>
        <item m="1" x="96"/>
        <item x="16"/>
        <item m="1" x="130"/>
        <item m="1" x="133"/>
        <item m="1" x="143"/>
        <item m="1" x="97"/>
        <item m="1" x="101"/>
        <item m="1" x="112"/>
        <item m="1" x="146"/>
        <item x="26"/>
        <item m="1" x="46"/>
        <item x="25"/>
        <item x="24"/>
        <item x="17"/>
        <item x="18"/>
        <item x="19"/>
        <item x="20"/>
        <item x="21"/>
        <item x="22"/>
        <item m="1" x="93"/>
        <item m="1" x="139"/>
        <item m="1" x="138"/>
        <item m="1" x="66"/>
        <item x="15"/>
        <item x="27"/>
        <item m="1" x="142"/>
        <item m="1" x="108"/>
        <item m="1" x="134"/>
        <item m="1" x="68"/>
        <item m="1" x="129"/>
        <item m="1" x="127"/>
        <item m="1" x="69"/>
        <item m="1" x="48"/>
        <item m="1" x="36"/>
      </items>
    </pivotField>
    <pivotField compact="0" outline="0" showAll="0"/>
    <pivotField compact="0" outline="0" showAll="0"/>
    <pivotField axis="axisPage" compact="0" outline="0" multipleItemSelectionAllowed="1" showAll="0" defaultSubtotal="0">
      <items count="6">
        <item x="4"/>
        <item x="0"/>
        <item x="1"/>
        <item x="2"/>
        <item x="3"/>
        <item x="5"/>
      </items>
    </pivotField>
    <pivotField compact="0" outline="0" showAll="0" defaultSubtotal="0"/>
    <pivotField axis="axisCol" compact="0" outline="0" showAll="0" defaultSubtotal="0">
      <items count="5">
        <item x="0"/>
        <item m="1" x="4"/>
        <item m="1" x="2"/>
        <item m="1" x="3"/>
        <item m="1" x="1"/>
      </items>
    </pivotField>
    <pivotField axis="axisPage" compact="0" outline="0" multipleItemSelectionAllowed="1" showAll="0" defaultSubtotal="0">
      <items count="2">
        <item x="0"/>
        <item h="1" m="1" x="1"/>
      </items>
    </pivotField>
    <pivotField dataField="1" compact="0" outline="0" dragToRow="0" dragToCol="0" dragToPage="0" showAll="0" defaultSubtotal="0"/>
  </pivotFields>
  <rowFields count="2">
    <field x="4"/>
    <field x="5"/>
  </rowFields>
  <rowItems count="37">
    <i>
      <x/>
      <x v="55"/>
    </i>
    <i>
      <x v="1"/>
      <x v="47"/>
    </i>
    <i>
      <x v="24"/>
      <x v="113"/>
    </i>
    <i>
      <x v="25"/>
      <x v="140"/>
    </i>
    <i>
      <x v="29"/>
      <x v="91"/>
    </i>
    <i>
      <x v="31"/>
      <x v="102"/>
    </i>
    <i>
      <x v="45"/>
      <x v="134"/>
    </i>
    <i>
      <x v="46"/>
      <x v="130"/>
    </i>
    <i>
      <x v="47"/>
      <x v="131"/>
    </i>
    <i>
      <x v="48"/>
      <x v="129"/>
    </i>
    <i>
      <x v="49"/>
      <x v="132"/>
    </i>
    <i>
      <x v="50"/>
      <x v="133"/>
    </i>
    <i>
      <x v="51"/>
      <x v="128"/>
    </i>
    <i>
      <x v="52"/>
      <x v="101"/>
    </i>
    <i>
      <x v="53"/>
      <x v="135"/>
    </i>
    <i>
      <x v="55"/>
      <x v="141"/>
    </i>
    <i>
      <x v="58"/>
      <x v="111"/>
    </i>
    <i>
      <x v="63"/>
      <x v="126"/>
    </i>
    <i>
      <x v="66"/>
      <x v="52"/>
    </i>
    <i>
      <x v="69"/>
      <x v="100"/>
    </i>
    <i>
      <x v="70"/>
      <x v="50"/>
    </i>
    <i>
      <x v="74"/>
      <x v="63"/>
    </i>
    <i>
      <x v="77"/>
      <x v="103"/>
    </i>
    <i>
      <x v="78"/>
      <x v="65"/>
    </i>
    <i>
      <x v="79"/>
      <x v="66"/>
    </i>
    <i>
      <x v="80"/>
      <x v="70"/>
    </i>
    <i>
      <x v="81"/>
      <x v="67"/>
    </i>
    <i>
      <x v="82"/>
      <x v="68"/>
    </i>
    <i>
      <x v="83"/>
      <x v="69"/>
    </i>
    <i>
      <x v="84"/>
      <x v="62"/>
    </i>
    <i>
      <x v="85"/>
      <x v="64"/>
    </i>
    <i>
      <x v="86"/>
      <x v="71"/>
    </i>
    <i>
      <x v="87"/>
      <x v="118"/>
    </i>
    <i>
      <x v="88"/>
      <x v="108"/>
    </i>
    <i>
      <x v="89"/>
      <x v="107"/>
    </i>
    <i>
      <x v="91"/>
      <x v="115"/>
    </i>
    <i t="grand">
      <x/>
    </i>
  </rowItems>
  <colFields count="1">
    <field x="10"/>
  </colFields>
  <colItems count="2">
    <i>
      <x/>
    </i>
    <i t="grand">
      <x/>
    </i>
  </colItems>
  <pageFields count="2">
    <pageField fld="11" hier="-1"/>
    <pageField fld="8" hier="-1"/>
  </pageFields>
  <dataFields count="1">
    <dataField name="จำนวนเงินคงเหลือ" fld="12" baseField="5" baseItem="20" numFmtId="167"/>
  </dataFields>
  <formats count="9">
    <format dxfId="3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grandRow="1" outline="0" fieldPosition="0"/>
    </format>
    <format dxfId="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">
      <pivotArea dataOnly="0" labelOnly="1" grandRow="1" outline="0" fieldPosition="0"/>
    </format>
    <format dxfId="27">
      <pivotArea outline="0" fieldPosition="0">
        <references count="1">
          <reference field="4294967294" count="1">
            <x v="0"/>
          </reference>
        </references>
      </pivotArea>
    </format>
    <format dxfId="26">
      <pivotArea dataOnly="0" labelOnly="1" outline="0" fieldPosition="0">
        <references count="1">
          <reference field="10" count="0"/>
        </references>
      </pivotArea>
    </format>
    <format dxfId="25">
      <pivotArea dataOnly="0" labelOnly="1" grandCol="1" outline="0" fieldPosition="0"/>
    </format>
  </formats>
  <pivotTableStyleInfo name="TB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ivotTable5" cacheId="0" applyNumberFormats="0" applyBorderFormats="0" applyFontFormats="0" applyPatternFormats="0" applyAlignmentFormats="0" applyWidthHeightFormats="1" dataCaption="จำนวนเงิน (บาท)" grandTotalCaption="รวม" updatedVersion="6" minRefreshableVersion="3" showDrill="0" itemPrintTitles="1" createdVersion="5" indent="0" compact="0" compactData="0" gridDropZones="1" multipleFieldFilters="0">
  <location ref="A3:E41" firstHeaderRow="1" firstDataRow="2" firstDataCol="2"/>
  <pivotFields count="13">
    <pivotField compact="0" outline="0" showAll="0" defaultSubtotal="0"/>
    <pivotField compact="0" outline="0" multipleItemSelectionAllowed="1" showAll="0"/>
    <pivotField compact="0" outline="0" showAll="0" defaultSubtotal="0"/>
    <pivotField compact="0" outline="0" showAll="0"/>
    <pivotField axis="axisRow" compact="0" outline="0" showAll="0" sortType="ascending" defaultSubtotal="0">
      <items count="92"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m="1" x="64"/>
        <item m="1" x="65"/>
        <item m="1" x="57"/>
        <item m="1" x="74"/>
        <item m="1" x="72"/>
        <item m="1" x="43"/>
        <item m="1" x="47"/>
        <item m="1" x="54"/>
        <item x="11"/>
        <item m="1" x="56"/>
        <item x="12"/>
        <item m="1" x="58"/>
        <item m="1" x="60"/>
        <item m="1" x="63"/>
        <item x="13"/>
        <item m="1" x="67"/>
        <item m="1" x="69"/>
        <item m="1" x="71"/>
        <item m="1" x="73"/>
        <item m="1" x="55"/>
        <item m="1" x="62"/>
        <item m="1" x="82"/>
        <item m="1" x="77"/>
        <item m="1" x="80"/>
        <item m="1" x="84"/>
        <item m="1" x="88"/>
        <item m="1" x="91"/>
        <item m="1" x="40"/>
        <item m="1" x="41"/>
        <item m="1" x="42"/>
        <item x="14"/>
        <item x="15"/>
        <item x="16"/>
        <item m="1" x="68"/>
        <item m="1" x="70"/>
        <item x="17"/>
        <item x="18"/>
        <item x="19"/>
        <item x="20"/>
        <item x="21"/>
        <item x="22"/>
        <item x="23"/>
        <item m="1" x="78"/>
        <item x="24"/>
        <item x="25"/>
        <item x="26"/>
        <item m="1" x="86"/>
        <item x="27"/>
        <item x="35"/>
        <item x="28"/>
        <item m="1" x="37"/>
        <item m="1" x="61"/>
        <item x="29"/>
        <item m="1" x="44"/>
        <item x="30"/>
        <item m="1" x="45"/>
        <item m="1" x="46"/>
        <item m="1" x="48"/>
        <item m="1" x="49"/>
        <item m="1" x="50"/>
        <item m="1" x="51"/>
        <item m="1" x="52"/>
        <item m="1" x="53"/>
        <item x="31"/>
        <item x="32"/>
        <item m="1" x="59"/>
        <item x="34"/>
        <item m="1" x="76"/>
        <item m="1" x="79"/>
        <item m="1" x="81"/>
        <item m="1" x="83"/>
        <item m="1" x="85"/>
        <item m="1" x="87"/>
        <item m="1" x="89"/>
        <item m="1" x="90"/>
        <item m="1" x="36"/>
        <item m="1" x="38"/>
        <item m="1" x="39"/>
        <item m="1" x="66"/>
        <item m="1" x="75"/>
      </items>
    </pivotField>
    <pivotField axis="axisRow" compact="0" outline="0" showAll="0">
      <items count="152">
        <item m="1" x="124"/>
        <item m="1" x="144"/>
        <item m="1" x="49"/>
        <item m="1" x="147"/>
        <item m="1" x="81"/>
        <item m="1" x="72"/>
        <item m="1" x="67"/>
        <item m="1" x="92"/>
        <item m="1" x="87"/>
        <item m="1" x="44"/>
        <item m="1" x="63"/>
        <item m="1" x="111"/>
        <item m="1" x="95"/>
        <item m="1" x="85"/>
        <item m="1" x="80"/>
        <item m="1" x="78"/>
        <item m="1" x="91"/>
        <item m="1" x="98"/>
        <item m="1" x="90"/>
        <item m="1" x="102"/>
        <item m="1" x="51"/>
        <item m="1" x="100"/>
        <item m="1" x="53"/>
        <item m="1" x="123"/>
        <item m="1" x="149"/>
        <item m="1" x="61"/>
        <item m="1" x="116"/>
        <item m="1" x="145"/>
        <item m="1" x="131"/>
        <item m="1" x="99"/>
        <item m="1" x="54"/>
        <item m="1" x="43"/>
        <item m="1" x="117"/>
        <item m="1" x="118"/>
        <item m="1" x="126"/>
        <item m="1" x="115"/>
        <item m="1" x="58"/>
        <item m="1" x="106"/>
        <item m="1" x="59"/>
        <item m="1" x="75"/>
        <item m="1" x="137"/>
        <item m="1" x="84"/>
        <item m="1" x="64"/>
        <item m="1" x="74"/>
        <item m="1" x="42"/>
        <item m="1" x="97"/>
        <item m="1" x="69"/>
        <item m="1" x="71"/>
        <item m="1" x="89"/>
        <item m="1" x="94"/>
        <item m="1" x="65"/>
        <item m="1" x="88"/>
        <item m="1" x="37"/>
        <item m="1" x="125"/>
        <item m="1" x="103"/>
        <item m="1" x="45"/>
        <item m="1" x="101"/>
        <item m="1" x="56"/>
        <item m="1" x="122"/>
        <item m="1" x="108"/>
        <item m="1" x="134"/>
        <item m="1" x="47"/>
        <item m="1" x="68"/>
        <item m="1" x="77"/>
        <item m="1" x="48"/>
        <item m="1" x="128"/>
        <item m="1" x="140"/>
        <item m="1" x="62"/>
        <item m="1" x="82"/>
        <item m="1" x="104"/>
        <item m="1" x="120"/>
        <item m="1" x="121"/>
        <item m="1" x="40"/>
        <item m="1" x="52"/>
        <item m="1" x="119"/>
        <item m="1" x="143"/>
        <item m="1" x="73"/>
        <item m="1" x="39"/>
        <item m="1" x="142"/>
        <item m="1" x="130"/>
        <item m="1" x="129"/>
        <item m="1" x="127"/>
        <item m="1" x="136"/>
        <item m="1" x="135"/>
        <item m="1" x="55"/>
        <item m="1" x="113"/>
        <item m="1" x="146"/>
        <item m="1" x="112"/>
        <item m="1" x="148"/>
        <item m="1" x="133"/>
        <item m="1" x="36"/>
        <item x="33"/>
        <item x="28"/>
        <item x="0"/>
        <item x="14"/>
        <item x="17"/>
        <item x="18"/>
        <item x="24"/>
        <item x="19"/>
        <item x="20"/>
        <item m="1" x="46"/>
        <item x="23"/>
        <item x="22"/>
        <item m="1" x="110"/>
        <item x="27"/>
        <item m="1" x="141"/>
        <item x="30"/>
        <item m="1" x="76"/>
        <item x="21"/>
        <item x="35"/>
        <item m="1" x="109"/>
        <item m="1" x="38"/>
        <item m="1" x="150"/>
        <item m="1" x="132"/>
        <item x="26"/>
        <item m="1" x="86"/>
        <item m="1" x="50"/>
        <item m="1" x="139"/>
        <item x="29"/>
        <item x="15"/>
        <item m="1" x="96"/>
        <item m="1" x="57"/>
        <item m="1" x="66"/>
        <item m="1" x="138"/>
        <item m="1" x="105"/>
        <item m="1" x="41"/>
        <item x="12"/>
        <item m="1" x="70"/>
        <item x="11"/>
        <item x="25"/>
        <item m="1" x="114"/>
        <item m="1" x="60"/>
        <item m="1" x="107"/>
        <item m="1" x="93"/>
        <item m="1" x="83"/>
        <item x="13"/>
        <item x="1"/>
        <item x="2"/>
        <item x="3"/>
        <item x="4"/>
        <item x="6"/>
        <item x="7"/>
        <item x="8"/>
        <item x="9"/>
        <item x="10"/>
        <item x="5"/>
        <item x="16"/>
        <item x="31"/>
        <item x="32"/>
        <item m="1" x="79"/>
        <item x="34"/>
        <item t="default"/>
      </items>
    </pivotField>
    <pivotField dataField="1" compact="0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dataField="1" compact="0" outline="0" dragToRow="0" dragToCol="0" dragToPage="0" showAll="0" defaultSubtotal="0"/>
  </pivotFields>
  <rowFields count="2">
    <field x="4"/>
    <field x="5"/>
  </rowFields>
  <rowItems count="37">
    <i>
      <x/>
      <x v="91"/>
    </i>
    <i>
      <x v="1"/>
      <x v="93"/>
    </i>
    <i>
      <x v="2"/>
      <x v="136"/>
    </i>
    <i>
      <x v="3"/>
      <x v="137"/>
    </i>
    <i>
      <x v="4"/>
      <x v="138"/>
    </i>
    <i>
      <x v="5"/>
      <x v="139"/>
    </i>
    <i>
      <x v="6"/>
      <x v="145"/>
    </i>
    <i>
      <x v="7"/>
      <x v="140"/>
    </i>
    <i>
      <x v="8"/>
      <x v="141"/>
    </i>
    <i>
      <x v="9"/>
      <x v="142"/>
    </i>
    <i>
      <x v="10"/>
      <x v="143"/>
    </i>
    <i>
      <x v="11"/>
      <x v="144"/>
    </i>
    <i>
      <x v="20"/>
      <x v="128"/>
    </i>
    <i>
      <x v="22"/>
      <x v="126"/>
    </i>
    <i>
      <x v="26"/>
      <x v="135"/>
    </i>
    <i>
      <x v="42"/>
      <x v="94"/>
    </i>
    <i>
      <x v="43"/>
      <x v="119"/>
    </i>
    <i>
      <x v="44"/>
      <x v="146"/>
    </i>
    <i>
      <x v="47"/>
      <x v="95"/>
    </i>
    <i>
      <x v="48"/>
      <x v="96"/>
    </i>
    <i>
      <x v="49"/>
      <x v="98"/>
    </i>
    <i>
      <x v="50"/>
      <x v="99"/>
    </i>
    <i>
      <x v="51"/>
      <x v="108"/>
    </i>
    <i>
      <x v="52"/>
      <x v="102"/>
    </i>
    <i>
      <x v="53"/>
      <x v="101"/>
    </i>
    <i>
      <x v="55"/>
      <x v="97"/>
    </i>
    <i>
      <x v="56"/>
      <x v="129"/>
    </i>
    <i>
      <x v="57"/>
      <x v="114"/>
    </i>
    <i>
      <x v="59"/>
      <x v="104"/>
    </i>
    <i>
      <x v="60"/>
      <x v="109"/>
    </i>
    <i>
      <x v="61"/>
      <x v="92"/>
    </i>
    <i>
      <x v="64"/>
      <x v="118"/>
    </i>
    <i>
      <x v="66"/>
      <x v="106"/>
    </i>
    <i>
      <x v="75"/>
      <x v="147"/>
    </i>
    <i>
      <x v="76"/>
      <x v="148"/>
    </i>
    <i>
      <x v="78"/>
      <x v="15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DR." fld="6" baseField="5" baseItem="1" numFmtId="4"/>
    <dataField name="CR." fld="7" baseField="5" baseItem="0" numFmtId="4"/>
    <dataField name="จำนวนเงินคงเหลือ" fld="12" baseField="5" baseItem="20" numFmtId="167"/>
  </dataFields>
  <formats count="11">
    <format dxfId="2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dataOnly="0" labelOnly="1" grandRow="1" outline="0" fieldPosition="0"/>
    </format>
    <format dxfId="2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9">
      <pivotArea dataOnly="0" labelOnly="1" grandRow="1" outline="0" fieldPosition="0"/>
    </format>
    <format dxfId="18">
      <pivotArea outline="0" fieldPosition="0">
        <references count="1">
          <reference field="4294967294" count="1">
            <x v="2"/>
          </reference>
        </references>
      </pivotArea>
    </format>
    <format dxfId="17">
      <pivotArea dataOnly="0" labelOnly="1" grandCol="1" outline="0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outline="0" fieldPosition="0">
        <references count="1">
          <reference field="4294967294" count="1">
            <x v="0"/>
          </reference>
        </references>
      </pivotArea>
    </format>
    <format dxfId="14">
      <pivotArea outline="0" fieldPosition="0">
        <references count="1">
          <reference field="4294967294" count="1">
            <x v="1"/>
          </reference>
        </references>
      </pivotArea>
    </format>
  </formats>
  <pivotTableStyleInfo name="TB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A" displayName="COA" ref="A1:G92" totalsRowShown="0" headerRowDxfId="105" headerRowBorderDxfId="104">
  <autoFilter ref="A1:G92" xr:uid="{00000000-0009-0000-0100-000001000000}"/>
  <sortState xmlns:xlrd2="http://schemas.microsoft.com/office/spreadsheetml/2017/richdata2" ref="A2:G48">
    <sortCondition ref="A15"/>
  </sortState>
  <tableColumns count="7">
    <tableColumn id="1" xr3:uid="{00000000-0010-0000-0000-000001000000}" name="เลขที่บัญชี" dataDxfId="103"/>
    <tableColumn id="2" xr3:uid="{00000000-0010-0000-0000-000002000000}" name="ชื่อบัญชี" dataDxfId="102"/>
    <tableColumn id="3" xr3:uid="{00000000-0010-0000-0000-000003000000}" name="หมวด" dataDxfId="101"/>
    <tableColumn id="4" xr3:uid="{00000000-0010-0000-0000-000004000000}" name="ชื่อหมวด" dataDxfId="100"/>
    <tableColumn id="5" xr3:uid="{00000000-0010-0000-0000-000005000000}" name="DR." dataDxfId="99">
      <calculatedColumnFormula>SUMIF(Database[เลขที่บัญชี],COA[[#This Row],[เลขที่บัญชี]],Database[เดบิต])</calculatedColumnFormula>
    </tableColumn>
    <tableColumn id="6" xr3:uid="{00000000-0010-0000-0000-000006000000}" name="CR." dataDxfId="98">
      <calculatedColumnFormula>SUMIF(Database[เลขที่บัญชี],COA[[#This Row],[เลขที่บัญชี]],Database[เครดิต])</calculatedColumnFormula>
    </tableColumn>
    <tableColumn id="7" xr3:uid="{00000000-0010-0000-0000-000007000000}" name="คงเหลือ" dataDxfId="97">
      <calculatedColumnFormula>COA[[#This Row],[DR.]]-COA[[#This Row],[CR.]]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enter" displayName="Center" ref="A1:E2" totalsRowShown="0" headerRowDxfId="96" headerRowBorderDxfId="95" tableBorderDxfId="94">
  <autoFilter ref="A1:E2" xr:uid="{00000000-0009-0000-0100-000003000000}"/>
  <tableColumns count="5">
    <tableColumn id="1" xr3:uid="{00000000-0010-0000-0100-000001000000}" name="รหัสหน่วยงาน" dataDxfId="93"/>
    <tableColumn id="2" xr3:uid="{00000000-0010-0000-0100-000002000000}" name="ชื่อหน่วยงาน"/>
    <tableColumn id="3" xr3:uid="{00000000-0010-0000-0100-000003000000}" name="รายได้" dataDxfId="92">
      <calculatedColumnFormula>SUMIFS(Database[เครดิต],Database[หมวด],4,Database[รหัสหน่วยงาน],Center[[#This Row],[รหัสหน่วยงาน]],Database[ประเภท],1)-SUMIFS(Database[เดบิต],Database[หมวด],4,Database[รหัสหน่วยงาน],Center[[#This Row],[รหัสหน่วยงาน]],Database[ประเภท],1)</calculatedColumnFormula>
    </tableColumn>
    <tableColumn id="4" xr3:uid="{00000000-0010-0000-0100-000004000000}" name="ค่าใช้จ่าย" dataDxfId="91">
      <calculatedColumnFormula>SUMIFS(Database[เดบิต],Database[หมวด],5,Database[รหัสหน่วยงาน],Center[[#This Row],[รหัสหน่วยงาน]],Database[ประเภท],1)-SUMIFS(Database[เครดิต],Database[หมวด],5,Database[รหัสหน่วยงาน],Center[[#This Row],[รหัสหน่วยงาน]],Database[ประเภท],1)</calculatedColumnFormula>
    </tableColumn>
    <tableColumn id="5" xr3:uid="{00000000-0010-0000-0100-000005000000}" name="กำไร(ขาดทุน)" dataDxfId="90">
      <calculatedColumnFormula>Center[[#This Row],[รายได้]]-Center[[#This Row],[ค่าใช้จ่าย]]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Database" displayName="Database" ref="A1:L497" totalsRowShown="0" headerRowDxfId="13" dataDxfId="12">
  <autoFilter ref="A1:L497" xr:uid="{00000000-0009-0000-0100-000002000000}">
    <filterColumn colId="8">
      <filters>
        <filter val="4"/>
      </filters>
    </filterColumn>
  </autoFilter>
  <tableColumns count="12">
    <tableColumn id="1" xr3:uid="{00000000-0010-0000-0200-000001000000}" name="รหัส" dataDxfId="11"/>
    <tableColumn id="2" xr3:uid="{00000000-0010-0000-0200-000002000000}" name="วันที่" dataDxfId="10"/>
    <tableColumn id="3" xr3:uid="{00000000-0010-0000-0200-000003000000}" name="เลขเอกสาร" dataDxfId="9"/>
    <tableColumn id="4" xr3:uid="{00000000-0010-0000-0200-000004000000}" name="คำอธิบาย" dataDxfId="8"/>
    <tableColumn id="5" xr3:uid="{00000000-0010-0000-0200-000005000000}" name="เลขที่บัญชี" dataDxfId="7"/>
    <tableColumn id="6" xr3:uid="{00000000-0010-0000-0200-000006000000}" name="ชื่อบัญชี" dataDxfId="6">
      <calculatedColumnFormula>VLOOKUP(Database[[#This Row],[เลขที่บัญชี]],COA[],2,FALSE)</calculatedColumnFormula>
    </tableColumn>
    <tableColumn id="7" xr3:uid="{00000000-0010-0000-0200-000007000000}" name="เดบิต" dataDxfId="5"/>
    <tableColumn id="8" xr3:uid="{00000000-0010-0000-0200-000008000000}" name="เครดิต" dataDxfId="4"/>
    <tableColumn id="9" xr3:uid="{00000000-0010-0000-0200-000009000000}" name="หมวด" dataDxfId="3">
      <calculatedColumnFormula>VLOOKUP(Database[[#This Row],[เลขที่บัญชี]],COA[],3,FALSE)</calculatedColumnFormula>
    </tableColumn>
    <tableColumn id="10" xr3:uid="{00000000-0010-0000-0200-00000A000000}" name="รหัสหน่วยงาน" dataDxfId="2"/>
    <tableColumn id="11" xr3:uid="{00000000-0010-0000-0200-00000B000000}" name="ชื่อหน่วยงาน" dataDxfId="1">
      <calculatedColumnFormula>VLOOKUP(Database[[#This Row],[รหัสหน่วยงาน]],Center[],2,FALSE)</calculatedColumnFormula>
    </tableColumn>
    <tableColumn id="12" xr3:uid="{00000000-0010-0000-0200-00000C000000}" name="ประเภท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acctwork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6.emf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5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24" Type="http://schemas.openxmlformats.org/officeDocument/2006/relationships/ctrlProp" Target="../ctrlProps/ctrlProp3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15.emf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Relationship Id="rId27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8.emf"/><Relationship Id="rId5" Type="http://schemas.openxmlformats.org/officeDocument/2006/relationships/control" Target="../activeX/activeX10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9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Relationship Id="rId6" Type="http://schemas.openxmlformats.org/officeDocument/2006/relationships/image" Target="../media/image20.emf"/><Relationship Id="rId5" Type="http://schemas.openxmlformats.org/officeDocument/2006/relationships/control" Target="../activeX/activeX12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Relationship Id="rId6" Type="http://schemas.openxmlformats.org/officeDocument/2006/relationships/image" Target="../media/image21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Relationship Id="rId6" Type="http://schemas.openxmlformats.org/officeDocument/2006/relationships/image" Target="../media/image2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I149"/>
  <sheetViews>
    <sheetView showGridLines="0" topLeftCell="A67" zoomScaleNormal="100" workbookViewId="0">
      <selection activeCell="L40" sqref="L40"/>
    </sheetView>
  </sheetViews>
  <sheetFormatPr defaultRowHeight="15"/>
  <cols>
    <col min="1" max="1" width="2.28515625" customWidth="1"/>
    <col min="8" max="8" width="12.28515625" customWidth="1"/>
  </cols>
  <sheetData>
    <row r="1" spans="2:9" ht="10.5" customHeight="1"/>
    <row r="2" spans="2:9" ht="21.75" customHeight="1">
      <c r="B2" s="114" t="s">
        <v>0</v>
      </c>
      <c r="C2" s="114"/>
      <c r="D2" s="114"/>
      <c r="E2" s="114"/>
      <c r="F2" s="114"/>
      <c r="G2" s="114"/>
    </row>
    <row r="3" spans="2:9" ht="14.25" customHeight="1">
      <c r="B3" s="114"/>
      <c r="C3" s="114"/>
      <c r="D3" s="114"/>
      <c r="E3" s="114"/>
      <c r="F3" s="114"/>
      <c r="G3" s="114"/>
    </row>
    <row r="4" spans="2:9" ht="15" customHeight="1">
      <c r="B4" s="114"/>
      <c r="C4" s="114"/>
      <c r="D4" s="114"/>
      <c r="E4" s="114"/>
      <c r="F4" s="114"/>
      <c r="G4" s="114"/>
    </row>
    <row r="5" spans="2:9">
      <c r="B5" s="114"/>
      <c r="C5" s="114"/>
      <c r="D5" s="114"/>
      <c r="E5" s="114"/>
      <c r="F5" s="114"/>
      <c r="G5" s="114"/>
    </row>
    <row r="6" spans="2:9">
      <c r="B6" s="114"/>
      <c r="C6" s="114"/>
      <c r="D6" s="114"/>
      <c r="E6" s="114"/>
      <c r="F6" s="114"/>
      <c r="G6" s="114"/>
    </row>
    <row r="8" spans="2:9">
      <c r="B8" s="89" t="s">
        <v>1</v>
      </c>
      <c r="C8" t="s">
        <v>2</v>
      </c>
      <c r="H8" s="89" t="s">
        <v>3</v>
      </c>
      <c r="I8" t="s">
        <v>4</v>
      </c>
    </row>
    <row r="9" spans="2:9">
      <c r="C9" t="s">
        <v>5</v>
      </c>
      <c r="I9" t="s">
        <v>6</v>
      </c>
    </row>
    <row r="10" spans="2:9">
      <c r="C10" t="s">
        <v>7</v>
      </c>
      <c r="I10" t="s">
        <v>8</v>
      </c>
    </row>
    <row r="11" spans="2:9">
      <c r="B11" s="89" t="s">
        <v>9</v>
      </c>
      <c r="C11" s="88" t="s">
        <v>10</v>
      </c>
      <c r="I11" t="s">
        <v>11</v>
      </c>
    </row>
    <row r="12" spans="2:9">
      <c r="B12" s="89" t="s">
        <v>12</v>
      </c>
      <c r="C12" t="s">
        <v>13</v>
      </c>
      <c r="I12" t="s">
        <v>14</v>
      </c>
    </row>
    <row r="14" spans="2:9">
      <c r="B14" s="89" t="s">
        <v>15</v>
      </c>
      <c r="C14" t="s">
        <v>16</v>
      </c>
    </row>
    <row r="15" spans="2:9">
      <c r="C15" t="s">
        <v>17</v>
      </c>
    </row>
    <row r="16" spans="2:9">
      <c r="C16" t="s">
        <v>18</v>
      </c>
    </row>
    <row r="17" spans="2:3">
      <c r="C17" t="s">
        <v>19</v>
      </c>
    </row>
    <row r="18" spans="2:3">
      <c r="C18" t="s">
        <v>20</v>
      </c>
    </row>
    <row r="20" spans="2:3">
      <c r="B20" s="89" t="s">
        <v>21</v>
      </c>
      <c r="C20" t="s">
        <v>22</v>
      </c>
    </row>
    <row r="21" spans="2:3">
      <c r="C21" t="s">
        <v>23</v>
      </c>
    </row>
    <row r="22" spans="2:3">
      <c r="C22" t="s">
        <v>24</v>
      </c>
    </row>
    <row r="23" spans="2:3">
      <c r="C23" t="s">
        <v>25</v>
      </c>
    </row>
    <row r="24" spans="2:3">
      <c r="C24" t="s">
        <v>26</v>
      </c>
    </row>
    <row r="25" spans="2:3">
      <c r="C25" t="s">
        <v>27</v>
      </c>
    </row>
    <row r="27" spans="2:3">
      <c r="B27" s="89" t="s">
        <v>28</v>
      </c>
      <c r="C27" t="s">
        <v>29</v>
      </c>
    </row>
    <row r="28" spans="2:3">
      <c r="C28" t="s">
        <v>30</v>
      </c>
    </row>
    <row r="29" spans="2:3">
      <c r="C29" t="s">
        <v>31</v>
      </c>
    </row>
    <row r="52" spans="3:3">
      <c r="C52" t="s">
        <v>32</v>
      </c>
    </row>
    <row r="75" spans="2:3">
      <c r="C75" t="s">
        <v>33</v>
      </c>
    </row>
    <row r="76" spans="2:3">
      <c r="B76" s="89" t="s">
        <v>34</v>
      </c>
      <c r="C76" s="89"/>
    </row>
    <row r="77" spans="2:3">
      <c r="C77" t="s">
        <v>35</v>
      </c>
    </row>
    <row r="82" spans="3:3">
      <c r="C82" t="s">
        <v>36</v>
      </c>
    </row>
    <row r="104" spans="3:3">
      <c r="C104" t="s">
        <v>37</v>
      </c>
    </row>
    <row r="135" spans="3:3">
      <c r="C135" t="s">
        <v>38</v>
      </c>
    </row>
    <row r="149" spans="3:3">
      <c r="C149" t="s">
        <v>39</v>
      </c>
    </row>
  </sheetData>
  <sheetProtection algorithmName="SHA-512" hashValue="YKuS36s7RMlWcfE6B9rLv03svmFqV6d6BEghzQDqsbr5XPVNIVuQla0XkX5Rcf4IE4ypOQNVZu8W5Cs6EtPabw==" saltValue="LDdr4D/wEyt5Nov7aHfggA==" spinCount="100000" sheet="1" objects="1" scenarios="1"/>
  <mergeCells count="1">
    <mergeCell ref="B2:G6"/>
  </mergeCells>
  <hyperlinks>
    <hyperlink ref="C1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chart"/>
  <dimension ref="A1:G92"/>
  <sheetViews>
    <sheetView zoomScale="150" zoomScaleNormal="150" workbookViewId="0">
      <pane xSplit="2" ySplit="1" topLeftCell="C65" activePane="bottomRight" state="frozen"/>
      <selection pane="topRight" activeCell="C1" sqref="C1"/>
      <selection pane="bottomLeft" activeCell="A2" sqref="A2"/>
      <selection pane="bottomRight" activeCell="B83" sqref="B83"/>
    </sheetView>
  </sheetViews>
  <sheetFormatPr defaultColWidth="9" defaultRowHeight="12"/>
  <cols>
    <col min="1" max="1" width="11.42578125" style="18" bestFit="1" customWidth="1"/>
    <col min="2" max="2" width="46.42578125" style="13" bestFit="1" customWidth="1"/>
    <col min="3" max="3" width="9" style="91" bestFit="1" customWidth="1"/>
    <col min="4" max="4" width="11.28515625" style="67" bestFit="1" customWidth="1"/>
    <col min="5" max="6" width="12.140625" style="68" bestFit="1" customWidth="1"/>
    <col min="7" max="7" width="14" style="69" bestFit="1" customWidth="1"/>
    <col min="8" max="16384" width="9" style="13"/>
  </cols>
  <sheetData>
    <row r="1" spans="1:7" s="87" customFormat="1">
      <c r="A1" s="92" t="s">
        <v>40</v>
      </c>
      <c r="B1" s="92" t="s">
        <v>41</v>
      </c>
      <c r="C1" s="90" t="s">
        <v>42</v>
      </c>
      <c r="D1" s="84" t="s">
        <v>43</v>
      </c>
      <c r="E1" s="85" t="s">
        <v>44</v>
      </c>
      <c r="F1" s="85" t="s">
        <v>45</v>
      </c>
      <c r="G1" s="86" t="s">
        <v>46</v>
      </c>
    </row>
    <row r="2" spans="1:7" ht="18.75">
      <c r="A2" s="96">
        <v>101001</v>
      </c>
      <c r="B2" s="97" t="s">
        <v>47</v>
      </c>
      <c r="C2" s="67" t="str">
        <f t="shared" ref="C2:C50" si="0">LEFT(A2,1)</f>
        <v>1</v>
      </c>
      <c r="D2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2" s="68">
        <f>SUMIF(Database[เลขที่บัญชี],COA[[#This Row],[เลขที่บัญชี]],Database[เดบิต])</f>
        <v>130470</v>
      </c>
      <c r="F2" s="68">
        <f>SUMIF(Database[เลขที่บัญชี],COA[[#This Row],[เลขที่บัญชี]],Database[เครดิต])</f>
        <v>130470</v>
      </c>
      <c r="G2" s="69">
        <f>COA[[#This Row],[DR.]]-COA[[#This Row],[CR.]]</f>
        <v>0</v>
      </c>
    </row>
    <row r="3" spans="1:7" ht="15.75" customHeight="1">
      <c r="A3" s="96">
        <v>101002</v>
      </c>
      <c r="B3" s="98" t="s">
        <v>48</v>
      </c>
      <c r="C3" s="67" t="str">
        <f t="shared" si="0"/>
        <v>1</v>
      </c>
      <c r="D3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3" s="68">
        <f>SUMIF(Database[เลขที่บัญชี],COA[[#This Row],[เลขที่บัญชี]],Database[เดบิต])</f>
        <v>3389336.9499999997</v>
      </c>
      <c r="F3" s="68">
        <f>SUMIF(Database[เลขที่บัญชี],COA[[#This Row],[เลขที่บัญชี]],Database[เครดิต])</f>
        <v>480781.69999999995</v>
      </c>
      <c r="G3" s="69">
        <f>COA[[#This Row],[DR.]]-COA[[#This Row],[CR.]]</f>
        <v>2908555.25</v>
      </c>
    </row>
    <row r="4" spans="1:7" ht="18.75">
      <c r="A4" s="96">
        <v>101003</v>
      </c>
      <c r="B4" s="98" t="s">
        <v>49</v>
      </c>
      <c r="C4" s="67" t="str">
        <f t="shared" ref="C4" si="1">LEFT(A4,1)</f>
        <v>1</v>
      </c>
      <c r="D4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4" s="68">
        <f>SUMIF(Database[เลขที่บัญชี],COA[[#This Row],[เลขที่บัญชี]],Database[เดบิต])</f>
        <v>133027.51</v>
      </c>
      <c r="F4" s="68">
        <f>SUMIF(Database[เลขที่บัญชี],COA[[#This Row],[เลขที่บัญชี]],Database[เครดิต])</f>
        <v>0</v>
      </c>
      <c r="G4" s="69">
        <f>COA[[#This Row],[DR.]]-COA[[#This Row],[CR.]]</f>
        <v>133027.51</v>
      </c>
    </row>
    <row r="5" spans="1:7" ht="35.25">
      <c r="A5" s="96">
        <v>101004</v>
      </c>
      <c r="B5" s="98" t="s">
        <v>50</v>
      </c>
      <c r="C5" s="67" t="str">
        <f t="shared" ref="C5" si="2">LEFT(A5,1)</f>
        <v>1</v>
      </c>
      <c r="D5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5" s="68">
        <f>SUMIF(Database[เลขที่บัญชี],COA[[#This Row],[เลขที่บัญชี]],Database[เดบิต])</f>
        <v>0</v>
      </c>
      <c r="F5" s="68">
        <f>SUMIF(Database[เลขที่บัญชี],COA[[#This Row],[เลขที่บัญชี]],Database[เครดิต])</f>
        <v>0</v>
      </c>
      <c r="G5" s="69">
        <f>COA[[#This Row],[DR.]]-COA[[#This Row],[CR.]]</f>
        <v>0</v>
      </c>
    </row>
    <row r="6" spans="1:7" ht="18.75">
      <c r="A6" s="96">
        <v>101005</v>
      </c>
      <c r="B6" s="98" t="s">
        <v>51</v>
      </c>
      <c r="C6" s="67" t="str">
        <f t="shared" ref="C6" si="3">LEFT(A6,1)</f>
        <v>1</v>
      </c>
      <c r="D6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6" s="68">
        <f>SUMIF(Database[เลขที่บัญชี],COA[[#This Row],[เลขที่บัญชี]],Database[เดบิต])</f>
        <v>1</v>
      </c>
      <c r="F6" s="68">
        <f>SUMIF(Database[เลขที่บัญชี],COA[[#This Row],[เลขที่บัญชี]],Database[เครดิต])</f>
        <v>0</v>
      </c>
      <c r="G6" s="69">
        <f>COA[[#This Row],[DR.]]-COA[[#This Row],[CR.]]</f>
        <v>1</v>
      </c>
    </row>
    <row r="7" spans="1:7" ht="18.75">
      <c r="A7" s="96">
        <v>101006</v>
      </c>
      <c r="B7" s="98" t="s">
        <v>52</v>
      </c>
      <c r="C7" s="67" t="str">
        <f t="shared" ref="C7" si="4">LEFT(A7,1)</f>
        <v>1</v>
      </c>
      <c r="D7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7" s="68">
        <f>SUMIF(Database[เลขที่บัญชี],COA[[#This Row],[เลขที่บัญชี]],Database[เดบิต])</f>
        <v>0</v>
      </c>
      <c r="F7" s="68">
        <f>SUMIF(Database[เลขที่บัญชี],COA[[#This Row],[เลขที่บัญชี]],Database[เครดิต])</f>
        <v>0</v>
      </c>
      <c r="G7" s="69">
        <f>COA[[#This Row],[DR.]]-COA[[#This Row],[CR.]]</f>
        <v>0</v>
      </c>
    </row>
    <row r="8" spans="1:7" ht="18.75">
      <c r="A8" s="96">
        <v>101007</v>
      </c>
      <c r="B8" s="98" t="s">
        <v>53</v>
      </c>
      <c r="C8" s="67" t="str">
        <f t="shared" ref="C8" si="5">LEFT(A8,1)</f>
        <v>1</v>
      </c>
      <c r="D8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8" s="68">
        <f>SUMIF(Database[เลขที่บัญชี],COA[[#This Row],[เลขที่บัญชี]],Database[เดบิต])</f>
        <v>1</v>
      </c>
      <c r="F8" s="68">
        <f>SUMIF(Database[เลขที่บัญชี],COA[[#This Row],[เลขที่บัญชี]],Database[เครดิต])</f>
        <v>0</v>
      </c>
      <c r="G8" s="69">
        <f>COA[[#This Row],[DR.]]-COA[[#This Row],[CR.]]</f>
        <v>1</v>
      </c>
    </row>
    <row r="9" spans="1:7" ht="18.75">
      <c r="A9" s="96">
        <v>101008</v>
      </c>
      <c r="B9" s="98" t="s">
        <v>54</v>
      </c>
      <c r="C9" s="67" t="str">
        <f t="shared" ref="C9" si="6">LEFT(A9,1)</f>
        <v>1</v>
      </c>
      <c r="D9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9" s="68">
        <f>SUMIF(Database[เลขที่บัญชี],COA[[#This Row],[เลขที่บัญชี]],Database[เดบิต])</f>
        <v>0</v>
      </c>
      <c r="F9" s="68">
        <f>SUMIF(Database[เลขที่บัญชี],COA[[#This Row],[เลขที่บัญชี]],Database[เครดิต])</f>
        <v>0</v>
      </c>
      <c r="G9" s="69">
        <f>COA[[#This Row],[DR.]]-COA[[#This Row],[CR.]]</f>
        <v>0</v>
      </c>
    </row>
    <row r="10" spans="1:7" ht="18.75">
      <c r="A10" s="96">
        <v>101009</v>
      </c>
      <c r="B10" s="98" t="s">
        <v>55</v>
      </c>
      <c r="C10" s="67" t="str">
        <f t="shared" ref="C10" si="7">LEFT(A10,1)</f>
        <v>1</v>
      </c>
      <c r="D10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10" s="68">
        <f>SUMIF(Database[เลขที่บัญชี],COA[[#This Row],[เลขที่บัญชี]],Database[เดบิต])</f>
        <v>4878.6499999999996</v>
      </c>
      <c r="F10" s="68">
        <f>SUMIF(Database[เลขที่บัญชี],COA[[#This Row],[เลขที่บัญชี]],Database[เครดิต])</f>
        <v>0</v>
      </c>
      <c r="G10" s="69">
        <f>COA[[#This Row],[DR.]]-COA[[#This Row],[CR.]]</f>
        <v>4878.6499999999996</v>
      </c>
    </row>
    <row r="11" spans="1:7" ht="35.25">
      <c r="A11" s="96">
        <v>101010</v>
      </c>
      <c r="B11" s="98" t="s">
        <v>56</v>
      </c>
      <c r="C11" s="67" t="str">
        <f t="shared" ref="C11" si="8">LEFT(A11,1)</f>
        <v>1</v>
      </c>
      <c r="D11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11" s="68">
        <f>SUMIF(Database[เลขที่บัญชี],COA[[#This Row],[เลขที่บัญชี]],Database[เดบิต])</f>
        <v>0</v>
      </c>
      <c r="F11" s="68">
        <f>SUMIF(Database[เลขที่บัญชี],COA[[#This Row],[เลขที่บัญชี]],Database[เครดิต])</f>
        <v>0</v>
      </c>
      <c r="G11" s="69">
        <f>COA[[#This Row],[DR.]]-COA[[#This Row],[CR.]]</f>
        <v>0</v>
      </c>
    </row>
    <row r="12" spans="1:7" ht="18.75">
      <c r="A12" s="96">
        <v>101011</v>
      </c>
      <c r="B12" s="98" t="s">
        <v>57</v>
      </c>
      <c r="C12" s="67" t="str">
        <f t="shared" ref="C12" si="9">LEFT(A12,1)</f>
        <v>1</v>
      </c>
      <c r="D12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12" s="68">
        <f>SUMIF(Database[เลขที่บัญชี],COA[[#This Row],[เลขที่บัญชี]],Database[เดบิต])</f>
        <v>1</v>
      </c>
      <c r="F12" s="68">
        <f>SUMIF(Database[เลขที่บัญชี],COA[[#This Row],[เลขที่บัญชี]],Database[เครดิต])</f>
        <v>0</v>
      </c>
      <c r="G12" s="69">
        <f>COA[[#This Row],[DR.]]-COA[[#This Row],[CR.]]</f>
        <v>1</v>
      </c>
    </row>
    <row r="13" spans="1:7" ht="35.25">
      <c r="A13" s="96">
        <v>101012</v>
      </c>
      <c r="B13" s="98" t="s">
        <v>58</v>
      </c>
      <c r="C13" s="67" t="str">
        <f t="shared" ref="C13" si="10">LEFT(A13,1)</f>
        <v>1</v>
      </c>
      <c r="D13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13" s="68">
        <f>SUMIF(Database[เลขที่บัญชี],COA[[#This Row],[เลขที่บัญชี]],Database[เดบิต])</f>
        <v>0</v>
      </c>
      <c r="F13" s="68">
        <f>SUMIF(Database[เลขที่บัญชี],COA[[#This Row],[เลขที่บัญชี]],Database[เครดิต])</f>
        <v>0</v>
      </c>
      <c r="G13" s="69">
        <f>COA[[#This Row],[DR.]]-COA[[#This Row],[CR.]]</f>
        <v>0</v>
      </c>
    </row>
    <row r="14" spans="1:7" ht="18.75">
      <c r="A14" s="96">
        <v>101013</v>
      </c>
      <c r="B14" s="98" t="s">
        <v>59</v>
      </c>
      <c r="C14" s="67" t="str">
        <f t="shared" ref="C14" si="11">LEFT(A14,1)</f>
        <v>1</v>
      </c>
      <c r="D14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14" s="68">
        <f>SUMIF(Database[เลขที่บัญชี],COA[[#This Row],[เลขที่บัญชี]],Database[เดบิต])</f>
        <v>1</v>
      </c>
      <c r="F14" s="68">
        <f>SUMIF(Database[เลขที่บัญชี],COA[[#This Row],[เลขที่บัญชี]],Database[เครดิต])</f>
        <v>0</v>
      </c>
      <c r="G14" s="69">
        <f>COA[[#This Row],[DR.]]-COA[[#This Row],[CR.]]</f>
        <v>1</v>
      </c>
    </row>
    <row r="15" spans="1:7" ht="18.75">
      <c r="A15" s="96">
        <v>101014</v>
      </c>
      <c r="B15" s="98" t="s">
        <v>60</v>
      </c>
      <c r="C15" s="67" t="str">
        <f t="shared" ref="C15" si="12">LEFT(A15,1)</f>
        <v>1</v>
      </c>
      <c r="D15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15" s="68">
        <f>SUMIF(Database[เลขที่บัญชี],COA[[#This Row],[เลขที่บัญชี]],Database[เดบิต])</f>
        <v>0</v>
      </c>
      <c r="F15" s="68">
        <f>SUMIF(Database[เลขที่บัญชี],COA[[#This Row],[เลขที่บัญชี]],Database[เครดิต])</f>
        <v>0</v>
      </c>
      <c r="G15" s="69">
        <f>COA[[#This Row],[DR.]]-COA[[#This Row],[CR.]]</f>
        <v>0</v>
      </c>
    </row>
    <row r="16" spans="1:7" ht="18.75">
      <c r="A16" s="96">
        <v>101015</v>
      </c>
      <c r="B16" s="98" t="s">
        <v>61</v>
      </c>
      <c r="C16" s="67" t="str">
        <f t="shared" ref="C16" si="13">LEFT(A16,1)</f>
        <v>1</v>
      </c>
      <c r="D16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16" s="68">
        <f>SUMIF(Database[เลขที่บัญชี],COA[[#This Row],[เลขที่บัญชี]],Database[เดบิต])</f>
        <v>1</v>
      </c>
      <c r="F16" s="68">
        <f>SUMIF(Database[เลขที่บัญชี],COA[[#This Row],[เลขที่บัญชี]],Database[เครดิต])</f>
        <v>0</v>
      </c>
      <c r="G16" s="69">
        <f>COA[[#This Row],[DR.]]-COA[[#This Row],[CR.]]</f>
        <v>1</v>
      </c>
    </row>
    <row r="17" spans="1:7" ht="18.75">
      <c r="A17" s="96">
        <v>101016</v>
      </c>
      <c r="B17" s="98" t="s">
        <v>62</v>
      </c>
      <c r="C17" s="67" t="str">
        <f t="shared" ref="C17" si="14">LEFT(A17,1)</f>
        <v>1</v>
      </c>
      <c r="D17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17" s="68">
        <f>SUMIF(Database[เลขที่บัญชี],COA[[#This Row],[เลขที่บัญชี]],Database[เดบิต])</f>
        <v>0</v>
      </c>
      <c r="F17" s="68">
        <f>SUMIF(Database[เลขที่บัญชี],COA[[#This Row],[เลขที่บัญชี]],Database[เครดิต])</f>
        <v>0</v>
      </c>
      <c r="G17" s="69">
        <f>COA[[#This Row],[DR.]]-COA[[#This Row],[CR.]]</f>
        <v>0</v>
      </c>
    </row>
    <row r="18" spans="1:7" ht="18.75">
      <c r="A18" s="96">
        <v>101017</v>
      </c>
      <c r="B18" s="98" t="s">
        <v>63</v>
      </c>
      <c r="C18" s="67" t="str">
        <f t="shared" ref="C18" si="15">LEFT(A18,1)</f>
        <v>1</v>
      </c>
      <c r="D18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18" s="68">
        <f>SUMIF(Database[เลขที่บัญชี],COA[[#This Row],[เลขที่บัญชี]],Database[เดบิต])</f>
        <v>1</v>
      </c>
      <c r="F18" s="68">
        <f>SUMIF(Database[เลขที่บัญชี],COA[[#This Row],[เลขที่บัญชี]],Database[เครดิต])</f>
        <v>0</v>
      </c>
      <c r="G18" s="69">
        <f>COA[[#This Row],[DR.]]-COA[[#This Row],[CR.]]</f>
        <v>1</v>
      </c>
    </row>
    <row r="19" spans="1:7" ht="18.75">
      <c r="A19" s="96">
        <v>101018</v>
      </c>
      <c r="B19" s="98" t="s">
        <v>64</v>
      </c>
      <c r="C19" s="67" t="str">
        <f t="shared" ref="C19" si="16">LEFT(A19,1)</f>
        <v>1</v>
      </c>
      <c r="D19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19" s="68">
        <f>SUMIF(Database[เลขที่บัญชี],COA[[#This Row],[เลขที่บัญชี]],Database[เดบิต])</f>
        <v>0</v>
      </c>
      <c r="F19" s="68">
        <f>SUMIF(Database[เลขที่บัญชี],COA[[#This Row],[เลขที่บัญชี]],Database[เครดิต])</f>
        <v>0</v>
      </c>
      <c r="G19" s="69">
        <f>COA[[#This Row],[DR.]]-COA[[#This Row],[CR.]]</f>
        <v>0</v>
      </c>
    </row>
    <row r="20" spans="1:7" ht="18.75">
      <c r="A20" s="96">
        <v>101019</v>
      </c>
      <c r="B20" s="98" t="s">
        <v>65</v>
      </c>
      <c r="C20" s="67" t="str">
        <f t="shared" ref="C20" si="17">LEFT(A20,1)</f>
        <v>1</v>
      </c>
      <c r="D20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20" s="68">
        <f>SUMIF(Database[เลขที่บัญชี],COA[[#This Row],[เลขที่บัญชี]],Database[เดบิต])</f>
        <v>6180.95</v>
      </c>
      <c r="F20" s="68">
        <f>SUMIF(Database[เลขที่บัญชี],COA[[#This Row],[เลขที่บัญชี]],Database[เครดิต])</f>
        <v>0</v>
      </c>
      <c r="G20" s="69">
        <f>COA[[#This Row],[DR.]]-COA[[#This Row],[CR.]]</f>
        <v>6180.95</v>
      </c>
    </row>
    <row r="21" spans="1:7" ht="35.25">
      <c r="A21" s="96">
        <v>101020</v>
      </c>
      <c r="B21" s="98" t="s">
        <v>66</v>
      </c>
      <c r="C21" s="67" t="str">
        <f t="shared" ref="C21" si="18">LEFT(A21,1)</f>
        <v>1</v>
      </c>
      <c r="D21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21" s="68">
        <f>SUMIF(Database[เลขที่บัญชี],COA[[#This Row],[เลขที่บัญชี]],Database[เดบิต])</f>
        <v>0</v>
      </c>
      <c r="F21" s="68">
        <f>SUMIF(Database[เลขที่บัญชี],COA[[#This Row],[เลขที่บัญชี]],Database[เครดิต])</f>
        <v>0</v>
      </c>
      <c r="G21" s="69">
        <f>COA[[#This Row],[DR.]]-COA[[#This Row],[CR.]]</f>
        <v>0</v>
      </c>
    </row>
    <row r="22" spans="1:7" ht="18.75">
      <c r="A22" s="96">
        <v>101021</v>
      </c>
      <c r="B22" s="98" t="s">
        <v>67</v>
      </c>
      <c r="C22" s="67" t="str">
        <f t="shared" ref="C22" si="19">LEFT(A22,1)</f>
        <v>1</v>
      </c>
      <c r="D22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22" s="68">
        <f>SUMIF(Database[เลขที่บัญชี],COA[[#This Row],[เลขที่บัญชี]],Database[เดบิต])</f>
        <v>14704.62</v>
      </c>
      <c r="F22" s="68">
        <f>SUMIF(Database[เลขที่บัญชี],COA[[#This Row],[เลขที่บัญชี]],Database[เครดิต])</f>
        <v>0</v>
      </c>
      <c r="G22" s="69">
        <f>COA[[#This Row],[DR.]]-COA[[#This Row],[CR.]]</f>
        <v>14704.62</v>
      </c>
    </row>
    <row r="23" spans="1:7" ht="35.25">
      <c r="A23" s="96">
        <v>101022</v>
      </c>
      <c r="B23" s="98" t="s">
        <v>68</v>
      </c>
      <c r="C23" s="67" t="str">
        <f t="shared" ref="C23" si="20">LEFT(A23,1)</f>
        <v>1</v>
      </c>
      <c r="D23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สินทรัพย์</v>
      </c>
      <c r="E23" s="68">
        <f>SUMIF(Database[เลขที่บัญชี],COA[[#This Row],[เลขที่บัญชี]],Database[เดบิต])</f>
        <v>0</v>
      </c>
      <c r="F23" s="68">
        <f>SUMIF(Database[เลขที่บัญชี],COA[[#This Row],[เลขที่บัญชี]],Database[เครดิต])</f>
        <v>0</v>
      </c>
      <c r="G23" s="69">
        <f>COA[[#This Row],[DR.]]-COA[[#This Row],[CR.]]</f>
        <v>0</v>
      </c>
    </row>
    <row r="24" spans="1:7" ht="18.75">
      <c r="A24" s="96">
        <v>201000</v>
      </c>
      <c r="B24" s="99" t="s">
        <v>69</v>
      </c>
      <c r="C24" s="67" t="str">
        <f t="shared" si="0"/>
        <v>2</v>
      </c>
      <c r="D24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หนี้สิน</v>
      </c>
      <c r="E24" s="68">
        <f>SUMIF(Database[เลขที่บัญชี],COA[[#This Row],[เลขที่บัญชี]],Database[เดบิต])</f>
        <v>0</v>
      </c>
      <c r="F24" s="68">
        <f>SUMIF(Database[เลขที่บัญชี],COA[[#This Row],[เลขที่บัญชี]],Database[เครดิต])</f>
        <v>0</v>
      </c>
      <c r="G24" s="69">
        <f>COA[[#This Row],[DR.]]-COA[[#This Row],[CR.]]</f>
        <v>0</v>
      </c>
    </row>
    <row r="25" spans="1:7" ht="18.75">
      <c r="A25" s="106">
        <v>201001</v>
      </c>
      <c r="B25" s="107" t="s">
        <v>70</v>
      </c>
      <c r="C25" s="67" t="str">
        <f t="shared" si="0"/>
        <v>2</v>
      </c>
      <c r="D25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หนี้สิน</v>
      </c>
      <c r="E25" s="68">
        <f>SUMIF(Database[เลขที่บัญชี],COA[[#This Row],[เลขที่บัญชี]],Database[เดบิต])</f>
        <v>0</v>
      </c>
      <c r="F25" s="68">
        <f>SUMIF(Database[เลขที่บัญชี],COA[[#This Row],[เลขที่บัญชี]],Database[เครดิต])</f>
        <v>0</v>
      </c>
      <c r="G25" s="69">
        <f>COA[[#This Row],[DR.]]-COA[[#This Row],[CR.]]</f>
        <v>0</v>
      </c>
    </row>
    <row r="26" spans="1:7" ht="18.75">
      <c r="A26" s="106">
        <v>201002</v>
      </c>
      <c r="B26" s="107" t="s">
        <v>71</v>
      </c>
      <c r="C26" s="67" t="str">
        <f t="shared" si="0"/>
        <v>2</v>
      </c>
      <c r="D26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หนี้สิน</v>
      </c>
      <c r="E26" s="104">
        <f>SUMIF(Database[เลขที่บัญชี],COA[[#This Row],[เลขที่บัญชี]],Database[เดบิต])</f>
        <v>0</v>
      </c>
      <c r="F26" s="104">
        <f>SUMIF(Database[เลขที่บัญชี],COA[[#This Row],[เลขที่บัญชี]],Database[เครดิต])</f>
        <v>208710</v>
      </c>
      <c r="G26" s="105">
        <f>COA[[#This Row],[DR.]]-COA[[#This Row],[CR.]]</f>
        <v>-208710</v>
      </c>
    </row>
    <row r="27" spans="1:7" ht="18.75">
      <c r="A27" s="106">
        <v>201003</v>
      </c>
      <c r="B27" s="107" t="s">
        <v>72</v>
      </c>
      <c r="C27" s="67" t="str">
        <f t="shared" si="0"/>
        <v>2</v>
      </c>
      <c r="D27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หนี้สิน</v>
      </c>
      <c r="E27" s="104">
        <f>SUMIF(Database[เลขที่บัญชี],COA[[#This Row],[เลขที่บัญชี]],Database[เดบิต])</f>
        <v>0</v>
      </c>
      <c r="F27" s="104">
        <f>SUMIF(Database[เลขที่บัญชี],COA[[#This Row],[เลขที่บัญชี]],Database[เครดิต])</f>
        <v>0</v>
      </c>
      <c r="G27" s="105">
        <f>COA[[#This Row],[DR.]]-COA[[#This Row],[CR.]]</f>
        <v>0</v>
      </c>
    </row>
    <row r="28" spans="1:7" ht="18.75">
      <c r="A28" s="106">
        <v>201004</v>
      </c>
      <c r="B28" s="107" t="s">
        <v>73</v>
      </c>
      <c r="C28" s="67" t="str">
        <f t="shared" si="0"/>
        <v>2</v>
      </c>
      <c r="D28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หนี้สิน</v>
      </c>
      <c r="E28" s="104">
        <f>SUMIF(Database[เลขที่บัญชี],COA[[#This Row],[เลขที่บัญชี]],Database[เดบิต])</f>
        <v>0</v>
      </c>
      <c r="F28" s="104">
        <f>SUMIF(Database[เลขที่บัญชี],COA[[#This Row],[เลขที่บัญชี]],Database[เครดิต])</f>
        <v>134640</v>
      </c>
      <c r="G28" s="105">
        <f>COA[[#This Row],[DR.]]-COA[[#This Row],[CR.]]</f>
        <v>-134640</v>
      </c>
    </row>
    <row r="29" spans="1:7" ht="18.75">
      <c r="A29" s="106">
        <v>201005</v>
      </c>
      <c r="B29" s="107" t="s">
        <v>74</v>
      </c>
      <c r="C29" s="67" t="str">
        <f t="shared" si="0"/>
        <v>2</v>
      </c>
      <c r="D29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หนี้สิน</v>
      </c>
      <c r="E29" s="104">
        <f>SUMIF(Database[เลขที่บัญชี],COA[[#This Row],[เลขที่บัญชี]],Database[เดบิต])</f>
        <v>0</v>
      </c>
      <c r="F29" s="104">
        <f>SUMIF(Database[เลขที่บัญชี],COA[[#This Row],[เลขที่บัญชี]],Database[เครดิต])</f>
        <v>0</v>
      </c>
      <c r="G29" s="105">
        <f>COA[[#This Row],[DR.]]-COA[[#This Row],[CR.]]</f>
        <v>0</v>
      </c>
    </row>
    <row r="30" spans="1:7" ht="18.75">
      <c r="A30" s="106">
        <v>201006</v>
      </c>
      <c r="B30" s="107" t="s">
        <v>75</v>
      </c>
      <c r="C30" s="67" t="str">
        <f t="shared" si="0"/>
        <v>2</v>
      </c>
      <c r="D30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หนี้สิน</v>
      </c>
      <c r="E30" s="104">
        <f>SUMIF(Database[เลขที่บัญชี],COA[[#This Row],[เลขที่บัญชี]],Database[เดบิต])</f>
        <v>0</v>
      </c>
      <c r="F30" s="104">
        <f>SUMIF(Database[เลขที่บัญชี],COA[[#This Row],[เลขที่บัญชี]],Database[เครดิต])</f>
        <v>0</v>
      </c>
      <c r="G30" s="105">
        <f>COA[[#This Row],[DR.]]-COA[[#This Row],[CR.]]</f>
        <v>0</v>
      </c>
    </row>
    <row r="31" spans="1:7" ht="18.75">
      <c r="A31" s="106">
        <v>201007</v>
      </c>
      <c r="B31" s="107" t="s">
        <v>76</v>
      </c>
      <c r="C31" s="67" t="str">
        <f t="shared" ref="C31" si="21">LEFT(A31,1)</f>
        <v>2</v>
      </c>
      <c r="D31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หนี้สิน</v>
      </c>
      <c r="E31" s="104">
        <f>SUMIF(Database[เลขที่บัญชี],COA[[#This Row],[เลขที่บัญชี]],Database[เดบิต])</f>
        <v>0</v>
      </c>
      <c r="F31" s="104">
        <f>SUMIF(Database[เลขที่บัญชี],COA[[#This Row],[เลขที่บัญชี]],Database[เครดิต])</f>
        <v>0</v>
      </c>
      <c r="G31" s="105">
        <f>COA[[#This Row],[DR.]]-COA[[#This Row],[CR.]]</f>
        <v>0</v>
      </c>
    </row>
    <row r="32" spans="1:7" ht="18.75">
      <c r="A32" s="106">
        <v>201008</v>
      </c>
      <c r="B32" s="107" t="s">
        <v>77</v>
      </c>
      <c r="C32" s="67" t="str">
        <f t="shared" ref="C32" si="22">LEFT(A32,1)</f>
        <v>2</v>
      </c>
      <c r="D32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หนี้สิน</v>
      </c>
      <c r="E32" s="104">
        <f>SUMIF(Database[เลขที่บัญชี],COA[[#This Row],[เลขที่บัญชี]],Database[เดบิต])</f>
        <v>0</v>
      </c>
      <c r="F32" s="104">
        <f>SUMIF(Database[เลขที่บัญชี],COA[[#This Row],[เลขที่บัญชี]],Database[เครดิต])</f>
        <v>12285.9</v>
      </c>
      <c r="G32" s="105">
        <f>COA[[#This Row],[DR.]]-COA[[#This Row],[CR.]]</f>
        <v>-12285.9</v>
      </c>
    </row>
    <row r="33" spans="1:7" ht="18.75">
      <c r="A33" s="96">
        <v>301001</v>
      </c>
      <c r="B33" s="99" t="s">
        <v>78</v>
      </c>
      <c r="C33" s="67" t="str">
        <f t="shared" si="0"/>
        <v>3</v>
      </c>
      <c r="D33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ส่วนของเจ้าของ</v>
      </c>
      <c r="E33" s="68">
        <f>SUMIF(Database[เลขที่บัญชี],COA[[#This Row],[เลขที่บัญชี]],Database[เดบิต])</f>
        <v>0</v>
      </c>
      <c r="F33" s="68">
        <f>SUMIF(Database[เลขที่บัญชี],COA[[#This Row],[เลขที่บัญชี]],Database[เครดิต])</f>
        <v>544281.59</v>
      </c>
      <c r="G33" s="69">
        <f>COA[[#This Row],[DR.]]-COA[[#This Row],[CR.]]</f>
        <v>-544281.59</v>
      </c>
    </row>
    <row r="34" spans="1:7" ht="18.75">
      <c r="A34" s="96">
        <v>301002</v>
      </c>
      <c r="B34" s="99" t="s">
        <v>79</v>
      </c>
      <c r="C34" s="67" t="str">
        <f t="shared" si="0"/>
        <v>3</v>
      </c>
      <c r="D34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ส่วนของเจ้าของ</v>
      </c>
      <c r="E34" s="68">
        <f>SUMIF(Database[เลขที่บัญชี],COA[[#This Row],[เลขที่บัญชี]],Database[เดบิต])</f>
        <v>0</v>
      </c>
      <c r="F34" s="68">
        <f>SUMIF(Database[เลขที่บัญชี],COA[[#This Row],[เลขที่บัญชี]],Database[เครดิต])</f>
        <v>2432040.7400000002</v>
      </c>
      <c r="G34" s="69">
        <f>COA[[#This Row],[DR.]]-COA[[#This Row],[CR.]]</f>
        <v>-2432040.7400000002</v>
      </c>
    </row>
    <row r="35" spans="1:7" ht="18.75">
      <c r="A35" s="96">
        <v>301003</v>
      </c>
      <c r="B35" s="99" t="s">
        <v>80</v>
      </c>
      <c r="C35" s="67" t="str">
        <f t="shared" ref="C35" si="23">LEFT(A35,1)</f>
        <v>3</v>
      </c>
      <c r="D35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ส่วนของเจ้าของ</v>
      </c>
      <c r="E35" s="68">
        <f>SUMIF(Database[เลขที่บัญชี],COA[[#This Row],[เลขที่บัญชี]],Database[เดบิต])</f>
        <v>0</v>
      </c>
      <c r="F35" s="68">
        <f>SUMIF(Database[เลขที่บัญชี],COA[[#This Row],[เลขที่บัญชี]],Database[เครดิต])</f>
        <v>53438.14</v>
      </c>
      <c r="G35" s="69">
        <f>COA[[#This Row],[DR.]]-COA[[#This Row],[CR.]]</f>
        <v>-53438.14</v>
      </c>
    </row>
    <row r="36" spans="1:7" ht="18.75">
      <c r="A36" s="96">
        <v>401001</v>
      </c>
      <c r="B36" s="100" t="s">
        <v>81</v>
      </c>
      <c r="C36" s="67" t="str">
        <f t="shared" si="0"/>
        <v>4</v>
      </c>
      <c r="D36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36" s="68">
        <f>SUMIF(Database[เลขที่บัญชี],COA[[#This Row],[เลขที่บัญชี]],Database[เดบิต])</f>
        <v>0</v>
      </c>
      <c r="F36" s="68">
        <f>SUMIF(Database[เลขที่บัญชี],COA[[#This Row],[เลขที่บัญชี]],Database[เครดิต])</f>
        <v>0</v>
      </c>
      <c r="G36" s="69">
        <f>COA[[#This Row],[DR.]]-COA[[#This Row],[CR.]]</f>
        <v>0</v>
      </c>
    </row>
    <row r="37" spans="1:7" ht="18.75">
      <c r="A37" s="96">
        <v>401002</v>
      </c>
      <c r="B37" s="100" t="s">
        <v>82</v>
      </c>
      <c r="C37" s="67" t="str">
        <f t="shared" si="0"/>
        <v>4</v>
      </c>
      <c r="D37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37" s="68">
        <f>SUMIF(Database[เลขที่บัญชี],COA[[#This Row],[เลขที่บัญชี]],Database[เดบิต])</f>
        <v>0</v>
      </c>
      <c r="F37" s="68">
        <f>SUMIF(Database[เลขที่บัญชี],COA[[#This Row],[เลขที่บัญชี]],Database[เครดิต])</f>
        <v>0</v>
      </c>
      <c r="G37" s="69">
        <f>COA[[#This Row],[DR.]]-COA[[#This Row],[CR.]]</f>
        <v>0</v>
      </c>
    </row>
    <row r="38" spans="1:7" ht="18.75">
      <c r="A38" s="96">
        <v>401003</v>
      </c>
      <c r="B38" s="100" t="s">
        <v>83</v>
      </c>
      <c r="C38" s="67" t="str">
        <f t="shared" si="0"/>
        <v>4</v>
      </c>
      <c r="D38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38" s="68">
        <f>SUMIF(Database[เลขที่บัญชี],COA[[#This Row],[เลขที่บัญชี]],Database[เดบิต])</f>
        <v>0</v>
      </c>
      <c r="F38" s="68">
        <f>SUMIF(Database[เลขที่บัญชี],COA[[#This Row],[เลขที่บัญชี]],Database[เครดิต])</f>
        <v>235700</v>
      </c>
      <c r="G38" s="69">
        <f>COA[[#This Row],[DR.]]-COA[[#This Row],[CR.]]</f>
        <v>-235700</v>
      </c>
    </row>
    <row r="39" spans="1:7" ht="18.75">
      <c r="A39" s="96">
        <v>401004</v>
      </c>
      <c r="B39" s="100" t="s">
        <v>84</v>
      </c>
      <c r="C39" s="67" t="str">
        <f t="shared" si="0"/>
        <v>4</v>
      </c>
      <c r="D39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39" s="68">
        <f>SUMIF(Database[เลขที่บัญชี],COA[[#This Row],[เลขที่บัญชี]],Database[เดบิต])</f>
        <v>0</v>
      </c>
      <c r="F39" s="68">
        <f>SUMIF(Database[เลขที่บัญชี],COA[[#This Row],[เลขที่บัญชี]],Database[เครดิต])</f>
        <v>28800</v>
      </c>
      <c r="G39" s="69">
        <f>COA[[#This Row],[DR.]]-COA[[#This Row],[CR.]]</f>
        <v>-28800</v>
      </c>
    </row>
    <row r="40" spans="1:7" ht="18.75">
      <c r="A40" s="96">
        <v>401005</v>
      </c>
      <c r="B40" s="100" t="s">
        <v>85</v>
      </c>
      <c r="C40" s="67" t="str">
        <f t="shared" si="0"/>
        <v>4</v>
      </c>
      <c r="D40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40" s="68">
        <f>SUMIF(Database[เลขที่บัญชี],COA[[#This Row],[เลขที่บัญชี]],Database[เดบิต])</f>
        <v>0</v>
      </c>
      <c r="F40" s="68">
        <f>SUMIF(Database[เลขที่บัญชี],COA[[#This Row],[เลขที่บัญชี]],Database[เครดิต])</f>
        <v>18720</v>
      </c>
      <c r="G40" s="69">
        <f>COA[[#This Row],[DR.]]-COA[[#This Row],[CR.]]</f>
        <v>-18720</v>
      </c>
    </row>
    <row r="41" spans="1:7" ht="18.75">
      <c r="A41" s="96">
        <v>401006</v>
      </c>
      <c r="B41" s="100" t="s">
        <v>86</v>
      </c>
      <c r="C41" s="67" t="str">
        <f t="shared" si="0"/>
        <v>4</v>
      </c>
      <c r="D41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41" s="68">
        <f>SUMIF(Database[เลขที่บัญชี],COA[[#This Row],[เลขที่บัญชี]],Database[เดบิต])</f>
        <v>0</v>
      </c>
      <c r="F41" s="68">
        <f>SUMIF(Database[เลขที่บัญชี],COA[[#This Row],[เลขที่บัญชี]],Database[เครดิต])</f>
        <v>0</v>
      </c>
      <c r="G41" s="69">
        <f>COA[[#This Row],[DR.]]-COA[[#This Row],[CR.]]</f>
        <v>0</v>
      </c>
    </row>
    <row r="42" spans="1:7" ht="18.75">
      <c r="A42" s="96">
        <v>401007</v>
      </c>
      <c r="B42" s="100" t="s">
        <v>87</v>
      </c>
      <c r="C42" s="67" t="str">
        <f t="shared" si="0"/>
        <v>4</v>
      </c>
      <c r="D42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42" s="68">
        <f>SUMIF(Database[เลขที่บัญชี],COA[[#This Row],[เลขที่บัญชี]],Database[เดบิต])</f>
        <v>0</v>
      </c>
      <c r="F42" s="68">
        <f>SUMIF(Database[เลขที่บัญชี],COA[[#This Row],[เลขที่บัญชี]],Database[เครดิต])</f>
        <v>2150</v>
      </c>
      <c r="G42" s="69">
        <f>COA[[#This Row],[DR.]]-COA[[#This Row],[CR.]]</f>
        <v>-2150</v>
      </c>
    </row>
    <row r="43" spans="1:7" ht="18.75">
      <c r="A43" s="96">
        <v>401008</v>
      </c>
      <c r="B43" s="100" t="s">
        <v>88</v>
      </c>
      <c r="C43" s="67" t="str">
        <f t="shared" si="0"/>
        <v>4</v>
      </c>
      <c r="D43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43" s="68">
        <f>SUMIF(Database[เลขที่บัญชี],COA[[#This Row],[เลขที่บัญชี]],Database[เดบิต])</f>
        <v>0</v>
      </c>
      <c r="F43" s="68">
        <f>SUMIF(Database[เลขที่บัญชี],COA[[#This Row],[เลขที่บัญชี]],Database[เครดิต])</f>
        <v>15000</v>
      </c>
      <c r="G43" s="69">
        <f>COA[[#This Row],[DR.]]-COA[[#This Row],[CR.]]</f>
        <v>-15000</v>
      </c>
    </row>
    <row r="44" spans="1:7" ht="18.75">
      <c r="A44" s="96">
        <v>401009</v>
      </c>
      <c r="B44" s="100" t="s">
        <v>89</v>
      </c>
      <c r="C44" s="67" t="str">
        <f t="shared" si="0"/>
        <v>4</v>
      </c>
      <c r="D44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44" s="68">
        <f>SUMIF(Database[เลขที่บัญชี],COA[[#This Row],[เลขที่บัญชี]],Database[เดบิต])</f>
        <v>0</v>
      </c>
      <c r="F44" s="68">
        <f>SUMIF(Database[เลขที่บัญชี],COA[[#This Row],[เลขที่บัญชี]],Database[เครดิต])</f>
        <v>4000</v>
      </c>
      <c r="G44" s="69">
        <f>COA[[#This Row],[DR.]]-COA[[#This Row],[CR.]]</f>
        <v>-4000</v>
      </c>
    </row>
    <row r="45" spans="1:7" ht="18.75">
      <c r="A45" s="96">
        <v>401010</v>
      </c>
      <c r="B45" s="100" t="s">
        <v>90</v>
      </c>
      <c r="C45" s="67" t="str">
        <f t="shared" si="0"/>
        <v>4</v>
      </c>
      <c r="D45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45" s="68">
        <f>SUMIF(Database[เลขที่บัญชี],COA[[#This Row],[เลขที่บัญชี]],Database[เดบิต])</f>
        <v>0</v>
      </c>
      <c r="F45" s="68">
        <f>SUMIF(Database[เลขที่บัญชี],COA[[#This Row],[เลขที่บัญชี]],Database[เครดิต])</f>
        <v>2640</v>
      </c>
      <c r="G45" s="69">
        <f>COA[[#This Row],[DR.]]-COA[[#This Row],[CR.]]</f>
        <v>-2640</v>
      </c>
    </row>
    <row r="46" spans="1:7" ht="18.75">
      <c r="A46" s="96">
        <v>401011</v>
      </c>
      <c r="B46" s="100" t="s">
        <v>91</v>
      </c>
      <c r="C46" s="67" t="str">
        <f t="shared" si="0"/>
        <v>4</v>
      </c>
      <c r="D46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46" s="68">
        <f>SUMIF(Database[เลขที่บัญชี],COA[[#This Row],[เลขที่บัญชี]],Database[เดบิต])</f>
        <v>0</v>
      </c>
      <c r="F46" s="68">
        <f>SUMIF(Database[เลขที่บัญชี],COA[[#This Row],[เลขที่บัญชี]],Database[เครดิต])</f>
        <v>0</v>
      </c>
      <c r="G46" s="69">
        <f>COA[[#This Row],[DR.]]-COA[[#This Row],[CR.]]</f>
        <v>0</v>
      </c>
    </row>
    <row r="47" spans="1:7" ht="18.75">
      <c r="A47" s="96">
        <v>401012</v>
      </c>
      <c r="B47" s="100" t="s">
        <v>92</v>
      </c>
      <c r="C47" s="67" t="str">
        <f t="shared" si="0"/>
        <v>4</v>
      </c>
      <c r="D47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47" s="68">
        <f>SUMIF(Database[เลขที่บัญชี],COA[[#This Row],[เลขที่บัญชี]],Database[เดบิต])</f>
        <v>0</v>
      </c>
      <c r="F47" s="68">
        <f>SUMIF(Database[เลขที่บัญชี],COA[[#This Row],[เลขที่บัญชี]],Database[เครดิต])</f>
        <v>29790</v>
      </c>
      <c r="G47" s="69">
        <f>COA[[#This Row],[DR.]]-COA[[#This Row],[CR.]]</f>
        <v>-29790</v>
      </c>
    </row>
    <row r="48" spans="1:7" ht="18.75">
      <c r="A48" s="96">
        <v>401013</v>
      </c>
      <c r="B48" s="100" t="s">
        <v>93</v>
      </c>
      <c r="C48" s="67" t="str">
        <f t="shared" si="0"/>
        <v>4</v>
      </c>
      <c r="D48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48" s="68">
        <f>SUMIF(Database[เลขที่บัญชี],COA[[#This Row],[เลขที่บัญชี]],Database[เดบิต])</f>
        <v>0</v>
      </c>
      <c r="F48" s="68">
        <f>SUMIF(Database[เลขที่บัญชี],COA[[#This Row],[เลขที่บัญชี]],Database[เครดิต])</f>
        <v>110160</v>
      </c>
      <c r="G48" s="69">
        <f>COA[[#This Row],[DR.]]-COA[[#This Row],[CR.]]</f>
        <v>-110160</v>
      </c>
    </row>
    <row r="49" spans="1:7" ht="18.75">
      <c r="A49" s="96">
        <v>401014</v>
      </c>
      <c r="B49" s="99" t="s">
        <v>94</v>
      </c>
      <c r="C49" s="67" t="str">
        <f t="shared" si="0"/>
        <v>4</v>
      </c>
      <c r="D49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49" s="68">
        <f>SUMIF(Database[เลขที่บัญชี],COA[[#This Row],[เลขที่บัญชี]],Database[เดบิต])</f>
        <v>0</v>
      </c>
      <c r="F49" s="68">
        <f>SUMIF(Database[เลขที่บัญชี],COA[[#This Row],[เลขที่บัญชี]],Database[เครดิต])</f>
        <v>6000</v>
      </c>
      <c r="G49" s="69">
        <f>COA[[#This Row],[DR.]]-COA[[#This Row],[CR.]]</f>
        <v>-6000</v>
      </c>
    </row>
    <row r="50" spans="1:7" ht="18.75">
      <c r="A50" s="96">
        <v>401015</v>
      </c>
      <c r="B50" s="100" t="s">
        <v>95</v>
      </c>
      <c r="C50" s="67" t="str">
        <f t="shared" si="0"/>
        <v>4</v>
      </c>
      <c r="D50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50" s="68">
        <f>SUMIF(Database[เลขที่บัญชี],COA[[#This Row],[เลขที่บัญชี]],Database[เดบิต])</f>
        <v>0</v>
      </c>
      <c r="F50" s="68">
        <f>SUMIF(Database[เลขที่บัญชี],COA[[#This Row],[เลขที่บัญชี]],Database[เครดิต])</f>
        <v>0</v>
      </c>
      <c r="G50" s="69">
        <f>COA[[#This Row],[DR.]]-COA[[#This Row],[CR.]]</f>
        <v>0</v>
      </c>
    </row>
    <row r="51" spans="1:7" ht="18.75">
      <c r="A51" s="96">
        <v>401016</v>
      </c>
      <c r="B51" s="100" t="s">
        <v>96</v>
      </c>
      <c r="C51" s="67"/>
      <c r="D51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51" s="68">
        <f>SUMIF(Database[เลขที่บัญชี],COA[[#This Row],[เลขที่บัญชี]],Database[เดบิต])</f>
        <v>0</v>
      </c>
      <c r="F51" s="68">
        <f>SUMIF(Database[เลขที่บัญชี],COA[[#This Row],[เลขที่บัญชี]],Database[เครดิต])</f>
        <v>700</v>
      </c>
      <c r="G51" s="69">
        <f>COA[[#This Row],[DR.]]-COA[[#This Row],[CR.]]</f>
        <v>-700</v>
      </c>
    </row>
    <row r="52" spans="1:7" ht="18.75">
      <c r="A52" s="96">
        <v>401017</v>
      </c>
      <c r="B52" s="100" t="s">
        <v>97</v>
      </c>
      <c r="C52" s="67"/>
      <c r="D52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52" s="68">
        <f>SUMIF(Database[เลขที่บัญชี],COA[[#This Row],[เลขที่บัญชี]],Database[เดบิต])</f>
        <v>0</v>
      </c>
      <c r="F52" s="68">
        <f>SUMIF(Database[เลขที่บัญชี],COA[[#This Row],[เลขที่บัญชี]],Database[เครดิต])</f>
        <v>6479.13</v>
      </c>
      <c r="G52" s="69">
        <f>COA[[#This Row],[DR.]]-COA[[#This Row],[CR.]]</f>
        <v>-6479.13</v>
      </c>
    </row>
    <row r="53" spans="1:7" ht="18.75">
      <c r="A53" s="101">
        <v>401018</v>
      </c>
      <c r="B53" s="100" t="s">
        <v>98</v>
      </c>
      <c r="C53" s="67" t="str">
        <f t="shared" ref="C53:C64" si="24">LEFT(A53,1)</f>
        <v>4</v>
      </c>
      <c r="D53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53" s="68">
        <f>SUMIF(Database[เลขที่บัญชี],COA[[#This Row],[เลขที่บัญชี]],Database[เดบิต])</f>
        <v>0</v>
      </c>
      <c r="F53" s="68">
        <f>SUMIF(Database[เลขที่บัญชี],COA[[#This Row],[เลขที่บัญชี]],Database[เครดิต])</f>
        <v>2300</v>
      </c>
      <c r="G53" s="69">
        <f>COA[[#This Row],[DR.]]-COA[[#This Row],[CR.]]</f>
        <v>-2300</v>
      </c>
    </row>
    <row r="54" spans="1:7" ht="18.75">
      <c r="A54" s="96">
        <v>401019</v>
      </c>
      <c r="B54" s="100" t="s">
        <v>99</v>
      </c>
      <c r="C54" s="67" t="str">
        <f t="shared" si="24"/>
        <v>4</v>
      </c>
      <c r="D54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รายได้</v>
      </c>
      <c r="E54" s="104">
        <f>SUMIF(Database[เลขที่บัญชี],COA[[#This Row],[เลขที่บัญชี]],Database[เดบิต])</f>
        <v>0</v>
      </c>
      <c r="F54" s="104">
        <f>SUMIF(Database[เลขที่บัญชี],COA[[#This Row],[เลขที่บัญชี]],Database[เครดิต])</f>
        <v>0</v>
      </c>
      <c r="G54" s="105">
        <f>COA[[#This Row],[DR.]]-COA[[#This Row],[CR.]]</f>
        <v>0</v>
      </c>
    </row>
    <row r="55" spans="1:7" ht="18.75">
      <c r="A55" s="96">
        <v>501001</v>
      </c>
      <c r="B55" s="99" t="s">
        <v>100</v>
      </c>
      <c r="C55" s="67" t="str">
        <f t="shared" si="24"/>
        <v>5</v>
      </c>
      <c r="D55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55" s="68">
        <f>SUMIF(Database[เลขที่บัญชี],COA[[#This Row],[เลขที่บัญชี]],Database[เดบิต])</f>
        <v>123200</v>
      </c>
      <c r="F55" s="68">
        <f>SUMIF(Database[เลขที่บัญชี],COA[[#This Row],[เลขที่บัญชี]],Database[เครดิต])</f>
        <v>0</v>
      </c>
      <c r="G55" s="69">
        <f>COA[[#This Row],[DR.]]-COA[[#This Row],[CR.]]</f>
        <v>123200</v>
      </c>
    </row>
    <row r="56" spans="1:7" ht="18.75">
      <c r="A56" s="96">
        <v>501002</v>
      </c>
      <c r="B56" s="99" t="s">
        <v>101</v>
      </c>
      <c r="C56" s="67" t="str">
        <f t="shared" si="24"/>
        <v>5</v>
      </c>
      <c r="D56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56" s="68">
        <f>SUMIF(Database[เลขที่บัญชี],COA[[#This Row],[เลขที่บัญชี]],Database[เดบิต])</f>
        <v>0</v>
      </c>
      <c r="F56" s="68">
        <f>SUMIF(Database[เลขที่บัญชี],COA[[#This Row],[เลขที่บัญชี]],Database[เครดิต])</f>
        <v>0</v>
      </c>
      <c r="G56" s="69">
        <f>COA[[#This Row],[DR.]]-COA[[#This Row],[CR.]]</f>
        <v>0</v>
      </c>
    </row>
    <row r="57" spans="1:7" ht="18.75">
      <c r="A57" s="96">
        <v>501003</v>
      </c>
      <c r="B57" s="99" t="s">
        <v>102</v>
      </c>
      <c r="C57" s="67" t="str">
        <f t="shared" si="24"/>
        <v>5</v>
      </c>
      <c r="D57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57" s="68">
        <f>SUMIF(Database[เลขที่บัญชี],COA[[#This Row],[เลขที่บัญชี]],Database[เดบิต])</f>
        <v>38143.599999999999</v>
      </c>
      <c r="F57" s="68">
        <f>SUMIF(Database[เลขที่บัญชี],COA[[#This Row],[เลขที่บัญชี]],Database[เครดิต])</f>
        <v>0</v>
      </c>
      <c r="G57" s="69">
        <f>COA[[#This Row],[DR.]]-COA[[#This Row],[CR.]]</f>
        <v>38143.599999999999</v>
      </c>
    </row>
    <row r="58" spans="1:7" ht="18.75">
      <c r="A58" s="96">
        <v>501004</v>
      </c>
      <c r="B58" s="99" t="s">
        <v>103</v>
      </c>
      <c r="C58" s="67" t="str">
        <f t="shared" si="24"/>
        <v>5</v>
      </c>
      <c r="D58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58" s="68">
        <f>SUMIF(Database[เลขที่บัญชี],COA[[#This Row],[เลขที่บัญชี]],Database[เดบิต])</f>
        <v>0</v>
      </c>
      <c r="F58" s="68">
        <f>SUMIF(Database[เลขที่บัญชี],COA[[#This Row],[เลขที่บัญชี]],Database[เครดิต])</f>
        <v>0</v>
      </c>
      <c r="G58" s="69">
        <f>COA[[#This Row],[DR.]]-COA[[#This Row],[CR.]]</f>
        <v>0</v>
      </c>
    </row>
    <row r="59" spans="1:7" ht="18.75">
      <c r="A59" s="96">
        <v>501005</v>
      </c>
      <c r="B59" s="99" t="s">
        <v>104</v>
      </c>
      <c r="C59" s="67" t="str">
        <f t="shared" si="24"/>
        <v>5</v>
      </c>
      <c r="D59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59" s="68">
        <f>SUMIF(Database[เลขที่บัญชี],COA[[#This Row],[เลขที่บัญชี]],Database[เดบิต])</f>
        <v>0</v>
      </c>
      <c r="F59" s="68">
        <f>SUMIF(Database[เลขที่บัญชี],COA[[#This Row],[เลขที่บัญชี]],Database[เครดิต])</f>
        <v>0</v>
      </c>
      <c r="G59" s="69">
        <f>COA[[#This Row],[DR.]]-COA[[#This Row],[CR.]]</f>
        <v>0</v>
      </c>
    </row>
    <row r="60" spans="1:7" ht="18.75">
      <c r="A60" s="96">
        <v>501006</v>
      </c>
      <c r="B60" s="99" t="s">
        <v>105</v>
      </c>
      <c r="C60" s="67" t="str">
        <f t="shared" si="24"/>
        <v>5</v>
      </c>
      <c r="D60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60" s="68">
        <f>SUMIF(Database[เลขที่บัญชี],COA[[#This Row],[เลขที่บัญชี]],Database[เดบิต])</f>
        <v>0</v>
      </c>
      <c r="F60" s="68">
        <f>SUMIF(Database[เลขที่บัญชี],COA[[#This Row],[เลขที่บัญชี]],Database[เครดิต])</f>
        <v>0</v>
      </c>
      <c r="G60" s="69">
        <f>COA[[#This Row],[DR.]]-COA[[#This Row],[CR.]]</f>
        <v>0</v>
      </c>
    </row>
    <row r="61" spans="1:7" ht="18.75">
      <c r="A61" s="96">
        <v>501007</v>
      </c>
      <c r="B61" s="99" t="s">
        <v>106</v>
      </c>
      <c r="C61" s="67" t="str">
        <f t="shared" si="24"/>
        <v>5</v>
      </c>
      <c r="D61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61" s="68">
        <f>SUMIF(Database[เลขที่บัญชี],COA[[#This Row],[เลขที่บัญชี]],Database[เดบิต])</f>
        <v>0</v>
      </c>
      <c r="F61" s="68">
        <f>SUMIF(Database[เลขที่บัญชี],COA[[#This Row],[เลขที่บัญชี]],Database[เครดิต])</f>
        <v>0</v>
      </c>
      <c r="G61" s="69">
        <f>COA[[#This Row],[DR.]]-COA[[#This Row],[CR.]]</f>
        <v>0</v>
      </c>
    </row>
    <row r="62" spans="1:7" ht="18.75">
      <c r="A62" s="96">
        <v>501008</v>
      </c>
      <c r="B62" s="99" t="s">
        <v>107</v>
      </c>
      <c r="C62" s="67" t="str">
        <f t="shared" si="24"/>
        <v>5</v>
      </c>
      <c r="D62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62" s="68">
        <f>SUMIF(Database[เลขที่บัญชี],COA[[#This Row],[เลขที่บัญชี]],Database[เดบิต])</f>
        <v>0</v>
      </c>
      <c r="F62" s="68">
        <f>SUMIF(Database[เลขที่บัญชี],COA[[#This Row],[เลขที่บัญชี]],Database[เครดิต])</f>
        <v>0</v>
      </c>
      <c r="G62" s="69">
        <f>COA[[#This Row],[DR.]]-COA[[#This Row],[CR.]]</f>
        <v>0</v>
      </c>
    </row>
    <row r="63" spans="1:7" ht="18.75">
      <c r="A63" s="96">
        <v>501009</v>
      </c>
      <c r="B63" s="99" t="s">
        <v>108</v>
      </c>
      <c r="C63" s="67" t="str">
        <f t="shared" si="24"/>
        <v>5</v>
      </c>
      <c r="D63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63" s="68">
        <f>SUMIF(Database[เลขที่บัญชี],COA[[#This Row],[เลขที่บัญชี]],Database[เดบิต])</f>
        <v>0</v>
      </c>
      <c r="F63" s="68">
        <f>SUMIF(Database[เลขที่บัญชี],COA[[#This Row],[เลขที่บัญชี]],Database[เครดิต])</f>
        <v>0</v>
      </c>
      <c r="G63" s="69">
        <f>COA[[#This Row],[DR.]]-COA[[#This Row],[CR.]]</f>
        <v>0</v>
      </c>
    </row>
    <row r="64" spans="1:7" ht="18.75">
      <c r="A64" s="96">
        <v>501010</v>
      </c>
      <c r="B64" s="99" t="s">
        <v>109</v>
      </c>
      <c r="C64" s="67" t="str">
        <f t="shared" si="24"/>
        <v>5</v>
      </c>
      <c r="D64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64" s="68">
        <f>SUMIF(Database[เลขที่บัญชี],COA[[#This Row],[เลขที่บัญชี]],Database[เดบิต])</f>
        <v>0</v>
      </c>
      <c r="F64" s="68">
        <f>SUMIF(Database[เลขที่บัญชี],COA[[#This Row],[เลขที่บัญชี]],Database[เครดิต])</f>
        <v>0</v>
      </c>
      <c r="G64" s="69">
        <f>COA[[#This Row],[DR.]]-COA[[#This Row],[CR.]]</f>
        <v>0</v>
      </c>
    </row>
    <row r="65" spans="1:7" ht="18.75">
      <c r="A65" s="96">
        <v>501011</v>
      </c>
      <c r="B65" s="99" t="s">
        <v>110</v>
      </c>
      <c r="C65" s="67" t="str">
        <f t="shared" ref="C65:C70" si="25">LEFT(A65,1)</f>
        <v>5</v>
      </c>
      <c r="D65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65" s="104">
        <f>SUMIF(Database[เลขที่บัญชี],COA[[#This Row],[เลขที่บัญชี]],Database[เดบิต])</f>
        <v>0</v>
      </c>
      <c r="F65" s="104">
        <f>SUMIF(Database[เลขที่บัญชี],COA[[#This Row],[เลขที่บัญชี]],Database[เครดิต])</f>
        <v>0</v>
      </c>
      <c r="G65" s="105">
        <f>COA[[#This Row],[DR.]]-COA[[#This Row],[CR.]]</f>
        <v>0</v>
      </c>
    </row>
    <row r="66" spans="1:7" ht="35.25">
      <c r="A66" s="96">
        <v>501012</v>
      </c>
      <c r="B66" s="98" t="s">
        <v>111</v>
      </c>
      <c r="C66" s="67" t="str">
        <f t="shared" si="25"/>
        <v>5</v>
      </c>
      <c r="D66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66" s="104">
        <f>SUMIF(Database[เลขที่บัญชี],COA[[#This Row],[เลขที่บัญชี]],Database[เดบิต])</f>
        <v>0</v>
      </c>
      <c r="F66" s="104">
        <f>SUMIF(Database[เลขที่บัญชี],COA[[#This Row],[เลขที่บัญชี]],Database[เครดิต])</f>
        <v>0</v>
      </c>
      <c r="G66" s="105">
        <f>COA[[#This Row],[DR.]]-COA[[#This Row],[CR.]]</f>
        <v>0</v>
      </c>
    </row>
    <row r="67" spans="1:7" ht="18.75">
      <c r="A67" s="96">
        <v>501013</v>
      </c>
      <c r="B67" s="98" t="s">
        <v>112</v>
      </c>
      <c r="C67" s="67" t="str">
        <f t="shared" si="25"/>
        <v>5</v>
      </c>
      <c r="D67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67" s="104">
        <f>SUMIF(Database[เลขที่บัญชี],COA[[#This Row],[เลขที่บัญชี]],Database[เดบิต])</f>
        <v>0</v>
      </c>
      <c r="F67" s="104">
        <f>SUMIF(Database[เลขที่บัญชี],COA[[#This Row],[เลขที่บัญชี]],Database[เครดิต])</f>
        <v>0</v>
      </c>
      <c r="G67" s="105">
        <f>COA[[#This Row],[DR.]]-COA[[#This Row],[CR.]]</f>
        <v>0</v>
      </c>
    </row>
    <row r="68" spans="1:7" ht="18.75">
      <c r="A68" s="96">
        <v>501014</v>
      </c>
      <c r="B68" s="98" t="s">
        <v>113</v>
      </c>
      <c r="C68" s="67" t="str">
        <f t="shared" si="25"/>
        <v>5</v>
      </c>
      <c r="D68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68" s="104">
        <f>SUMIF(Database[เลขที่บัญชี],COA[[#This Row],[เลขที่บัญชี]],Database[เดบิต])</f>
        <v>0</v>
      </c>
      <c r="F68" s="104">
        <f>SUMIF(Database[เลขที่บัญชี],COA[[#This Row],[เลขที่บัญชี]],Database[เครดิต])</f>
        <v>0</v>
      </c>
      <c r="G68" s="105">
        <f>COA[[#This Row],[DR.]]-COA[[#This Row],[CR.]]</f>
        <v>0</v>
      </c>
    </row>
    <row r="69" spans="1:7" ht="35.25">
      <c r="A69" s="96">
        <v>501015</v>
      </c>
      <c r="B69" s="98" t="s">
        <v>114</v>
      </c>
      <c r="C69" s="67" t="str">
        <f t="shared" si="25"/>
        <v>5</v>
      </c>
      <c r="D69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69" s="104">
        <f>SUMIF(Database[เลขที่บัญชี],COA[[#This Row],[เลขที่บัญชี]],Database[เดบิต])</f>
        <v>0</v>
      </c>
      <c r="F69" s="104">
        <f>SUMIF(Database[เลขที่บัญชี],COA[[#This Row],[เลขที่บัญชี]],Database[เครดิต])</f>
        <v>0</v>
      </c>
      <c r="G69" s="105">
        <f>COA[[#This Row],[DR.]]-COA[[#This Row],[CR.]]</f>
        <v>0</v>
      </c>
    </row>
    <row r="70" spans="1:7" ht="18.75">
      <c r="A70" s="96">
        <v>501016</v>
      </c>
      <c r="B70" s="98" t="s">
        <v>115</v>
      </c>
      <c r="C70" s="67" t="str">
        <f t="shared" si="25"/>
        <v>5</v>
      </c>
      <c r="D70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70" s="104">
        <f>SUMIF(Database[เลขที่บัญชี],COA[[#This Row],[เลขที่บัญชี]],Database[เดบิต])</f>
        <v>0</v>
      </c>
      <c r="F70" s="104">
        <f>SUMIF(Database[เลขที่บัญชี],COA[[#This Row],[เลขที่บัญชี]],Database[เครดิต])</f>
        <v>0</v>
      </c>
      <c r="G70" s="105">
        <f>COA[[#This Row],[DR.]]-COA[[#This Row],[CR.]]</f>
        <v>0</v>
      </c>
    </row>
    <row r="71" spans="1:7" ht="18.75">
      <c r="A71" s="96">
        <v>501017</v>
      </c>
      <c r="B71" s="98" t="s">
        <v>116</v>
      </c>
      <c r="C71" s="67" t="str">
        <f t="shared" ref="C71:C72" si="26">LEFT(A71,1)</f>
        <v>5</v>
      </c>
      <c r="D71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71" s="104">
        <f>SUMIF(Database[เลขที่บัญชี],COA[[#This Row],[เลขที่บัญชี]],Database[เดบิต])</f>
        <v>0</v>
      </c>
      <c r="F71" s="104">
        <f>SUMIF(Database[เลขที่บัญชี],COA[[#This Row],[เลขที่บัญชี]],Database[เครดิต])</f>
        <v>0</v>
      </c>
      <c r="G71" s="105">
        <f>COA[[#This Row],[DR.]]-COA[[#This Row],[CR.]]</f>
        <v>0</v>
      </c>
    </row>
    <row r="72" spans="1:7" ht="18.75">
      <c r="A72" s="96">
        <v>501018</v>
      </c>
      <c r="B72" s="98" t="s">
        <v>117</v>
      </c>
      <c r="C72" s="67" t="str">
        <f t="shared" si="26"/>
        <v>5</v>
      </c>
      <c r="D72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72" s="104">
        <f>SUMIF(Database[เลขที่บัญชี],COA[[#This Row],[เลขที่บัญชี]],Database[เดบิต])</f>
        <v>0</v>
      </c>
      <c r="F72" s="104">
        <f>SUMIF(Database[เลขที่บัญชี],COA[[#This Row],[เลขที่บัญชี]],Database[เครดิต])</f>
        <v>0</v>
      </c>
      <c r="G72" s="105">
        <f>COA[[#This Row],[DR.]]-COA[[#This Row],[CR.]]</f>
        <v>0</v>
      </c>
    </row>
    <row r="73" spans="1:7" ht="35.25">
      <c r="A73" s="96">
        <v>501019</v>
      </c>
      <c r="B73" s="98" t="s">
        <v>118</v>
      </c>
      <c r="C73" s="67" t="str">
        <f t="shared" ref="C73" si="27">LEFT(A73,1)</f>
        <v>5</v>
      </c>
      <c r="D73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73" s="104">
        <f>SUMIF(Database[เลขที่บัญชี],COA[[#This Row],[เลขที่บัญชี]],Database[เดบิต])</f>
        <v>0</v>
      </c>
      <c r="F73" s="104">
        <f>SUMIF(Database[เลขที่บัญชี],COA[[#This Row],[เลขที่บัญชี]],Database[เครดิต])</f>
        <v>0</v>
      </c>
      <c r="G73" s="105">
        <f>COA[[#This Row],[DR.]]-COA[[#This Row],[CR.]]</f>
        <v>0</v>
      </c>
    </row>
    <row r="74" spans="1:7" ht="35.25">
      <c r="A74" s="96">
        <v>501020</v>
      </c>
      <c r="B74" s="98" t="s">
        <v>119</v>
      </c>
      <c r="C74" s="67" t="str">
        <f t="shared" ref="C74" si="28">LEFT(A74,1)</f>
        <v>5</v>
      </c>
      <c r="D74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74" s="104">
        <f>SUMIF(Database[เลขที่บัญชี],COA[[#This Row],[เลขที่บัญชี]],Database[เดบิต])</f>
        <v>0</v>
      </c>
      <c r="F74" s="104">
        <f>SUMIF(Database[เลขที่บัญชี],COA[[#This Row],[เลขที่บัญชี]],Database[เครดิต])</f>
        <v>0</v>
      </c>
      <c r="G74" s="105">
        <f>COA[[#This Row],[DR.]]-COA[[#This Row],[CR.]]</f>
        <v>0</v>
      </c>
    </row>
    <row r="75" spans="1:7" ht="35.25">
      <c r="A75" s="96">
        <v>501021</v>
      </c>
      <c r="B75" s="98" t="s">
        <v>120</v>
      </c>
      <c r="C75" s="67" t="str">
        <f t="shared" ref="C75" si="29">LEFT(A75,1)</f>
        <v>5</v>
      </c>
      <c r="D75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75" s="104">
        <f>SUMIF(Database[เลขที่บัญชี],COA[[#This Row],[เลขที่บัญชี]],Database[เดบิต])</f>
        <v>0</v>
      </c>
      <c r="F75" s="104">
        <f>SUMIF(Database[เลขที่บัญชี],COA[[#This Row],[เลขที่บัญชี]],Database[เครดิต])</f>
        <v>0</v>
      </c>
      <c r="G75" s="105">
        <f>COA[[#This Row],[DR.]]-COA[[#This Row],[CR.]]</f>
        <v>0</v>
      </c>
    </row>
    <row r="76" spans="1:7" ht="18.75">
      <c r="A76" s="96">
        <v>501022</v>
      </c>
      <c r="B76" s="98" t="s">
        <v>121</v>
      </c>
      <c r="C76" s="67" t="str">
        <f t="shared" ref="C76" si="30">LEFT(A76,1)</f>
        <v>5</v>
      </c>
      <c r="D76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76" s="104">
        <f>SUMIF(Database[เลขที่บัญชี],COA[[#This Row],[เลขที่บัญชี]],Database[เดบิต])</f>
        <v>106058.31</v>
      </c>
      <c r="F76" s="104">
        <f>SUMIF(Database[เลขที่บัญชี],COA[[#This Row],[เลขที่บัญชี]],Database[เครดิต])</f>
        <v>0</v>
      </c>
      <c r="G76" s="105">
        <f>COA[[#This Row],[DR.]]-COA[[#This Row],[CR.]]</f>
        <v>106058.31</v>
      </c>
    </row>
    <row r="77" spans="1:7" ht="35.25">
      <c r="A77" s="96">
        <v>501023</v>
      </c>
      <c r="B77" s="98" t="s">
        <v>122</v>
      </c>
      <c r="C77" s="67" t="str">
        <f t="shared" ref="C77" si="31">LEFT(A77,1)</f>
        <v>5</v>
      </c>
      <c r="D77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77" s="104">
        <f>SUMIF(Database[เลขที่บัญชี],COA[[#This Row],[เลขที่บัญชี]],Database[เดบิต])</f>
        <v>106058.31</v>
      </c>
      <c r="F77" s="104">
        <f>SUMIF(Database[เลขที่บัญชี],COA[[#This Row],[เลขที่บัญชี]],Database[เครดิต])</f>
        <v>0</v>
      </c>
      <c r="G77" s="105">
        <f>COA[[#This Row],[DR.]]-COA[[#This Row],[CR.]]</f>
        <v>106058.31</v>
      </c>
    </row>
    <row r="78" spans="1:7" ht="18.75">
      <c r="A78" s="96">
        <v>501024</v>
      </c>
      <c r="B78" s="99" t="s">
        <v>123</v>
      </c>
      <c r="C78" s="67" t="str">
        <f t="shared" ref="C78" si="32">LEFT(A78,1)</f>
        <v>5</v>
      </c>
      <c r="D78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78" s="104">
        <f>SUMIF(Database[เลขที่บัญชี],COA[[#This Row],[เลขที่บัญชี]],Database[เดบิต])</f>
        <v>0</v>
      </c>
      <c r="F78" s="104">
        <f>SUMIF(Database[เลขที่บัญชี],COA[[#This Row],[เลขที่บัญชี]],Database[เครดิต])</f>
        <v>0</v>
      </c>
      <c r="G78" s="105">
        <f>COA[[#This Row],[DR.]]-COA[[#This Row],[CR.]]</f>
        <v>0</v>
      </c>
    </row>
    <row r="79" spans="1:7" ht="18.75">
      <c r="A79" s="96">
        <v>501025</v>
      </c>
      <c r="B79" s="99" t="s">
        <v>186</v>
      </c>
      <c r="C79" s="67" t="str">
        <f t="shared" ref="C79" si="33">LEFT(A79,1)</f>
        <v>5</v>
      </c>
      <c r="D79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79" s="104">
        <f>SUMIF(Database[เลขที่บัญชี],COA[[#This Row],[เลขที่บัญชี]],Database[เดบิต])</f>
        <v>407022.3</v>
      </c>
      <c r="F79" s="104">
        <f>SUMIF(Database[เลขที่บัญชี],COA[[#This Row],[เลขที่บัญชี]],Database[เครดิต])</f>
        <v>0</v>
      </c>
      <c r="G79" s="105">
        <f>COA[[#This Row],[DR.]]-COA[[#This Row],[CR.]]</f>
        <v>407022.3</v>
      </c>
    </row>
    <row r="80" spans="1:7" ht="18.75">
      <c r="A80" s="96">
        <v>501026</v>
      </c>
      <c r="B80" s="99" t="s">
        <v>189</v>
      </c>
      <c r="C80" s="67" t="str">
        <f t="shared" ref="C80" si="34">LEFT(A80,1)</f>
        <v>5</v>
      </c>
      <c r="D80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ค่าใช้จ่าย</v>
      </c>
      <c r="E80" s="104">
        <f>SUMIF(Database[เลขที่บัญชี],COA[[#This Row],[เลขที่บัญชี]],Database[เดบิต])</f>
        <v>0</v>
      </c>
      <c r="F80" s="104">
        <f>SUMIF(Database[เลขที่บัญชี],COA[[#This Row],[เลขที่บัญชี]],Database[เครดิต])</f>
        <v>0</v>
      </c>
      <c r="G80" s="105">
        <f>COA[[#This Row],[DR.]]-COA[[#This Row],[CR.]]</f>
        <v>0</v>
      </c>
    </row>
    <row r="81" spans="4:7">
      <c r="D81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81" s="68">
        <f>SUMIF(Database[เลขที่บัญชี],COA[[#This Row],[เลขที่บัญชี]],Database[เดบิต])</f>
        <v>0</v>
      </c>
      <c r="F81" s="68">
        <f>SUMIF(Database[เลขที่บัญชี],COA[[#This Row],[เลขที่บัญชี]],Database[เครดิต])</f>
        <v>0</v>
      </c>
      <c r="G81" s="69">
        <f>COA[[#This Row],[DR.]]-COA[[#This Row],[CR.]]</f>
        <v>0</v>
      </c>
    </row>
    <row r="82" spans="4:7">
      <c r="D82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82" s="68">
        <f>SUMIF(Database[เลขที่บัญชี],COA[[#This Row],[เลขที่บัญชี]],Database[เดบิต])</f>
        <v>0</v>
      </c>
      <c r="F82" s="68">
        <f>SUMIF(Database[เลขที่บัญชี],COA[[#This Row],[เลขที่บัญชี]],Database[เครดิต])</f>
        <v>0</v>
      </c>
      <c r="G82" s="69">
        <f>COA[[#This Row],[DR.]]-COA[[#This Row],[CR.]]</f>
        <v>0</v>
      </c>
    </row>
    <row r="83" spans="4:7">
      <c r="D83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83" s="68">
        <f>SUMIF(Database[เลขที่บัญชี],COA[[#This Row],[เลขที่บัญชี]],Database[เดบิต])</f>
        <v>0</v>
      </c>
      <c r="F83" s="68">
        <f>SUMIF(Database[เลขที่บัญชี],COA[[#This Row],[เลขที่บัญชี]],Database[เครดิต])</f>
        <v>0</v>
      </c>
      <c r="G83" s="69">
        <f>COA[[#This Row],[DR.]]-COA[[#This Row],[CR.]]</f>
        <v>0</v>
      </c>
    </row>
    <row r="84" spans="4:7">
      <c r="D84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84" s="68">
        <f>SUMIF(Database[เลขที่บัญชี],COA[[#This Row],[เลขที่บัญชี]],Database[เดบิต])</f>
        <v>0</v>
      </c>
      <c r="F84" s="68">
        <f>SUMIF(Database[เลขที่บัญชี],COA[[#This Row],[เลขที่บัญชี]],Database[เครดิต])</f>
        <v>0</v>
      </c>
      <c r="G84" s="69">
        <f>COA[[#This Row],[DR.]]-COA[[#This Row],[CR.]]</f>
        <v>0</v>
      </c>
    </row>
    <row r="85" spans="4:7">
      <c r="D85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85" s="68">
        <f>SUMIF(Database[เลขที่บัญชี],COA[[#This Row],[เลขที่บัญชี]],Database[เดบิต])</f>
        <v>0</v>
      </c>
      <c r="F85" s="68">
        <f>SUMIF(Database[เลขที่บัญชี],COA[[#This Row],[เลขที่บัญชี]],Database[เครดิต])</f>
        <v>0</v>
      </c>
      <c r="G85" s="69">
        <f>COA[[#This Row],[DR.]]-COA[[#This Row],[CR.]]</f>
        <v>0</v>
      </c>
    </row>
    <row r="86" spans="4:7">
      <c r="D86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86" s="68">
        <f>SUMIF(Database[เลขที่บัญชี],COA[[#This Row],[เลขที่บัญชี]],Database[เดบิต])</f>
        <v>0</v>
      </c>
      <c r="F86" s="68">
        <f>SUMIF(Database[เลขที่บัญชี],COA[[#This Row],[เลขที่บัญชี]],Database[เครดิต])</f>
        <v>0</v>
      </c>
      <c r="G86" s="69">
        <f>COA[[#This Row],[DR.]]-COA[[#This Row],[CR.]]</f>
        <v>0</v>
      </c>
    </row>
    <row r="87" spans="4:7">
      <c r="D87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87" s="68">
        <f>SUMIF(Database[เลขที่บัญชี],COA[[#This Row],[เลขที่บัญชี]],Database[เดบิต])</f>
        <v>0</v>
      </c>
      <c r="F87" s="68">
        <f>SUMIF(Database[เลขที่บัญชี],COA[[#This Row],[เลขที่บัญชี]],Database[เครดิต])</f>
        <v>0</v>
      </c>
      <c r="G87" s="69">
        <f>COA[[#This Row],[DR.]]-COA[[#This Row],[CR.]]</f>
        <v>0</v>
      </c>
    </row>
    <row r="88" spans="4:7">
      <c r="D88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88" s="68">
        <f>SUMIF(Database[เลขที่บัญชี],COA[[#This Row],[เลขที่บัญชี]],Database[เดบิต])</f>
        <v>0</v>
      </c>
      <c r="F88" s="68">
        <f>SUMIF(Database[เลขที่บัญชี],COA[[#This Row],[เลขที่บัญชี]],Database[เครดิต])</f>
        <v>0</v>
      </c>
      <c r="G88" s="69">
        <f>COA[[#This Row],[DR.]]-COA[[#This Row],[CR.]]</f>
        <v>0</v>
      </c>
    </row>
    <row r="89" spans="4:7">
      <c r="D89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89" s="68">
        <f>SUMIF(Database[เลขที่บัญชี],COA[[#This Row],[เลขที่บัญชี]],Database[เดบิต])</f>
        <v>0</v>
      </c>
      <c r="F89" s="68">
        <f>SUMIF(Database[เลขที่บัญชี],COA[[#This Row],[เลขที่บัญชี]],Database[เครดิต])</f>
        <v>0</v>
      </c>
      <c r="G89" s="69">
        <f>COA[[#This Row],[DR.]]-COA[[#This Row],[CR.]]</f>
        <v>0</v>
      </c>
    </row>
    <row r="90" spans="4:7">
      <c r="D90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90" s="68">
        <f>SUMIF(Database[เลขที่บัญชี],COA[[#This Row],[เลขที่บัญชี]],Database[เดบิต])</f>
        <v>0</v>
      </c>
      <c r="F90" s="68">
        <f>SUMIF(Database[เลขที่บัญชี],COA[[#This Row],[เลขที่บัญชี]],Database[เครดิต])</f>
        <v>0</v>
      </c>
      <c r="G90" s="69">
        <f>COA[[#This Row],[DR.]]-COA[[#This Row],[CR.]]</f>
        <v>0</v>
      </c>
    </row>
    <row r="91" spans="4:7">
      <c r="D91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91" s="68">
        <f>SUMIF(Database[เลขที่บัญชี],COA[[#This Row],[เลขที่บัญชี]],Database[เดบิต])</f>
        <v>0</v>
      </c>
      <c r="F91" s="68">
        <f>SUMIF(Database[เลขที่บัญชี],COA[[#This Row],[เลขที่บัญชี]],Database[เครดิต])</f>
        <v>0</v>
      </c>
      <c r="G91" s="69">
        <f>COA[[#This Row],[DR.]]-COA[[#This Row],[CR.]]</f>
        <v>0</v>
      </c>
    </row>
    <row r="92" spans="4:7">
      <c r="D92" s="67" t="str">
        <f>IF(COA[[#This Row],[หมวด]]="1","สินทรัพย์",IF(COA[[#This Row],[หมวด]]="2","หนี้สิน",IF(COA[[#This Row],[หมวด]]="3","ส่วนของเจ้าของ",IF(COA[[#This Row],[หมวด]]="4","รายได้",IF(COA[[#This Row],[หมวด]]="5","ค่าใช้จ่าย","บัญชีพัก")))))</f>
        <v>บัญชีพัก</v>
      </c>
      <c r="E92" s="68">
        <f>SUMIF(Database[เลขที่บัญชี],COA[[#This Row],[เลขที่บัญชี]],Database[เดบิต])</f>
        <v>0</v>
      </c>
      <c r="F92" s="68">
        <f>SUMIF(Database[เลขที่บัญชี],COA[[#This Row],[เลขที่บัญชี]],Database[เครดิต])</f>
        <v>0</v>
      </c>
      <c r="G92" s="69">
        <f>COA[[#This Row],[DR.]]-COA[[#This Row],[CR.]]</f>
        <v>0</v>
      </c>
    </row>
  </sheetData>
  <sheetProtection insertRows="0" deleteRows="0" autoFilter="0"/>
  <protectedRanges>
    <protectedRange sqref="D1:G1048576" name="ผังบัญชี"/>
    <protectedRange sqref="C1 C81:C1048576" name="ผังบัญชี_1"/>
    <protectedRange sqref="A1:B1 A81:B1048576" name="ผังบัญชี_2"/>
    <protectedRange sqref="A33:B33 B50:B54 B62:B65 A2:A32 A34:A78 B78 A79:B80" name="ผังบัญชี_3"/>
    <protectedRange sqref="B2:B23 B66:B77" name="ผังบัญชี_4"/>
    <protectedRange sqref="B24:B32" name="ผังบัญชี_5"/>
    <protectedRange sqref="B34:B35" name="ผังบัญชี_6"/>
    <protectedRange sqref="B36:B49" name="ผังบัญชี_7"/>
    <protectedRange sqref="B59:B61" name="ผังบัญชี_8"/>
    <protectedRange sqref="B55:B58" name="ผังบัญชี_1_1"/>
    <protectedRange sqref="C2:C80" name="ผังบัญชี_9"/>
  </protectedRanges>
  <sortState xmlns:xlrd2="http://schemas.microsoft.com/office/spreadsheetml/2017/richdata2" ref="A2:E15">
    <sortCondition ref="C2"/>
  </sortState>
  <conditionalFormatting sqref="A91">
    <cfRule type="duplicateValues" dxfId="124" priority="18"/>
  </conditionalFormatting>
  <conditionalFormatting sqref="A92:A1048576 A81:A90 A1">
    <cfRule type="duplicateValues" dxfId="123" priority="20"/>
  </conditionalFormatting>
  <conditionalFormatting sqref="A81:A1048576 A1">
    <cfRule type="duplicateValues" dxfId="122" priority="17"/>
  </conditionalFormatting>
  <conditionalFormatting sqref="A92">
    <cfRule type="duplicateValues" dxfId="121" priority="38"/>
  </conditionalFormatting>
  <conditionalFormatting sqref="A59">
    <cfRule type="duplicateValues" dxfId="120" priority="12"/>
  </conditionalFormatting>
  <conditionalFormatting sqref="A60">
    <cfRule type="duplicateValues" dxfId="119" priority="11"/>
  </conditionalFormatting>
  <conditionalFormatting sqref="A37:A38 A40:A45 A47:A54">
    <cfRule type="duplicateValues" dxfId="118" priority="13"/>
  </conditionalFormatting>
  <conditionalFormatting sqref="A39:A58 A60:A75 A2:A36">
    <cfRule type="duplicateValues" dxfId="117" priority="51"/>
  </conditionalFormatting>
  <conditionalFormatting sqref="A2:A75">
    <cfRule type="duplicateValues" dxfId="116" priority="54"/>
  </conditionalFormatting>
  <conditionalFormatting sqref="A76">
    <cfRule type="duplicateValues" dxfId="115" priority="9"/>
  </conditionalFormatting>
  <conditionalFormatting sqref="A76">
    <cfRule type="duplicateValues" dxfId="114" priority="10"/>
  </conditionalFormatting>
  <conditionalFormatting sqref="A77">
    <cfRule type="duplicateValues" dxfId="113" priority="7"/>
  </conditionalFormatting>
  <conditionalFormatting sqref="A77">
    <cfRule type="duplicateValues" dxfId="112" priority="8"/>
  </conditionalFormatting>
  <conditionalFormatting sqref="A78">
    <cfRule type="duplicateValues" dxfId="111" priority="5"/>
  </conditionalFormatting>
  <conditionalFormatting sqref="A78">
    <cfRule type="duplicateValues" dxfId="110" priority="6"/>
  </conditionalFormatting>
  <conditionalFormatting sqref="A79">
    <cfRule type="duplicateValues" dxfId="109" priority="3"/>
  </conditionalFormatting>
  <conditionalFormatting sqref="A79">
    <cfRule type="duplicateValues" dxfId="108" priority="4"/>
  </conditionalFormatting>
  <conditionalFormatting sqref="A80">
    <cfRule type="duplicateValues" dxfId="107" priority="1"/>
  </conditionalFormatting>
  <conditionalFormatting sqref="A80">
    <cfRule type="duplicateValues" dxfId="106" priority="2"/>
  </conditionalFormatting>
  <pageMargins left="0.7" right="0.7" top="0.75" bottom="0.75" header="0.3" footer="0.3"/>
  <pageSetup paperSize="9" orientation="portrait" horizontalDpi="200" verticalDpi="2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E2"/>
  <sheetViews>
    <sheetView workbookViewId="0">
      <selection activeCell="F5" sqref="F5"/>
    </sheetView>
  </sheetViews>
  <sheetFormatPr defaultRowHeight="15"/>
  <cols>
    <col min="1" max="1" width="17.7109375" style="22" customWidth="1"/>
    <col min="2" max="2" width="28.28515625" customWidth="1"/>
    <col min="3" max="3" width="14.85546875" style="24" customWidth="1"/>
    <col min="4" max="4" width="16.28515625" style="24" customWidth="1"/>
    <col min="5" max="5" width="16.7109375" style="25" customWidth="1"/>
    <col min="6" max="6" width="14.85546875" customWidth="1"/>
  </cols>
  <sheetData>
    <row r="1" spans="1:5">
      <c r="A1" s="93" t="s">
        <v>124</v>
      </c>
      <c r="B1" s="94" t="s">
        <v>125</v>
      </c>
      <c r="C1" s="94" t="s">
        <v>126</v>
      </c>
      <c r="D1" s="94" t="s">
        <v>127</v>
      </c>
      <c r="E1" s="95" t="s">
        <v>128</v>
      </c>
    </row>
    <row r="2" spans="1:5">
      <c r="A2" s="22" t="s">
        <v>129</v>
      </c>
      <c r="B2" t="s">
        <v>130</v>
      </c>
      <c r="C2" s="24">
        <f>SUMIFS(Database[เครดิต],Database[หมวด],4,Database[รหัสหน่วยงาน],Center[[#This Row],[รหัสหน่วยงาน]],Database[ประเภท],1)-SUMIFS(Database[เดบิต],Database[หมวด],4,Database[รหัสหน่วยงาน],Center[[#This Row],[รหัสหน่วยงาน]],Database[ประเภท],1)</f>
        <v>455260</v>
      </c>
      <c r="D2" s="24">
        <f>SUMIFS(Database[เดบิต],Database[หมวด],5,Database[รหัสหน่วยงาน],Center[[#This Row],[รหัสหน่วยงาน]],Database[ประเภท],1)-SUMIFS(Database[เครดิต],Database[หมวด],5,Database[รหัสหน่วยงาน],Center[[#This Row],[รหัสหน่วยงาน]],Database[ประเภท],1)</f>
        <v>780482.52</v>
      </c>
      <c r="E2" s="25">
        <f>Center[[#This Row],[รายได้]]-Center[[#This Row],[ค่าใช้จ่าย]]</f>
        <v>-325222.52</v>
      </c>
    </row>
  </sheetData>
  <protectedRanges>
    <protectedRange sqref="A1:B1 A3:B1048576" name="Range1"/>
    <protectedRange sqref="A2:B2" name="Range1_1"/>
  </protectedRange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gl"/>
  <dimension ref="A1:N41"/>
  <sheetViews>
    <sheetView showGridLines="0" zoomScale="120" zoomScaleNormal="120" zoomScaleSheetLayoutView="115" workbookViewId="0">
      <pane ySplit="2" topLeftCell="A3" activePane="bottomLeft" state="frozen"/>
      <selection activeCell="B5" sqref="B5"/>
      <selection pane="bottomLeft" activeCell="A11" sqref="A11"/>
    </sheetView>
  </sheetViews>
  <sheetFormatPr defaultColWidth="9" defaultRowHeight="18"/>
  <cols>
    <col min="1" max="1" width="13.7109375" style="1" customWidth="1"/>
    <col min="2" max="2" width="37.85546875" style="1" customWidth="1"/>
    <col min="3" max="4" width="17" style="2" customWidth="1"/>
    <col min="5" max="5" width="7.7109375" style="1" hidden="1" customWidth="1"/>
    <col min="6" max="6" width="8" style="1" hidden="1" customWidth="1"/>
    <col min="7" max="7" width="7.28515625" style="1" hidden="1" customWidth="1"/>
    <col min="8" max="8" width="9" style="1" hidden="1" customWidth="1"/>
    <col min="9" max="9" width="2.28515625" style="1" hidden="1" customWidth="1"/>
    <col min="10" max="10" width="19" style="1" customWidth="1"/>
    <col min="11" max="11" width="9.85546875" style="1" bestFit="1" customWidth="1"/>
    <col min="12" max="16384" width="9" style="1"/>
  </cols>
  <sheetData>
    <row r="1" spans="1:14" ht="49.5" customHeight="1" thickBot="1">
      <c r="B1" s="102" t="s">
        <v>131</v>
      </c>
      <c r="C1" s="124" t="s">
        <v>132</v>
      </c>
      <c r="D1" s="125"/>
      <c r="H1" s="1" t="s">
        <v>133</v>
      </c>
      <c r="I1" s="1">
        <v>0</v>
      </c>
      <c r="L1" s="118" t="s">
        <v>134</v>
      </c>
      <c r="M1" s="118"/>
      <c r="N1" s="118"/>
    </row>
    <row r="2" spans="1:14" ht="4.5" customHeight="1">
      <c r="A2" s="3"/>
      <c r="C2" s="4"/>
    </row>
    <row r="3" spans="1:14">
      <c r="A3" s="10" t="s">
        <v>135</v>
      </c>
      <c r="B3" s="21"/>
      <c r="C3" s="23" t="s">
        <v>124</v>
      </c>
      <c r="D3" s="26" t="s">
        <v>129</v>
      </c>
      <c r="E3" s="29"/>
      <c r="F3" s="29"/>
      <c r="G3" s="5"/>
      <c r="H3" s="5"/>
      <c r="I3" s="5"/>
    </row>
    <row r="4" spans="1:14">
      <c r="A4" s="10" t="s">
        <v>136</v>
      </c>
      <c r="B4" s="12">
        <v>46029</v>
      </c>
      <c r="C4" s="122" t="str">
        <f>VLOOKUP(D3,หน่วยงาน!A:B,2,FALSE)</f>
        <v>สำนักงานใหญ่</v>
      </c>
      <c r="D4" s="123"/>
      <c r="E4" s="5"/>
      <c r="F4" s="5"/>
      <c r="G4" s="5"/>
      <c r="H4" s="5"/>
      <c r="I4" s="5"/>
    </row>
    <row r="5" spans="1:14">
      <c r="A5" s="10" t="s">
        <v>137</v>
      </c>
      <c r="B5" s="113"/>
      <c r="C5" s="23" t="s">
        <v>138</v>
      </c>
      <c r="D5" s="27">
        <v>1</v>
      </c>
      <c r="E5" s="5"/>
      <c r="F5" s="5"/>
      <c r="G5" s="5"/>
      <c r="H5" s="5"/>
      <c r="I5" s="5"/>
      <c r="J5" s="35" t="str">
        <f>IF(D5=1,"รายการค้าปกติ","รายการปิดบัญชี")</f>
        <v>รายการค้าปกติ</v>
      </c>
    </row>
    <row r="6" spans="1:14" ht="49.5" customHeight="1">
      <c r="A6" s="11" t="s">
        <v>139</v>
      </c>
      <c r="B6" s="119"/>
      <c r="C6" s="119"/>
      <c r="D6" s="119"/>
      <c r="E6" s="5"/>
      <c r="F6" s="5"/>
      <c r="G6" s="5"/>
      <c r="H6" s="5"/>
      <c r="I6" s="5"/>
      <c r="L6" s="28"/>
    </row>
    <row r="7" spans="1:14" ht="4.5" customHeight="1">
      <c r="A7" s="5"/>
      <c r="B7" s="5"/>
      <c r="C7" s="6"/>
      <c r="D7" s="6"/>
      <c r="E7" s="5"/>
      <c r="F7" s="5"/>
      <c r="G7" s="5"/>
      <c r="H7" s="5"/>
      <c r="I7" s="5"/>
    </row>
    <row r="8" spans="1:14" s="8" customFormat="1">
      <c r="A8" s="78" t="s">
        <v>40</v>
      </c>
      <c r="B8" s="79" t="s">
        <v>41</v>
      </c>
      <c r="C8" s="80" t="s">
        <v>140</v>
      </c>
      <c r="D8" s="81" t="s">
        <v>141</v>
      </c>
      <c r="E8" s="7" t="s">
        <v>41</v>
      </c>
      <c r="F8" s="7" t="s">
        <v>142</v>
      </c>
      <c r="G8" s="7" t="s">
        <v>143</v>
      </c>
      <c r="H8" s="7"/>
      <c r="I8" s="7"/>
      <c r="J8" s="8" t="s">
        <v>144</v>
      </c>
    </row>
    <row r="9" spans="1:14">
      <c r="A9" s="9"/>
      <c r="B9" s="36" t="str">
        <f>IF(ISNA(VLOOKUP(A9,ผังบัญชี!A:D,2,FALSE)),"",VLOOKUP(A9,ผังบัญชี!A:D,2,FALSE))</f>
        <v/>
      </c>
      <c r="C9" s="70"/>
      <c r="D9" s="71"/>
      <c r="E9" s="5" t="b">
        <f>ISNA(VLOOKUP(A9,ผังบัญชี!A:D,2,FALSE))</f>
        <v>1</v>
      </c>
      <c r="F9" s="5" t="b">
        <f>IF(AND(C9&gt;0,D9&gt;0),TRUE,FALSE)</f>
        <v>0</v>
      </c>
      <c r="G9" s="5" t="b">
        <f>IF(AND(C9="",D9=""),TRUE,FALSE)</f>
        <v>1</v>
      </c>
      <c r="H9" s="5">
        <f>+E9+F9+G9</f>
        <v>2</v>
      </c>
      <c r="I9" s="5"/>
      <c r="J9" s="37">
        <f ca="1">SUMIF(db!E:H,A9,db!G:G)-SUMIF(db!E:H,A9,db!H:H)</f>
        <v>0</v>
      </c>
    </row>
    <row r="10" spans="1:14">
      <c r="A10" s="74"/>
      <c r="B10" s="75" t="str">
        <f>IF(ISNA(VLOOKUP(A10,ผังบัญชี!A:D,2,FALSE)),"",VLOOKUP(A10,ผังบัญชี!A:D,2,FALSE))</f>
        <v/>
      </c>
      <c r="C10" s="76"/>
      <c r="D10" s="77"/>
      <c r="E10" s="5" t="b">
        <f>ISNA(VLOOKUP(A10,ผังบัญชี!A:D,2,FALSE))</f>
        <v>1</v>
      </c>
      <c r="F10" s="5" t="b">
        <f>IF(AND(C10&gt;0,D10&gt;0,C10=D10),TRUE,FALSE)</f>
        <v>0</v>
      </c>
      <c r="G10" s="5" t="b">
        <f t="shared" ref="G10:G35" si="0">IF(AND(C10="",D10=""),TRUE,FALSE)</f>
        <v>1</v>
      </c>
      <c r="H10" s="5">
        <f t="shared" ref="H10:H35" si="1">+E10+F10+G10</f>
        <v>2</v>
      </c>
      <c r="I10" s="5"/>
      <c r="J10" s="37">
        <f ca="1">SUMIF(db!E:H,A10,db!G:G)-SUMIF(db!E:H,A10,db!H:H)</f>
        <v>0</v>
      </c>
    </row>
    <row r="11" spans="1:14">
      <c r="A11" s="9"/>
      <c r="B11" s="108" t="str">
        <f>IF(ISNA(VLOOKUP(A11,ผังบัญชี!A:D,2,FALSE)),"",VLOOKUP(A11,ผังบัญชี!A:D,2,FALSE))</f>
        <v/>
      </c>
      <c r="C11" s="70"/>
      <c r="D11" s="71"/>
      <c r="E11" s="5" t="b">
        <f>ISNA(VLOOKUP(A11,ผังบัญชี!A:D,2,FALSE))</f>
        <v>1</v>
      </c>
      <c r="F11" s="5" t="b">
        <f>IF(AND(C11&gt;0,D11&gt;0,C11=D11),TRUE,FALSE)</f>
        <v>0</v>
      </c>
      <c r="G11" s="5" t="b">
        <f t="shared" si="0"/>
        <v>1</v>
      </c>
      <c r="H11" s="5">
        <f t="shared" si="1"/>
        <v>2</v>
      </c>
      <c r="I11" s="5"/>
      <c r="J11" s="37">
        <f ca="1">SUMIF(db!E:H,A11,db!G:G)-SUMIF(db!E:H,A11,db!H:H)</f>
        <v>0</v>
      </c>
    </row>
    <row r="12" spans="1:14">
      <c r="A12" s="74"/>
      <c r="B12" s="75" t="str">
        <f>IF(ISNA(VLOOKUP(A12,ผังบัญชี!A:D,2,FALSE)),"",VLOOKUP(A12,ผังบัญชี!A:D,2,FALSE))</f>
        <v/>
      </c>
      <c r="C12" s="76"/>
      <c r="D12" s="77"/>
      <c r="E12" s="5" t="b">
        <f>ISNA(VLOOKUP(A12,ผังบัญชี!A:D,2,FALSE))</f>
        <v>1</v>
      </c>
      <c r="F12" s="5" t="b">
        <f>IF(AND(C12&gt;0,D12&gt;0,C12=D12),TRUE,FALSE)</f>
        <v>0</v>
      </c>
      <c r="G12" s="5" t="b">
        <f t="shared" si="0"/>
        <v>1</v>
      </c>
      <c r="H12" s="5">
        <f t="shared" si="1"/>
        <v>2</v>
      </c>
      <c r="I12" s="5"/>
      <c r="J12" s="37">
        <f ca="1">SUMIF(db!E:H,A12,db!G:G)-SUMIF(db!E:H,A12,db!H:H)</f>
        <v>0</v>
      </c>
    </row>
    <row r="13" spans="1:14">
      <c r="A13" s="9"/>
      <c r="B13" s="36" t="str">
        <f>IF(ISNA(VLOOKUP(A13,ผังบัญชี!A:D,2,FALSE)),"",VLOOKUP(A13,ผังบัญชี!A:D,2,FALSE))</f>
        <v/>
      </c>
      <c r="C13" s="70"/>
      <c r="D13" s="71"/>
      <c r="E13" s="5" t="b">
        <f>ISNA(VLOOKUP(A13,ผังบัญชี!A:D,2,FALSE))</f>
        <v>1</v>
      </c>
      <c r="F13" s="5" t="b">
        <f t="shared" ref="F13:F35" si="2">IF(AND(C13&gt;0,D13&gt;0),TRUE,FALSE)</f>
        <v>0</v>
      </c>
      <c r="G13" s="5" t="b">
        <f t="shared" si="0"/>
        <v>1</v>
      </c>
      <c r="H13" s="5">
        <f t="shared" si="1"/>
        <v>2</v>
      </c>
      <c r="I13" s="5"/>
      <c r="J13" s="37">
        <f ca="1">SUMIF(db!E:H,A13,db!G:G)-SUMIF(db!E:H,A13,db!H:H)</f>
        <v>0</v>
      </c>
    </row>
    <row r="14" spans="1:14">
      <c r="A14" s="74"/>
      <c r="B14" s="75" t="str">
        <f>IF(ISNA(VLOOKUP(A14,ผังบัญชี!A:D,2,FALSE)),"",VLOOKUP(A14,ผังบัญชี!A:D,2,FALSE))</f>
        <v/>
      </c>
      <c r="C14" s="76"/>
      <c r="D14" s="77"/>
      <c r="E14" s="5" t="b">
        <f>ISNA(VLOOKUP(A14,ผังบัญชี!A:D,2,FALSE))</f>
        <v>1</v>
      </c>
      <c r="F14" s="5" t="b">
        <f t="shared" si="2"/>
        <v>0</v>
      </c>
      <c r="G14" s="5" t="b">
        <f t="shared" si="0"/>
        <v>1</v>
      </c>
      <c r="H14" s="5">
        <f t="shared" si="1"/>
        <v>2</v>
      </c>
      <c r="I14" s="5"/>
      <c r="J14" s="37">
        <f ca="1">SUMIF(db!E:H,A14,db!G:G)-SUMIF(db!E:H,A14,db!H:H)</f>
        <v>0</v>
      </c>
    </row>
    <row r="15" spans="1:14">
      <c r="A15" s="9"/>
      <c r="B15" s="36" t="str">
        <f>IF(ISNA(VLOOKUP(A15,ผังบัญชี!A:D,2,FALSE)),"",VLOOKUP(A15,ผังบัญชี!A:D,2,FALSE))</f>
        <v/>
      </c>
      <c r="C15" s="70"/>
      <c r="D15" s="71"/>
      <c r="E15" s="5" t="b">
        <f>ISNA(VLOOKUP(A15,ผังบัญชี!A:D,2,FALSE))</f>
        <v>1</v>
      </c>
      <c r="F15" s="5" t="b">
        <f t="shared" si="2"/>
        <v>0</v>
      </c>
      <c r="G15" s="5" t="b">
        <f t="shared" si="0"/>
        <v>1</v>
      </c>
      <c r="H15" s="5">
        <f t="shared" si="1"/>
        <v>2</v>
      </c>
      <c r="I15" s="5"/>
      <c r="J15" s="37">
        <f ca="1">SUMIF(db!E:H,A15,db!G:G)-SUMIF(db!E:H,A15,db!H:H)</f>
        <v>0</v>
      </c>
    </row>
    <row r="16" spans="1:14">
      <c r="A16" s="74"/>
      <c r="B16" s="75" t="str">
        <f>IF(ISNA(VLOOKUP(A16,ผังบัญชี!A:D,2,FALSE)),"",VLOOKUP(A16,ผังบัญชี!A:D,2,FALSE))</f>
        <v/>
      </c>
      <c r="C16" s="76"/>
      <c r="D16" s="77"/>
      <c r="E16" s="5" t="b">
        <f>ISNA(VLOOKUP(A16,ผังบัญชี!A:D,2,FALSE))</f>
        <v>1</v>
      </c>
      <c r="F16" s="5" t="b">
        <f t="shared" si="2"/>
        <v>0</v>
      </c>
      <c r="G16" s="5" t="b">
        <f t="shared" si="0"/>
        <v>1</v>
      </c>
      <c r="H16" s="5">
        <f t="shared" si="1"/>
        <v>2</v>
      </c>
      <c r="I16" s="5"/>
      <c r="J16" s="37">
        <f ca="1">SUMIF(db!E:H,A16,db!G:G)-SUMIF(db!E:H,A16,db!H:H)</f>
        <v>0</v>
      </c>
    </row>
    <row r="17" spans="1:10">
      <c r="A17" s="9"/>
      <c r="B17" s="36" t="str">
        <f>IF(ISNA(VLOOKUP(A17,ผังบัญชี!A:D,2,FALSE)),"",VLOOKUP(A17,ผังบัญชี!A:D,2,FALSE))</f>
        <v/>
      </c>
      <c r="C17" s="70"/>
      <c r="D17" s="71"/>
      <c r="E17" s="5" t="b">
        <f>ISNA(VLOOKUP(A17,ผังบัญชี!A:D,2,FALSE))</f>
        <v>1</v>
      </c>
      <c r="F17" s="5" t="b">
        <f t="shared" si="2"/>
        <v>0</v>
      </c>
      <c r="G17" s="5" t="b">
        <f t="shared" si="0"/>
        <v>1</v>
      </c>
      <c r="H17" s="5">
        <f t="shared" si="1"/>
        <v>2</v>
      </c>
      <c r="I17" s="5"/>
      <c r="J17" s="37">
        <f ca="1">SUMIF(db!E:H,A17,db!G:G)-SUMIF(db!E:H,A17,db!H:H)</f>
        <v>0</v>
      </c>
    </row>
    <row r="18" spans="1:10">
      <c r="A18" s="74"/>
      <c r="B18" s="75" t="str">
        <f>IF(ISNA(VLOOKUP(A18,ผังบัญชี!A:D,2,FALSE)),"",VLOOKUP(A18,ผังบัญชี!A:D,2,FALSE))</f>
        <v/>
      </c>
      <c r="C18" s="76"/>
      <c r="D18" s="77"/>
      <c r="E18" s="5" t="b">
        <f>ISNA(VLOOKUP(A18,ผังบัญชี!A:D,2,FALSE))</f>
        <v>1</v>
      </c>
      <c r="F18" s="5" t="b">
        <f t="shared" si="2"/>
        <v>0</v>
      </c>
      <c r="G18" s="5" t="b">
        <f t="shared" si="0"/>
        <v>1</v>
      </c>
      <c r="H18" s="5">
        <f t="shared" si="1"/>
        <v>2</v>
      </c>
      <c r="I18" s="5"/>
      <c r="J18" s="37">
        <f ca="1">SUMIF(db!E:H,A18,db!G:G)-SUMIF(db!E:H,A18,db!H:H)</f>
        <v>0</v>
      </c>
    </row>
    <row r="19" spans="1:10">
      <c r="A19" s="9"/>
      <c r="B19" s="36" t="str">
        <f>IF(ISNA(VLOOKUP(A19,ผังบัญชี!A:D,2,FALSE)),"",VLOOKUP(A19,ผังบัญชี!A:D,2,FALSE))</f>
        <v/>
      </c>
      <c r="C19" s="70"/>
      <c r="D19" s="71"/>
      <c r="E19" s="5" t="b">
        <f>ISNA(VLOOKUP(A19,ผังบัญชี!A:D,2,FALSE))</f>
        <v>1</v>
      </c>
      <c r="F19" s="5" t="b">
        <f t="shared" si="2"/>
        <v>0</v>
      </c>
      <c r="G19" s="5" t="b">
        <f t="shared" si="0"/>
        <v>1</v>
      </c>
      <c r="H19" s="5">
        <f t="shared" si="1"/>
        <v>2</v>
      </c>
      <c r="I19" s="5"/>
      <c r="J19" s="37">
        <f ca="1">SUMIF(db!E:H,A19,db!G:G)-SUMIF(db!E:H,A19,db!H:H)</f>
        <v>0</v>
      </c>
    </row>
    <row r="20" spans="1:10">
      <c r="A20" s="74"/>
      <c r="B20" s="75" t="str">
        <f>IF(ISNA(VLOOKUP(A20,ผังบัญชี!A:D,2,FALSE)),"",VLOOKUP(A20,ผังบัญชี!A:D,2,FALSE))</f>
        <v/>
      </c>
      <c r="C20" s="76"/>
      <c r="D20" s="77"/>
      <c r="E20" s="5" t="b">
        <f>ISNA(VLOOKUP(A20,ผังบัญชี!A:D,2,FALSE))</f>
        <v>1</v>
      </c>
      <c r="F20" s="5" t="b">
        <f t="shared" si="2"/>
        <v>0</v>
      </c>
      <c r="G20" s="5" t="b">
        <f t="shared" si="0"/>
        <v>1</v>
      </c>
      <c r="H20" s="5">
        <f t="shared" si="1"/>
        <v>2</v>
      </c>
      <c r="I20" s="5"/>
      <c r="J20" s="37">
        <f ca="1">SUMIF(db!E:H,A20,db!G:G)-SUMIF(db!E:H,A20,db!H:H)</f>
        <v>0</v>
      </c>
    </row>
    <row r="21" spans="1:10">
      <c r="A21" s="9"/>
      <c r="B21" s="36" t="str">
        <f>IF(ISNA(VLOOKUP(A21,ผังบัญชี!A:D,2,FALSE)),"",VLOOKUP(A21,ผังบัญชี!A:D,2,FALSE))</f>
        <v/>
      </c>
      <c r="C21" s="70"/>
      <c r="D21" s="71"/>
      <c r="E21" s="5" t="b">
        <f>ISNA(VLOOKUP(A21,ผังบัญชี!A:D,2,FALSE))</f>
        <v>1</v>
      </c>
      <c r="F21" s="5" t="b">
        <f t="shared" si="2"/>
        <v>0</v>
      </c>
      <c r="G21" s="5" t="b">
        <f t="shared" si="0"/>
        <v>1</v>
      </c>
      <c r="H21" s="5">
        <f t="shared" si="1"/>
        <v>2</v>
      </c>
      <c r="I21" s="5"/>
      <c r="J21" s="37">
        <f ca="1">SUMIF(db!E:H,A21,db!G:G)-SUMIF(db!E:H,A21,db!H:H)</f>
        <v>0</v>
      </c>
    </row>
    <row r="22" spans="1:10">
      <c r="A22" s="74"/>
      <c r="B22" s="75" t="str">
        <f>IF(ISNA(VLOOKUP(A22,ผังบัญชี!A:D,2,FALSE)),"",VLOOKUP(A22,ผังบัญชี!A:D,2,FALSE))</f>
        <v/>
      </c>
      <c r="C22" s="76"/>
      <c r="D22" s="77"/>
      <c r="E22" s="5" t="b">
        <f>ISNA(VLOOKUP(A22,ผังบัญชี!A:D,2,FALSE))</f>
        <v>1</v>
      </c>
      <c r="F22" s="5" t="b">
        <f t="shared" si="2"/>
        <v>0</v>
      </c>
      <c r="G22" s="5" t="b">
        <f t="shared" si="0"/>
        <v>1</v>
      </c>
      <c r="H22" s="5">
        <f t="shared" si="1"/>
        <v>2</v>
      </c>
      <c r="I22" s="5"/>
      <c r="J22" s="37">
        <f ca="1">SUMIF(db!E:H,A22,db!G:G)-SUMIF(db!E:H,A22,db!H:H)</f>
        <v>0</v>
      </c>
    </row>
    <row r="23" spans="1:10">
      <c r="A23" s="9"/>
      <c r="B23" s="36" t="str">
        <f>IF(ISNA(VLOOKUP(A23,ผังบัญชี!A:D,2,FALSE)),"",VLOOKUP(A23,ผังบัญชี!A:D,2,FALSE))</f>
        <v/>
      </c>
      <c r="C23" s="70"/>
      <c r="D23" s="71"/>
      <c r="E23" s="5" t="b">
        <f>ISNA(VLOOKUP(A23,ผังบัญชี!A:D,2,FALSE))</f>
        <v>1</v>
      </c>
      <c r="F23" s="5" t="b">
        <f t="shared" si="2"/>
        <v>0</v>
      </c>
      <c r="G23" s="5" t="b">
        <f t="shared" si="0"/>
        <v>1</v>
      </c>
      <c r="H23" s="5">
        <f t="shared" si="1"/>
        <v>2</v>
      </c>
      <c r="I23" s="5"/>
      <c r="J23" s="37">
        <f ca="1">SUMIF(db!E:H,A23,db!G:G)-SUMIF(db!E:H,A23,db!H:H)</f>
        <v>0</v>
      </c>
    </row>
    <row r="24" spans="1:10">
      <c r="A24" s="74"/>
      <c r="B24" s="75" t="str">
        <f>IF(ISNA(VLOOKUP(A24,ผังบัญชี!A:D,2,FALSE)),"",VLOOKUP(A24,ผังบัญชี!A:D,2,FALSE))</f>
        <v/>
      </c>
      <c r="C24" s="76"/>
      <c r="D24" s="77"/>
      <c r="E24" s="5" t="b">
        <f>ISNA(VLOOKUP(A24,ผังบัญชี!A:D,2,FALSE))</f>
        <v>1</v>
      </c>
      <c r="F24" s="5" t="b">
        <f t="shared" si="2"/>
        <v>0</v>
      </c>
      <c r="G24" s="5" t="b">
        <f t="shared" si="0"/>
        <v>1</v>
      </c>
      <c r="H24" s="5">
        <f t="shared" si="1"/>
        <v>2</v>
      </c>
      <c r="I24" s="5"/>
      <c r="J24" s="37">
        <f ca="1">SUMIF(db!E:H,A24,db!G:G)-SUMIF(db!E:H,A24,db!H:H)</f>
        <v>0</v>
      </c>
    </row>
    <row r="25" spans="1:10">
      <c r="A25" s="9"/>
      <c r="B25" s="36" t="str">
        <f>IF(ISNA(VLOOKUP(A25,ผังบัญชี!A:D,2,FALSE)),"",VLOOKUP(A25,ผังบัญชี!A:D,2,FALSE))</f>
        <v/>
      </c>
      <c r="C25" s="70"/>
      <c r="D25" s="71"/>
      <c r="E25" s="5" t="b">
        <f>ISNA(VLOOKUP(A25,ผังบัญชี!A:D,2,FALSE))</f>
        <v>1</v>
      </c>
      <c r="F25" s="5" t="b">
        <f t="shared" si="2"/>
        <v>0</v>
      </c>
      <c r="G25" s="5" t="b">
        <f t="shared" si="0"/>
        <v>1</v>
      </c>
      <c r="H25" s="5">
        <f t="shared" si="1"/>
        <v>2</v>
      </c>
      <c r="I25" s="5"/>
      <c r="J25" s="37">
        <f ca="1">SUMIF(db!E:H,A25,db!G:G)-SUMIF(db!E:H,A25,db!H:H)</f>
        <v>0</v>
      </c>
    </row>
    <row r="26" spans="1:10">
      <c r="A26" s="74"/>
      <c r="B26" s="75" t="str">
        <f>IF(ISNA(VLOOKUP(A26,ผังบัญชี!A:D,2,FALSE)),"",VLOOKUP(A26,ผังบัญชี!A:D,2,FALSE))</f>
        <v/>
      </c>
      <c r="C26" s="76"/>
      <c r="D26" s="77"/>
      <c r="E26" s="5" t="b">
        <f>ISNA(VLOOKUP(A26,ผังบัญชี!A:D,2,FALSE))</f>
        <v>1</v>
      </c>
      <c r="F26" s="5" t="b">
        <f t="shared" si="2"/>
        <v>0</v>
      </c>
      <c r="G26" s="5" t="b">
        <f t="shared" si="0"/>
        <v>1</v>
      </c>
      <c r="H26" s="5">
        <f t="shared" si="1"/>
        <v>2</v>
      </c>
      <c r="I26" s="5"/>
      <c r="J26" s="37">
        <f ca="1">SUMIF(db!E:H,A26,db!G:G)-SUMIF(db!E:H,A26,db!H:H)</f>
        <v>0</v>
      </c>
    </row>
    <row r="27" spans="1:10">
      <c r="A27" s="9"/>
      <c r="B27" s="36" t="str">
        <f>IF(ISNA(VLOOKUP(A27,ผังบัญชี!A:D,2,FALSE)),"",VLOOKUP(A27,ผังบัญชี!A:D,2,FALSE))</f>
        <v/>
      </c>
      <c r="C27" s="70"/>
      <c r="D27" s="71"/>
      <c r="E27" s="5" t="b">
        <f>ISNA(VLOOKUP(A27,ผังบัญชี!A:D,2,FALSE))</f>
        <v>1</v>
      </c>
      <c r="F27" s="5" t="b">
        <f t="shared" si="2"/>
        <v>0</v>
      </c>
      <c r="G27" s="5" t="b">
        <f t="shared" si="0"/>
        <v>1</v>
      </c>
      <c r="H27" s="5">
        <f t="shared" si="1"/>
        <v>2</v>
      </c>
      <c r="I27" s="5"/>
      <c r="J27" s="37">
        <f ca="1">SUMIF(db!E:H,A27,db!G:G)-SUMIF(db!E:H,A27,db!H:H)</f>
        <v>0</v>
      </c>
    </row>
    <row r="28" spans="1:10">
      <c r="A28" s="74"/>
      <c r="B28" s="75" t="str">
        <f>IF(ISNA(VLOOKUP(A28,ผังบัญชี!A:D,2,FALSE)),"",VLOOKUP(A28,ผังบัญชี!A:D,2,FALSE))</f>
        <v/>
      </c>
      <c r="C28" s="76"/>
      <c r="D28" s="77"/>
      <c r="E28" s="5" t="b">
        <f>ISNA(VLOOKUP(A28,ผังบัญชี!A:D,2,FALSE))</f>
        <v>1</v>
      </c>
      <c r="F28" s="5" t="b">
        <f t="shared" si="2"/>
        <v>0</v>
      </c>
      <c r="G28" s="5" t="b">
        <f t="shared" si="0"/>
        <v>1</v>
      </c>
      <c r="H28" s="5">
        <f t="shared" si="1"/>
        <v>2</v>
      </c>
      <c r="I28" s="5"/>
      <c r="J28" s="37">
        <f ca="1">SUMIF(db!E:H,A28,db!G:G)-SUMIF(db!E:H,A28,db!H:H)</f>
        <v>0</v>
      </c>
    </row>
    <row r="29" spans="1:10">
      <c r="A29" s="9"/>
      <c r="B29" s="36" t="str">
        <f>IF(ISNA(VLOOKUP(A29,ผังบัญชี!A:D,2,FALSE)),"",VLOOKUP(A29,ผังบัญชี!A:D,2,FALSE))</f>
        <v/>
      </c>
      <c r="C29" s="70"/>
      <c r="D29" s="71"/>
      <c r="E29" s="5" t="b">
        <f>ISNA(VLOOKUP(A29,ผังบัญชี!A:D,2,FALSE))</f>
        <v>1</v>
      </c>
      <c r="F29" s="5" t="b">
        <f t="shared" si="2"/>
        <v>0</v>
      </c>
      <c r="G29" s="5" t="b">
        <f t="shared" si="0"/>
        <v>1</v>
      </c>
      <c r="H29" s="5">
        <f t="shared" si="1"/>
        <v>2</v>
      </c>
      <c r="I29" s="5"/>
      <c r="J29" s="37">
        <f ca="1">SUMIF(db!E:H,A29,db!G:G)-SUMIF(db!E:H,A29,db!H:H)</f>
        <v>0</v>
      </c>
    </row>
    <row r="30" spans="1:10">
      <c r="A30" s="74"/>
      <c r="B30" s="75" t="str">
        <f>IF(ISNA(VLOOKUP(A30,ผังบัญชี!A:D,2,FALSE)),"",VLOOKUP(A30,ผังบัญชี!A:D,2,FALSE))</f>
        <v/>
      </c>
      <c r="C30" s="76"/>
      <c r="D30" s="77"/>
      <c r="E30" s="5" t="b">
        <f>ISNA(VLOOKUP(A30,ผังบัญชี!A:D,2,FALSE))</f>
        <v>1</v>
      </c>
      <c r="F30" s="5" t="b">
        <f t="shared" si="2"/>
        <v>0</v>
      </c>
      <c r="G30" s="5" t="b">
        <f t="shared" si="0"/>
        <v>1</v>
      </c>
      <c r="H30" s="5">
        <f t="shared" si="1"/>
        <v>2</v>
      </c>
      <c r="I30" s="5"/>
      <c r="J30" s="37">
        <f ca="1">SUMIF(db!E:H,A30,db!G:G)-SUMIF(db!E:H,A30,db!H:H)</f>
        <v>0</v>
      </c>
    </row>
    <row r="31" spans="1:10">
      <c r="A31" s="9"/>
      <c r="B31" s="36" t="str">
        <f>IF(ISNA(VLOOKUP(A31,ผังบัญชี!A:D,2,FALSE)),"",VLOOKUP(A31,ผังบัญชี!A:D,2,FALSE))</f>
        <v/>
      </c>
      <c r="C31" s="70"/>
      <c r="D31" s="71"/>
      <c r="E31" s="5" t="b">
        <f>ISNA(VLOOKUP(A31,ผังบัญชี!A:D,2,FALSE))</f>
        <v>1</v>
      </c>
      <c r="F31" s="5" t="b">
        <f t="shared" si="2"/>
        <v>0</v>
      </c>
      <c r="G31" s="5" t="b">
        <f t="shared" si="0"/>
        <v>1</v>
      </c>
      <c r="H31" s="5">
        <f t="shared" si="1"/>
        <v>2</v>
      </c>
      <c r="I31" s="5"/>
      <c r="J31" s="37">
        <f ca="1">SUMIF(db!E:H,A31,db!G:G)-SUMIF(db!E:H,A31,db!H:H)</f>
        <v>0</v>
      </c>
    </row>
    <row r="32" spans="1:10">
      <c r="A32" s="74"/>
      <c r="B32" s="75" t="str">
        <f>IF(ISNA(VLOOKUP(A32,ผังบัญชี!A:D,2,FALSE)),"",VLOOKUP(A32,ผังบัญชี!A:D,2,FALSE))</f>
        <v/>
      </c>
      <c r="C32" s="76"/>
      <c r="D32" s="77"/>
      <c r="E32" s="5" t="b">
        <f>ISNA(VLOOKUP(A32,ผังบัญชี!A:D,2,FALSE))</f>
        <v>1</v>
      </c>
      <c r="F32" s="5" t="b">
        <f t="shared" si="2"/>
        <v>0</v>
      </c>
      <c r="G32" s="5" t="b">
        <f t="shared" si="0"/>
        <v>1</v>
      </c>
      <c r="H32" s="5">
        <f t="shared" si="1"/>
        <v>2</v>
      </c>
      <c r="I32" s="5"/>
      <c r="J32" s="37">
        <f ca="1">SUMIF(db!E:H,A32,db!G:G)-SUMIF(db!E:H,A32,db!H:H)</f>
        <v>0</v>
      </c>
    </row>
    <row r="33" spans="1:10">
      <c r="A33" s="9"/>
      <c r="B33" s="36" t="str">
        <f>IF(ISNA(VLOOKUP(A33,ผังบัญชี!A:D,2,FALSE)),"",VLOOKUP(A33,ผังบัญชี!A:D,2,FALSE))</f>
        <v/>
      </c>
      <c r="C33" s="70"/>
      <c r="D33" s="71"/>
      <c r="E33" s="5" t="b">
        <f>ISNA(VLOOKUP(A33,ผังบัญชี!A:D,2,FALSE))</f>
        <v>1</v>
      </c>
      <c r="F33" s="5" t="b">
        <f t="shared" si="2"/>
        <v>0</v>
      </c>
      <c r="G33" s="5" t="b">
        <f t="shared" si="0"/>
        <v>1</v>
      </c>
      <c r="H33" s="5">
        <f t="shared" si="1"/>
        <v>2</v>
      </c>
      <c r="I33" s="5"/>
      <c r="J33" s="37">
        <f ca="1">SUMIF(db!E:H,A33,db!G:G)-SUMIF(db!E:H,A33,db!H:H)</f>
        <v>0</v>
      </c>
    </row>
    <row r="34" spans="1:10">
      <c r="A34" s="74"/>
      <c r="B34" s="75" t="str">
        <f>IF(ISNA(VLOOKUP(A34,ผังบัญชี!A:D,2,FALSE)),"",VLOOKUP(A34,ผังบัญชี!A:D,2,FALSE))</f>
        <v/>
      </c>
      <c r="C34" s="76"/>
      <c r="D34" s="77"/>
      <c r="E34" s="5" t="b">
        <f>ISNA(VLOOKUP(A34,ผังบัญชี!A:D,2,FALSE))</f>
        <v>1</v>
      </c>
      <c r="F34" s="5" t="b">
        <f t="shared" si="2"/>
        <v>0</v>
      </c>
      <c r="G34" s="5" t="b">
        <f t="shared" si="0"/>
        <v>1</v>
      </c>
      <c r="H34" s="5">
        <f t="shared" si="1"/>
        <v>2</v>
      </c>
      <c r="I34" s="5"/>
      <c r="J34" s="37">
        <f ca="1">SUMIF(db!E:H,A34,db!G:G)-SUMIF(db!E:H,A34,db!H:H)</f>
        <v>0</v>
      </c>
    </row>
    <row r="35" spans="1:10">
      <c r="A35" s="9"/>
      <c r="B35" s="36" t="str">
        <f>IF(ISNA(VLOOKUP(A35,ผังบัญชี!A:D,2,FALSE)),"",VLOOKUP(A35,ผังบัญชี!A:D,2,FALSE))</f>
        <v/>
      </c>
      <c r="C35" s="72"/>
      <c r="D35" s="73"/>
      <c r="E35" s="5" t="b">
        <f>ISNA(VLOOKUP(A35,ผังบัญชี!A:D,2,FALSE))</f>
        <v>1</v>
      </c>
      <c r="F35" s="5" t="b">
        <f t="shared" si="2"/>
        <v>0</v>
      </c>
      <c r="G35" s="5" t="b">
        <f t="shared" si="0"/>
        <v>1</v>
      </c>
      <c r="H35" s="5">
        <f t="shared" si="1"/>
        <v>2</v>
      </c>
      <c r="I35" s="5"/>
      <c r="J35" s="37">
        <f ca="1">SUMIF(db!E:H,A35,db!G:G)-SUMIF(db!E:H,A35,db!H:H)</f>
        <v>0</v>
      </c>
    </row>
    <row r="36" spans="1:10">
      <c r="A36" s="120" t="str">
        <f>BAHTTEXT(C36)</f>
        <v>ศูนย์บาทถ้วน</v>
      </c>
      <c r="B36" s="121"/>
      <c r="C36" s="82">
        <f>SUM(C9:C35)</f>
        <v>0</v>
      </c>
      <c r="D36" s="83">
        <f>SUM(D9:D35)</f>
        <v>0</v>
      </c>
      <c r="E36" s="5"/>
      <c r="F36" s="5"/>
      <c r="G36" s="5"/>
      <c r="H36" s="5">
        <f>IF(C36=D36,0,1)</f>
        <v>0</v>
      </c>
      <c r="I36" s="5"/>
      <c r="J36" s="41">
        <f>C36-D36</f>
        <v>0</v>
      </c>
    </row>
    <row r="37" spans="1:10">
      <c r="A37" s="56"/>
      <c r="B37" s="58"/>
      <c r="C37" s="59"/>
      <c r="D37" s="60"/>
      <c r="E37" s="5"/>
      <c r="F37" s="5"/>
      <c r="G37" s="5"/>
      <c r="H37" s="5"/>
      <c r="I37" s="5"/>
    </row>
    <row r="38" spans="1:10">
      <c r="A38" s="57"/>
      <c r="B38" s="61"/>
      <c r="C38" s="62"/>
      <c r="D38" s="63"/>
      <c r="E38" s="5"/>
      <c r="F38" s="5"/>
      <c r="G38" s="5"/>
      <c r="H38" s="5"/>
      <c r="I38" s="5"/>
    </row>
    <row r="39" spans="1:10">
      <c r="A39" s="57"/>
      <c r="B39" s="61"/>
      <c r="C39" s="62"/>
      <c r="D39" s="63"/>
      <c r="E39" s="5"/>
      <c r="F39" s="5"/>
      <c r="G39" s="5"/>
      <c r="H39" s="5"/>
      <c r="I39" s="5"/>
    </row>
    <row r="40" spans="1:10">
      <c r="A40" s="103" t="s">
        <v>145</v>
      </c>
      <c r="B40" s="64"/>
      <c r="C40" s="65"/>
      <c r="D40" s="66"/>
      <c r="E40" s="5"/>
      <c r="F40" s="5"/>
      <c r="G40" s="5"/>
      <c r="H40" s="5"/>
      <c r="I40" s="5"/>
    </row>
    <row r="41" spans="1:10">
      <c r="A41" s="115" t="s">
        <v>146</v>
      </c>
      <c r="B41" s="116"/>
      <c r="C41" s="116"/>
      <c r="D41" s="117"/>
    </row>
  </sheetData>
  <sheetProtection algorithmName="SHA-512" hashValue="ymLfJAxNNrcMdRK/BEVfNz9ppD1UDIqqhPceuh7kcRFFY9U+SAfBcviWzONtiflZByUskAGsO0TlclwQ0m0Mqg==" saltValue="RytucaOuYW/60S9wtgyWNQ==" spinCount="100000" sheet="1" scenarios="1" formatCells="0"/>
  <protectedRanges>
    <protectedRange sqref="B1" name="CompanyName"/>
    <protectedRange sqref="B4" name="Range4"/>
    <protectedRange sqref="I1" name="Range2"/>
    <protectedRange sqref="B5:D6 A9:A35 C9:D35" name="Range1"/>
    <protectedRange sqref="D3 D5" name="Range5"/>
  </protectedRanges>
  <mergeCells count="6">
    <mergeCell ref="A41:D41"/>
    <mergeCell ref="L1:N1"/>
    <mergeCell ref="B6:D6"/>
    <mergeCell ref="A36:B36"/>
    <mergeCell ref="C4:D4"/>
    <mergeCell ref="C1:D1"/>
  </mergeCells>
  <conditionalFormatting sqref="D5">
    <cfRule type="cellIs" dxfId="89" priority="1" operator="equal">
      <formula>2</formula>
    </cfRule>
  </conditionalFormatting>
  <dataValidations count="2">
    <dataValidation type="decimal" operator="greaterThanOrEqual" allowBlank="1" showInputMessage="1" showErrorMessage="1" errorTitle="คำเตือน" error="ท่านใส่ค่าตัวเลขไม่ถูกต้อง" sqref="C9:D35" xr:uid="{00000000-0002-0000-0300-000000000000}">
      <formula1>0</formula1>
    </dataValidation>
    <dataValidation type="list" allowBlank="1" showInputMessage="1" showErrorMessage="1" errorTitle="คำเตือน" error="กรุณาเลือกจากรายการเท่านั้น" sqref="D5" xr:uid="{00000000-0002-0000-0300-000001000000}">
      <formula1>"1,2"</formula1>
    </dataValidation>
  </dataValidations>
  <printOptions horizontalCentered="1"/>
  <pageMargins left="0.5" right="0.46875" top="0.74803149606299213" bottom="0.32666666666666666" header="0.31496062992125984" footer="0.31496062992125984"/>
  <pageSetup paperSize="9" scale="98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3087" r:id="rId4" name="r_status">
          <controlPr defaultSize="0" print="0" autoLine="0" r:id="rId5">
            <anchor moveWithCells="1">
              <from>
                <xdr:col>10</xdr:col>
                <xdr:colOff>57150</xdr:colOff>
                <xdr:row>2</xdr:row>
                <xdr:rowOff>47625</xdr:rowOff>
              </from>
              <to>
                <xdr:col>11</xdr:col>
                <xdr:colOff>47625</xdr:colOff>
                <xdr:row>3</xdr:row>
                <xdr:rowOff>95250</xdr:rowOff>
              </to>
            </anchor>
          </controlPr>
        </control>
      </mc:Choice>
      <mc:Fallback>
        <control shapeId="3087" r:id="rId4" name="r_status"/>
      </mc:Fallback>
    </mc:AlternateContent>
    <mc:AlternateContent xmlns:mc="http://schemas.openxmlformats.org/markup-compatibility/2006">
      <mc:Choice Requires="x14">
        <control shapeId="3084" r:id="rId6" name="tr_no">
          <controlPr defaultSize="0" autoLine="0" r:id="rId7">
            <anchor moveWithCells="1">
              <from>
                <xdr:col>1</xdr:col>
                <xdr:colOff>38100</xdr:colOff>
                <xdr:row>2</xdr:row>
                <xdr:rowOff>38100</xdr:rowOff>
              </from>
              <to>
                <xdr:col>2</xdr:col>
                <xdr:colOff>304800</xdr:colOff>
                <xdr:row>3</xdr:row>
                <xdr:rowOff>66675</xdr:rowOff>
              </to>
            </anchor>
          </controlPr>
        </control>
      </mc:Choice>
      <mc:Fallback>
        <control shapeId="3084" r:id="rId6" name="tr_no"/>
      </mc:Fallback>
    </mc:AlternateContent>
    <mc:AlternateContent xmlns:mc="http://schemas.openxmlformats.org/markup-compatibility/2006">
      <mc:Choice Requires="x14">
        <control shapeId="3082" r:id="rId8" name="active_row">
          <controlPr defaultSize="0" autoLine="0" r:id="rId9">
            <anchor moveWithCells="1">
              <from>
                <xdr:col>9</xdr:col>
                <xdr:colOff>895350</xdr:colOff>
                <xdr:row>2</xdr:row>
                <xdr:rowOff>47625</xdr:rowOff>
              </from>
              <to>
                <xdr:col>10</xdr:col>
                <xdr:colOff>209550</xdr:colOff>
                <xdr:row>3</xdr:row>
                <xdr:rowOff>104775</xdr:rowOff>
              </to>
            </anchor>
          </controlPr>
        </control>
      </mc:Choice>
      <mc:Fallback>
        <control shapeId="3082" r:id="rId8" name="active_row"/>
      </mc:Fallback>
    </mc:AlternateContent>
    <mc:AlternateContent xmlns:mc="http://schemas.openxmlformats.org/markup-compatibility/2006">
      <mc:Choice Requires="x14">
        <control shapeId="3081" r:id="rId10" name="btn_code">
          <controlPr defaultSize="0" print="0" autoFill="0" autoLine="0" r:id="rId11">
            <anchor moveWithCells="1">
              <from>
                <xdr:col>0</xdr:col>
                <xdr:colOff>733425</xdr:colOff>
                <xdr:row>10</xdr:row>
                <xdr:rowOff>0</xdr:rowOff>
              </from>
              <to>
                <xdr:col>1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1" r:id="rId10" name="btn_code"/>
      </mc:Fallback>
    </mc:AlternateContent>
    <mc:AlternateContent xmlns:mc="http://schemas.openxmlformats.org/markup-compatibility/2006">
      <mc:Choice Requires="x14">
        <control shapeId="3078" r:id="rId12" name="btn_reset">
          <controlPr locked="0" defaultSize="0" print="0" autoLine="0" r:id="rId13">
            <anchor moveWithCells="1">
              <from>
                <xdr:col>11</xdr:col>
                <xdr:colOff>9525</xdr:colOff>
                <xdr:row>9</xdr:row>
                <xdr:rowOff>28575</xdr:rowOff>
              </from>
              <to>
                <xdr:col>14</xdr:col>
                <xdr:colOff>238125</xdr:colOff>
                <xdr:row>10</xdr:row>
                <xdr:rowOff>104775</xdr:rowOff>
              </to>
            </anchor>
          </controlPr>
        </control>
      </mc:Choice>
      <mc:Fallback>
        <control shapeId="3078" r:id="rId12" name="btn_reset"/>
      </mc:Fallback>
    </mc:AlternateContent>
    <mc:AlternateContent xmlns:mc="http://schemas.openxmlformats.org/markup-compatibility/2006">
      <mc:Choice Requires="x14">
        <control shapeId="3077" r:id="rId14" name="btn_del">
          <controlPr locked="0" defaultSize="0" print="0" autoLine="0" r:id="rId15">
            <anchor moveWithCells="1">
              <from>
                <xdr:col>9</xdr:col>
                <xdr:colOff>857250</xdr:colOff>
                <xdr:row>0</xdr:row>
                <xdr:rowOff>323850</xdr:rowOff>
              </from>
              <to>
                <xdr:col>10</xdr:col>
                <xdr:colOff>314325</xdr:colOff>
                <xdr:row>1</xdr:row>
                <xdr:rowOff>0</xdr:rowOff>
              </to>
            </anchor>
          </controlPr>
        </control>
      </mc:Choice>
      <mc:Fallback>
        <control shapeId="3077" r:id="rId14" name="btn_del"/>
      </mc:Fallback>
    </mc:AlternateContent>
    <mc:AlternateContent xmlns:mc="http://schemas.openxmlformats.org/markup-compatibility/2006">
      <mc:Choice Requires="x14">
        <control shapeId="3076" r:id="rId16" name="btn_save">
          <controlPr locked="0" defaultSize="0" print="0" autoLine="0" r:id="rId17">
            <anchor moveWithCells="1">
              <from>
                <xdr:col>9</xdr:col>
                <xdr:colOff>95250</xdr:colOff>
                <xdr:row>0</xdr:row>
                <xdr:rowOff>323850</xdr:rowOff>
              </from>
              <to>
                <xdr:col>9</xdr:col>
                <xdr:colOff>809625</xdr:colOff>
                <xdr:row>1</xdr:row>
                <xdr:rowOff>0</xdr:rowOff>
              </to>
            </anchor>
          </controlPr>
        </control>
      </mc:Choice>
      <mc:Fallback>
        <control shapeId="3076" r:id="rId16" name="btn_save"/>
      </mc:Fallback>
    </mc:AlternateContent>
    <mc:AlternateContent xmlns:mc="http://schemas.openxmlformats.org/markup-compatibility/2006">
      <mc:Choice Requires="x14">
        <control shapeId="3075" r:id="rId18" name="btn_search">
          <controlPr locked="0" defaultSize="0" print="0" autoLine="0" r:id="rId19">
            <anchor moveWithCells="1">
              <from>
                <xdr:col>9</xdr:col>
                <xdr:colOff>95250</xdr:colOff>
                <xdr:row>0</xdr:row>
                <xdr:rowOff>9525</xdr:rowOff>
              </from>
              <to>
                <xdr:col>9</xdr:col>
                <xdr:colOff>819150</xdr:colOff>
                <xdr:row>0</xdr:row>
                <xdr:rowOff>314325</xdr:rowOff>
              </to>
            </anchor>
          </controlPr>
        </control>
      </mc:Choice>
      <mc:Fallback>
        <control shapeId="3075" r:id="rId18" name="btn_search"/>
      </mc:Fallback>
    </mc:AlternateContent>
    <mc:AlternateContent xmlns:mc="http://schemas.openxmlformats.org/markup-compatibility/2006">
      <mc:Choice Requires="x14">
        <control shapeId="3074" r:id="rId20" name="btn_New">
          <controlPr locked="0" defaultSize="0" print="0" autoLine="0" r:id="rId21">
            <anchor moveWithCells="1">
              <from>
                <xdr:col>9</xdr:col>
                <xdr:colOff>857250</xdr:colOff>
                <xdr:row>0</xdr:row>
                <xdr:rowOff>9525</xdr:rowOff>
              </from>
              <to>
                <xdr:col>10</xdr:col>
                <xdr:colOff>314325</xdr:colOff>
                <xdr:row>0</xdr:row>
                <xdr:rowOff>314325</xdr:rowOff>
              </to>
            </anchor>
          </controlPr>
        </control>
      </mc:Choice>
      <mc:Fallback>
        <control shapeId="3074" r:id="rId20" name="btn_New"/>
      </mc:Fallback>
    </mc:AlternateContent>
    <mc:AlternateContent xmlns:mc="http://schemas.openxmlformats.org/markup-compatibility/2006">
      <mc:Choice Requires="x14">
        <control shapeId="3109" r:id="rId22" name="Button 37">
          <controlPr defaultSize="0" print="0" autoFill="0" autoPict="0" macro="[0]!Button37_Click">
            <anchor moveWithCells="1" sizeWithCells="1">
              <from>
                <xdr:col>11</xdr:col>
                <xdr:colOff>19050</xdr:colOff>
                <xdr:row>2</xdr:row>
                <xdr:rowOff>9525</xdr:rowOff>
              </from>
              <to>
                <xdr:col>13</xdr:col>
                <xdr:colOff>657225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2" r:id="rId23" name="Button 40">
          <controlPr defaultSize="0" print="0" autoFill="0" autoPict="0" macro="[0]!GL">
            <anchor moveWithCells="1" sizeWithCells="1">
              <from>
                <xdr:col>11</xdr:col>
                <xdr:colOff>19050</xdr:colOff>
                <xdr:row>3</xdr:row>
                <xdr:rowOff>104775</xdr:rowOff>
              </from>
              <to>
                <xdr:col>13</xdr:col>
                <xdr:colOff>657225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3" r:id="rId24" name="Button 41">
          <controlPr defaultSize="0" print="0" autoFill="0" autoPict="0" macro="[0]!Button41_Click">
            <anchor moveWithCells="1" sizeWithCells="1">
              <from>
                <xdr:col>11</xdr:col>
                <xdr:colOff>28575</xdr:colOff>
                <xdr:row>5</xdr:row>
                <xdr:rowOff>19050</xdr:rowOff>
              </from>
              <to>
                <xdr:col>13</xdr:col>
                <xdr:colOff>666750</xdr:colOff>
                <xdr:row>5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4" r:id="rId25" name="Button 42">
          <controlPr defaultSize="0" print="0" autoFill="0" autoPict="0" macro="[0]!Button42_Click">
            <anchor moveWithCells="1" sizeWithCells="1">
              <from>
                <xdr:col>11</xdr:col>
                <xdr:colOff>28575</xdr:colOff>
                <xdr:row>5</xdr:row>
                <xdr:rowOff>400050</xdr:rowOff>
              </from>
              <to>
                <xdr:col>13</xdr:col>
                <xdr:colOff>666750</xdr:colOff>
                <xdr:row>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5" r:id="rId26" name="Button 43">
          <controlPr defaultSize="0" print="0" autoFill="0" autoPict="0" macro="[0]!Button43_Click">
            <anchor moveWithCells="1" sizeWithCells="1">
              <from>
                <xdr:col>11</xdr:col>
                <xdr:colOff>19050</xdr:colOff>
                <xdr:row>7</xdr:row>
                <xdr:rowOff>66675</xdr:rowOff>
              </from>
              <to>
                <xdr:col>13</xdr:col>
                <xdr:colOff>657225</xdr:colOff>
                <xdr:row>8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คำเตือน" error="ท่านเลือกรหัสหน่วยงานไม่ถูกต้อง" xr:uid="{00000000-0002-0000-0300-000002000000}">
          <x14:formula1>
            <xm:f>หน่วยงาน!$A$2:$A$988</xm:f>
          </x14:formula1>
          <xm:sqref>D3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I3030"/>
  <sheetViews>
    <sheetView topLeftCell="A3" zoomScale="130" zoomScaleNormal="130" workbookViewId="0">
      <pane xSplit="1" ySplit="2" topLeftCell="B233" activePane="bottomRight" state="frozen"/>
      <selection pane="topRight" activeCell="B21" activeCellId="1" sqref="B21 B21"/>
      <selection pane="bottomLeft" activeCell="B21" activeCellId="1" sqref="B21 B21"/>
      <selection pane="bottomRight" activeCell="H242" sqref="H242"/>
    </sheetView>
  </sheetViews>
  <sheetFormatPr defaultColWidth="9" defaultRowHeight="12"/>
  <cols>
    <col min="1" max="1" width="9.7109375" style="39" customWidth="1"/>
    <col min="2" max="2" width="2.7109375" style="16" customWidth="1"/>
    <col min="3" max="3" width="10.42578125" style="13" hidden="1" customWidth="1"/>
    <col min="4" max="4" width="28.42578125" style="13" bestFit="1" customWidth="1"/>
    <col min="5" max="6" width="14.7109375" style="13" bestFit="1" customWidth="1"/>
    <col min="7" max="8" width="12.7109375" style="30" customWidth="1"/>
    <col min="9" max="16384" width="9" style="13"/>
  </cols>
  <sheetData>
    <row r="1" spans="1:9" ht="15" hidden="1">
      <c r="A1" s="38"/>
      <c r="B1"/>
    </row>
    <row r="2" spans="1:9" hidden="1"/>
    <row r="3" spans="1:9" ht="15">
      <c r="A3" s="13"/>
      <c r="B3" s="13"/>
      <c r="E3" s="14" t="s">
        <v>147</v>
      </c>
      <c r="G3"/>
      <c r="H3"/>
      <c r="I3"/>
    </row>
    <row r="4" spans="1:9" s="18" customFormat="1" ht="15">
      <c r="A4" s="17" t="s">
        <v>136</v>
      </c>
      <c r="B4" s="17" t="s">
        <v>148</v>
      </c>
      <c r="C4" s="17" t="s">
        <v>149</v>
      </c>
      <c r="D4" s="17" t="s">
        <v>41</v>
      </c>
      <c r="E4" s="33" t="s">
        <v>44</v>
      </c>
      <c r="F4" s="33" t="s">
        <v>45</v>
      </c>
      <c r="G4"/>
      <c r="H4"/>
      <c r="I4"/>
    </row>
    <row r="5" spans="1:9" ht="15">
      <c r="A5" s="110" t="s">
        <v>168</v>
      </c>
      <c r="B5" s="13" t="s">
        <v>161</v>
      </c>
      <c r="E5" s="40"/>
      <c r="F5" s="40"/>
      <c r="G5"/>
      <c r="H5"/>
      <c r="I5"/>
    </row>
    <row r="6" spans="1:9" ht="15">
      <c r="A6" s="110"/>
      <c r="B6" s="13"/>
      <c r="C6" s="13">
        <v>240</v>
      </c>
      <c r="D6" s="13" t="s">
        <v>47</v>
      </c>
      <c r="E6" s="40">
        <v>240</v>
      </c>
      <c r="F6" s="40">
        <v>0</v>
      </c>
      <c r="G6"/>
      <c r="H6"/>
      <c r="I6"/>
    </row>
    <row r="7" spans="1:9" ht="15">
      <c r="A7" s="110"/>
      <c r="B7" s="13"/>
      <c r="C7" s="13">
        <v>410</v>
      </c>
      <c r="D7" s="13" t="s">
        <v>47</v>
      </c>
      <c r="E7" s="40">
        <v>410</v>
      </c>
      <c r="F7" s="40">
        <v>0</v>
      </c>
      <c r="G7"/>
      <c r="H7"/>
      <c r="I7"/>
    </row>
    <row r="8" spans="1:9" ht="15">
      <c r="A8" s="110"/>
      <c r="B8" s="13"/>
      <c r="C8" s="13">
        <v>2900</v>
      </c>
      <c r="D8" s="13" t="s">
        <v>47</v>
      </c>
      <c r="E8" s="40">
        <v>2900</v>
      </c>
      <c r="F8" s="40">
        <v>0</v>
      </c>
      <c r="G8"/>
      <c r="H8"/>
      <c r="I8"/>
    </row>
    <row r="9" spans="1:9" ht="15">
      <c r="A9" s="110"/>
      <c r="B9" s="13"/>
      <c r="C9" s="13">
        <v>3550</v>
      </c>
      <c r="D9" s="13" t="s">
        <v>48</v>
      </c>
      <c r="E9" s="40">
        <v>3550</v>
      </c>
      <c r="F9" s="40">
        <v>0</v>
      </c>
      <c r="G9"/>
      <c r="H9"/>
      <c r="I9"/>
    </row>
    <row r="10" spans="1:9" ht="15">
      <c r="A10" s="110"/>
      <c r="B10" s="13"/>
      <c r="C10" s="13" t="s">
        <v>158</v>
      </c>
      <c r="D10" s="13" t="s">
        <v>47</v>
      </c>
      <c r="E10" s="40">
        <v>0</v>
      </c>
      <c r="F10" s="40">
        <v>3550</v>
      </c>
      <c r="G10"/>
      <c r="H10"/>
      <c r="I10"/>
    </row>
    <row r="11" spans="1:9" ht="15">
      <c r="A11" s="110"/>
      <c r="B11" s="13"/>
      <c r="D11" s="13" t="s">
        <v>83</v>
      </c>
      <c r="E11" s="40">
        <v>0</v>
      </c>
      <c r="F11" s="40">
        <v>2900</v>
      </c>
      <c r="G11"/>
      <c r="H11"/>
      <c r="I11"/>
    </row>
    <row r="12" spans="1:9" ht="15">
      <c r="A12" s="110"/>
      <c r="B12" s="13"/>
      <c r="D12" s="13" t="s">
        <v>92</v>
      </c>
      <c r="E12" s="40">
        <v>0</v>
      </c>
      <c r="F12" s="40">
        <v>410</v>
      </c>
      <c r="G12"/>
      <c r="H12"/>
      <c r="I12"/>
    </row>
    <row r="13" spans="1:9" ht="15">
      <c r="A13" s="110"/>
      <c r="B13" s="13"/>
      <c r="D13" s="13" t="s">
        <v>85</v>
      </c>
      <c r="E13" s="40">
        <v>0</v>
      </c>
      <c r="F13" s="40">
        <v>240</v>
      </c>
      <c r="G13"/>
      <c r="H13"/>
      <c r="I13"/>
    </row>
    <row r="14" spans="1:9" ht="15">
      <c r="A14" s="110" t="s">
        <v>169</v>
      </c>
      <c r="B14" s="13" t="s">
        <v>161</v>
      </c>
      <c r="E14" s="40"/>
      <c r="F14" s="40"/>
      <c r="G14"/>
      <c r="H14"/>
      <c r="I14"/>
    </row>
    <row r="15" spans="1:9" ht="15">
      <c r="A15" s="110"/>
      <c r="B15" s="13"/>
      <c r="C15" s="13">
        <v>240</v>
      </c>
      <c r="D15" s="13" t="s">
        <v>47</v>
      </c>
      <c r="E15" s="40">
        <v>240</v>
      </c>
      <c r="F15" s="40">
        <v>0</v>
      </c>
      <c r="G15"/>
      <c r="H15"/>
      <c r="I15"/>
    </row>
    <row r="16" spans="1:9" ht="15">
      <c r="A16" s="110"/>
      <c r="B16" s="13"/>
      <c r="C16" s="13">
        <v>370</v>
      </c>
      <c r="D16" s="13" t="s">
        <v>47</v>
      </c>
      <c r="E16" s="40">
        <v>370</v>
      </c>
      <c r="F16" s="40">
        <v>0</v>
      </c>
      <c r="G16"/>
      <c r="H16"/>
      <c r="I16"/>
    </row>
    <row r="17" spans="1:9" ht="15">
      <c r="A17" s="110"/>
      <c r="B17" s="13"/>
      <c r="C17" s="13">
        <v>2800</v>
      </c>
      <c r="D17" s="13" t="s">
        <v>47</v>
      </c>
      <c r="E17" s="40">
        <v>2800</v>
      </c>
      <c r="F17" s="40">
        <v>0</v>
      </c>
      <c r="G17"/>
      <c r="H17"/>
      <c r="I17"/>
    </row>
    <row r="18" spans="1:9" ht="15">
      <c r="A18" s="110"/>
      <c r="B18" s="13"/>
      <c r="C18" s="13">
        <v>3410</v>
      </c>
      <c r="D18" s="13" t="s">
        <v>48</v>
      </c>
      <c r="E18" s="40">
        <v>3410</v>
      </c>
      <c r="F18" s="40">
        <v>0</v>
      </c>
      <c r="G18"/>
      <c r="H18"/>
      <c r="I18"/>
    </row>
    <row r="19" spans="1:9" ht="15">
      <c r="A19" s="110"/>
      <c r="B19" s="13"/>
      <c r="C19" s="13" t="s">
        <v>158</v>
      </c>
      <c r="D19" s="13" t="s">
        <v>47</v>
      </c>
      <c r="E19" s="40">
        <v>0</v>
      </c>
      <c r="F19" s="40">
        <v>3410</v>
      </c>
      <c r="G19"/>
      <c r="H19"/>
      <c r="I19"/>
    </row>
    <row r="20" spans="1:9" ht="15">
      <c r="A20" s="110"/>
      <c r="B20" s="13"/>
      <c r="D20" s="13" t="s">
        <v>83</v>
      </c>
      <c r="E20" s="40">
        <v>0</v>
      </c>
      <c r="F20" s="40">
        <v>2800</v>
      </c>
      <c r="G20"/>
      <c r="H20"/>
      <c r="I20"/>
    </row>
    <row r="21" spans="1:9" ht="15">
      <c r="A21" s="110"/>
      <c r="B21" s="13"/>
      <c r="D21" s="13" t="s">
        <v>92</v>
      </c>
      <c r="E21" s="40">
        <v>0</v>
      </c>
      <c r="F21" s="40">
        <v>370</v>
      </c>
      <c r="G21"/>
      <c r="H21"/>
      <c r="I21"/>
    </row>
    <row r="22" spans="1:9" ht="15">
      <c r="A22" s="110"/>
      <c r="B22" s="13"/>
      <c r="D22" s="13" t="s">
        <v>85</v>
      </c>
      <c r="E22" s="40">
        <v>0</v>
      </c>
      <c r="F22" s="40">
        <v>240</v>
      </c>
      <c r="G22"/>
      <c r="H22"/>
      <c r="I22"/>
    </row>
    <row r="23" spans="1:9" ht="15">
      <c r="A23" s="110" t="s">
        <v>170</v>
      </c>
      <c r="B23" s="13" t="s">
        <v>161</v>
      </c>
      <c r="E23" s="40"/>
      <c r="F23" s="40"/>
      <c r="G23"/>
      <c r="H23"/>
      <c r="I23"/>
    </row>
    <row r="24" spans="1:9" ht="15">
      <c r="A24" s="110"/>
      <c r="B24" s="13"/>
      <c r="C24" s="13">
        <v>50</v>
      </c>
      <c r="D24" s="13" t="s">
        <v>47</v>
      </c>
      <c r="E24" s="40">
        <v>50</v>
      </c>
      <c r="F24" s="40">
        <v>0</v>
      </c>
      <c r="G24"/>
      <c r="H24"/>
      <c r="I24"/>
    </row>
    <row r="25" spans="1:9" ht="15">
      <c r="A25" s="110"/>
      <c r="B25" s="13"/>
      <c r="C25" s="13">
        <v>100</v>
      </c>
      <c r="D25" s="13" t="s">
        <v>47</v>
      </c>
      <c r="E25" s="40">
        <v>100</v>
      </c>
      <c r="F25" s="40">
        <v>0</v>
      </c>
      <c r="G25"/>
      <c r="H25"/>
      <c r="I25"/>
    </row>
    <row r="26" spans="1:9" ht="15">
      <c r="A26" s="110"/>
      <c r="B26" s="13"/>
      <c r="C26" s="13">
        <v>200</v>
      </c>
      <c r="D26" s="13" t="s">
        <v>47</v>
      </c>
      <c r="E26" s="40">
        <v>200</v>
      </c>
      <c r="F26" s="40">
        <v>0</v>
      </c>
      <c r="G26"/>
      <c r="H26"/>
      <c r="I26"/>
    </row>
    <row r="27" spans="1:9" ht="15">
      <c r="A27" s="110"/>
      <c r="B27" s="13"/>
      <c r="C27" s="13">
        <v>400</v>
      </c>
      <c r="D27" s="13" t="s">
        <v>47</v>
      </c>
      <c r="E27" s="40">
        <v>400</v>
      </c>
      <c r="F27" s="40">
        <v>0</v>
      </c>
      <c r="G27"/>
      <c r="H27"/>
      <c r="I27"/>
    </row>
    <row r="28" spans="1:9" ht="15">
      <c r="A28" s="110"/>
      <c r="B28" s="13"/>
      <c r="D28" s="13" t="s">
        <v>48</v>
      </c>
      <c r="E28" s="40">
        <v>400</v>
      </c>
      <c r="F28" s="40">
        <v>0</v>
      </c>
      <c r="G28"/>
      <c r="H28"/>
      <c r="I28"/>
    </row>
    <row r="29" spans="1:9" ht="15">
      <c r="A29" s="110"/>
      <c r="B29" s="13"/>
      <c r="C29" s="13">
        <v>900</v>
      </c>
      <c r="D29" s="13" t="s">
        <v>47</v>
      </c>
      <c r="E29" s="40">
        <v>1800</v>
      </c>
      <c r="F29" s="40">
        <v>0</v>
      </c>
      <c r="G29"/>
      <c r="H29"/>
      <c r="I29"/>
    </row>
    <row r="30" spans="1:9" ht="15">
      <c r="A30" s="110"/>
      <c r="B30" s="13"/>
      <c r="C30" s="13">
        <v>1000</v>
      </c>
      <c r="D30" s="13" t="s">
        <v>48</v>
      </c>
      <c r="E30" s="40">
        <v>1000</v>
      </c>
      <c r="F30" s="40">
        <v>0</v>
      </c>
      <c r="G30"/>
      <c r="H30"/>
      <c r="I30"/>
    </row>
    <row r="31" spans="1:9" ht="15">
      <c r="A31" s="110"/>
      <c r="B31" s="13"/>
      <c r="C31" s="13">
        <v>1400</v>
      </c>
      <c r="D31" s="13" t="s">
        <v>47</v>
      </c>
      <c r="E31" s="40">
        <v>1400</v>
      </c>
      <c r="F31" s="40">
        <v>0</v>
      </c>
      <c r="G31"/>
      <c r="H31"/>
      <c r="I31"/>
    </row>
    <row r="32" spans="1:9" ht="15">
      <c r="A32" s="110"/>
      <c r="B32" s="13"/>
      <c r="C32" s="13">
        <v>2550</v>
      </c>
      <c r="D32" s="13" t="s">
        <v>48</v>
      </c>
      <c r="E32" s="40">
        <v>2550</v>
      </c>
      <c r="F32" s="40">
        <v>0</v>
      </c>
      <c r="G32"/>
      <c r="H32"/>
      <c r="I32"/>
    </row>
    <row r="33" spans="1:9" ht="15">
      <c r="A33" s="110"/>
      <c r="B33" s="13"/>
      <c r="C33" s="13" t="s">
        <v>158</v>
      </c>
      <c r="D33" s="13" t="s">
        <v>47</v>
      </c>
      <c r="E33" s="40">
        <v>0</v>
      </c>
      <c r="F33" s="40">
        <v>3950</v>
      </c>
      <c r="G33"/>
      <c r="H33"/>
      <c r="I33"/>
    </row>
    <row r="34" spans="1:9" ht="15">
      <c r="A34" s="110"/>
      <c r="B34" s="13"/>
      <c r="D34" s="13" t="s">
        <v>98</v>
      </c>
      <c r="E34" s="40">
        <v>0</v>
      </c>
      <c r="F34" s="40">
        <v>50</v>
      </c>
      <c r="G34"/>
      <c r="H34"/>
      <c r="I34"/>
    </row>
    <row r="35" spans="1:9" ht="15">
      <c r="A35" s="110"/>
      <c r="B35" s="13"/>
      <c r="D35" s="13" t="s">
        <v>83</v>
      </c>
      <c r="E35" s="40">
        <v>0</v>
      </c>
      <c r="F35" s="40">
        <v>2300</v>
      </c>
      <c r="G35"/>
      <c r="H35"/>
      <c r="I35"/>
    </row>
    <row r="36" spans="1:9" ht="15">
      <c r="A36" s="110"/>
      <c r="B36" s="13"/>
      <c r="D36" s="13" t="s">
        <v>84</v>
      </c>
      <c r="E36" s="40">
        <v>0</v>
      </c>
      <c r="F36" s="40">
        <v>900</v>
      </c>
      <c r="G36"/>
      <c r="H36"/>
      <c r="I36"/>
    </row>
    <row r="37" spans="1:9" ht="15">
      <c r="A37" s="110"/>
      <c r="B37" s="13"/>
      <c r="D37" s="13" t="s">
        <v>92</v>
      </c>
      <c r="E37" s="40">
        <v>0</v>
      </c>
      <c r="F37" s="40">
        <v>300</v>
      </c>
      <c r="G37"/>
      <c r="H37"/>
      <c r="I37"/>
    </row>
    <row r="38" spans="1:9" ht="15">
      <c r="A38" s="110"/>
      <c r="B38" s="13"/>
      <c r="D38" s="13" t="s">
        <v>71</v>
      </c>
      <c r="E38" s="40">
        <v>0</v>
      </c>
      <c r="F38" s="40">
        <v>400</v>
      </c>
      <c r="G38"/>
      <c r="H38"/>
      <c r="I38"/>
    </row>
    <row r="39" spans="1:9" ht="15">
      <c r="A39" s="110" t="s">
        <v>171</v>
      </c>
      <c r="B39" s="13" t="s">
        <v>161</v>
      </c>
      <c r="E39" s="40"/>
      <c r="F39" s="40"/>
      <c r="G39"/>
      <c r="H39"/>
      <c r="I39"/>
    </row>
    <row r="40" spans="1:9" ht="15">
      <c r="A40" s="110"/>
      <c r="B40" s="13"/>
      <c r="C40" s="13">
        <v>90</v>
      </c>
      <c r="D40" s="13" t="s">
        <v>47</v>
      </c>
      <c r="E40" s="40">
        <v>90</v>
      </c>
      <c r="F40" s="40">
        <v>0</v>
      </c>
      <c r="G40"/>
      <c r="H40"/>
      <c r="I40"/>
    </row>
    <row r="41" spans="1:9" ht="15">
      <c r="A41" s="110"/>
      <c r="B41" s="13"/>
      <c r="C41" s="13">
        <v>170</v>
      </c>
      <c r="D41" s="13" t="s">
        <v>47</v>
      </c>
      <c r="E41" s="40">
        <v>170</v>
      </c>
      <c r="F41" s="40">
        <v>0</v>
      </c>
      <c r="G41"/>
      <c r="H41"/>
      <c r="I41"/>
    </row>
    <row r="42" spans="1:9" ht="15">
      <c r="A42" s="110"/>
      <c r="B42" s="13"/>
      <c r="C42" s="13">
        <v>180</v>
      </c>
      <c r="D42" s="13" t="s">
        <v>47</v>
      </c>
      <c r="E42" s="40">
        <v>180</v>
      </c>
      <c r="F42" s="40">
        <v>0</v>
      </c>
      <c r="G42"/>
      <c r="H42"/>
      <c r="I42"/>
    </row>
    <row r="43" spans="1:9" ht="15">
      <c r="A43" s="110"/>
      <c r="B43" s="13"/>
      <c r="C43" s="13">
        <v>360</v>
      </c>
      <c r="D43" s="13" t="s">
        <v>47</v>
      </c>
      <c r="E43" s="40">
        <v>360</v>
      </c>
      <c r="F43" s="40">
        <v>0</v>
      </c>
      <c r="G43"/>
      <c r="H43"/>
      <c r="I43"/>
    </row>
    <row r="44" spans="1:9" ht="15">
      <c r="A44" s="110"/>
      <c r="B44" s="13"/>
      <c r="C44" s="13">
        <v>1000</v>
      </c>
      <c r="D44" s="13" t="s">
        <v>47</v>
      </c>
      <c r="E44" s="40">
        <v>1000</v>
      </c>
      <c r="F44" s="40">
        <v>0</v>
      </c>
      <c r="G44"/>
      <c r="H44"/>
      <c r="I44"/>
    </row>
    <row r="45" spans="1:9" ht="15">
      <c r="A45" s="110"/>
      <c r="B45" s="13"/>
      <c r="C45" s="13">
        <v>1300</v>
      </c>
      <c r="D45" s="13" t="s">
        <v>47</v>
      </c>
      <c r="E45" s="40">
        <v>1300</v>
      </c>
      <c r="F45" s="40">
        <v>0</v>
      </c>
      <c r="G45"/>
      <c r="H45"/>
      <c r="I45"/>
    </row>
    <row r="46" spans="1:9" ht="15">
      <c r="A46" s="110"/>
      <c r="B46" s="13"/>
      <c r="C46" s="13">
        <v>1530</v>
      </c>
      <c r="D46" s="13" t="s">
        <v>48</v>
      </c>
      <c r="E46" s="40">
        <v>1530</v>
      </c>
      <c r="F46" s="40">
        <v>0</v>
      </c>
      <c r="G46"/>
      <c r="H46"/>
      <c r="I46"/>
    </row>
    <row r="47" spans="1:9" ht="15">
      <c r="A47" s="110"/>
      <c r="B47" s="13"/>
      <c r="C47" s="13">
        <v>1570</v>
      </c>
      <c r="D47" s="13" t="s">
        <v>48</v>
      </c>
      <c r="E47" s="40">
        <v>1570</v>
      </c>
      <c r="F47" s="40">
        <v>0</v>
      </c>
      <c r="G47"/>
      <c r="H47"/>
      <c r="I47"/>
    </row>
    <row r="48" spans="1:9" ht="15">
      <c r="A48" s="110"/>
      <c r="B48" s="13"/>
      <c r="C48" s="13" t="s">
        <v>158</v>
      </c>
      <c r="D48" s="13" t="s">
        <v>47</v>
      </c>
      <c r="E48" s="40">
        <v>0</v>
      </c>
      <c r="F48" s="40">
        <v>3100</v>
      </c>
      <c r="G48"/>
      <c r="H48"/>
      <c r="I48"/>
    </row>
    <row r="49" spans="1:9" ht="15">
      <c r="A49" s="110"/>
      <c r="B49" s="13"/>
      <c r="D49" s="13" t="s">
        <v>83</v>
      </c>
      <c r="E49" s="40">
        <v>0</v>
      </c>
      <c r="F49" s="40">
        <v>2300</v>
      </c>
      <c r="G49"/>
      <c r="H49"/>
      <c r="I49"/>
    </row>
    <row r="50" spans="1:9" ht="15">
      <c r="A50" s="110"/>
      <c r="B50" s="13"/>
      <c r="D50" s="13" t="s">
        <v>84</v>
      </c>
      <c r="E50" s="40">
        <v>0</v>
      </c>
      <c r="F50" s="40">
        <v>540</v>
      </c>
      <c r="G50"/>
      <c r="H50"/>
      <c r="I50"/>
    </row>
    <row r="51" spans="1:9" ht="15">
      <c r="A51" s="110"/>
      <c r="B51" s="13"/>
      <c r="D51" s="13" t="s">
        <v>92</v>
      </c>
      <c r="E51" s="40">
        <v>0</v>
      </c>
      <c r="F51" s="40">
        <v>260</v>
      </c>
      <c r="G51"/>
      <c r="H51"/>
      <c r="I51"/>
    </row>
    <row r="52" spans="1:9" ht="15">
      <c r="A52" s="110" t="s">
        <v>172</v>
      </c>
      <c r="B52" s="13" t="s">
        <v>161</v>
      </c>
      <c r="E52" s="40"/>
      <c r="F52" s="40"/>
      <c r="G52"/>
      <c r="H52"/>
      <c r="I52"/>
    </row>
    <row r="53" spans="1:9" ht="15">
      <c r="A53" s="110"/>
      <c r="B53" s="13"/>
      <c r="C53" s="13">
        <v>30</v>
      </c>
      <c r="D53" s="13" t="s">
        <v>47</v>
      </c>
      <c r="E53" s="40">
        <v>30</v>
      </c>
      <c r="F53" s="40">
        <v>0</v>
      </c>
      <c r="G53"/>
      <c r="H53"/>
      <c r="I53"/>
    </row>
    <row r="54" spans="1:9" ht="15">
      <c r="A54" s="110"/>
      <c r="B54" s="13"/>
      <c r="C54" s="13">
        <v>60</v>
      </c>
      <c r="D54" s="13" t="s">
        <v>47</v>
      </c>
      <c r="E54" s="40">
        <v>60</v>
      </c>
      <c r="F54" s="40">
        <v>0</v>
      </c>
      <c r="G54"/>
      <c r="H54"/>
      <c r="I54"/>
    </row>
    <row r="55" spans="1:9" ht="15">
      <c r="A55" s="110"/>
      <c r="B55" s="13"/>
      <c r="C55" s="13">
        <v>180</v>
      </c>
      <c r="D55" s="13" t="s">
        <v>47</v>
      </c>
      <c r="E55" s="40">
        <v>180</v>
      </c>
      <c r="F55" s="40">
        <v>0</v>
      </c>
      <c r="G55"/>
      <c r="H55"/>
      <c r="I55"/>
    </row>
    <row r="56" spans="1:9" ht="15">
      <c r="A56" s="110"/>
      <c r="B56" s="13"/>
      <c r="C56" s="13">
        <v>500</v>
      </c>
      <c r="D56" s="13" t="s">
        <v>47</v>
      </c>
      <c r="E56" s="40">
        <v>500</v>
      </c>
      <c r="F56" s="40">
        <v>0</v>
      </c>
      <c r="G56"/>
      <c r="H56"/>
      <c r="I56"/>
    </row>
    <row r="57" spans="1:9" ht="15">
      <c r="A57" s="110"/>
      <c r="B57" s="13"/>
      <c r="C57" s="13">
        <v>700</v>
      </c>
      <c r="D57" s="13" t="s">
        <v>47</v>
      </c>
      <c r="E57" s="40">
        <v>700</v>
      </c>
      <c r="F57" s="40">
        <v>0</v>
      </c>
      <c r="G57"/>
      <c r="H57"/>
      <c r="I57"/>
    </row>
    <row r="58" spans="1:9" ht="15">
      <c r="A58" s="110"/>
      <c r="B58" s="13"/>
      <c r="C58" s="13">
        <v>730</v>
      </c>
      <c r="D58" s="13" t="s">
        <v>48</v>
      </c>
      <c r="E58" s="40">
        <v>730</v>
      </c>
      <c r="F58" s="40">
        <v>0</v>
      </c>
      <c r="G58"/>
      <c r="H58"/>
      <c r="I58"/>
    </row>
    <row r="59" spans="1:9" ht="15">
      <c r="A59" s="110"/>
      <c r="B59" s="13"/>
      <c r="C59" s="13">
        <v>740</v>
      </c>
      <c r="D59" s="13" t="s">
        <v>48</v>
      </c>
      <c r="E59" s="40">
        <v>740</v>
      </c>
      <c r="F59" s="40">
        <v>0</v>
      </c>
      <c r="G59"/>
      <c r="H59"/>
      <c r="I59"/>
    </row>
    <row r="60" spans="1:9" ht="15">
      <c r="A60" s="110"/>
      <c r="B60" s="13"/>
      <c r="C60" s="13" t="s">
        <v>158</v>
      </c>
      <c r="D60" s="13" t="s">
        <v>47</v>
      </c>
      <c r="E60" s="40">
        <v>0</v>
      </c>
      <c r="F60" s="40">
        <v>1470</v>
      </c>
      <c r="G60"/>
      <c r="H60"/>
      <c r="I60"/>
    </row>
    <row r="61" spans="1:9" ht="15">
      <c r="A61" s="110"/>
      <c r="B61" s="13"/>
      <c r="D61" s="13" t="s">
        <v>83</v>
      </c>
      <c r="E61" s="40">
        <v>0</v>
      </c>
      <c r="F61" s="40">
        <v>1200</v>
      </c>
      <c r="G61"/>
      <c r="H61"/>
      <c r="I61"/>
    </row>
    <row r="62" spans="1:9" ht="15">
      <c r="A62" s="110"/>
      <c r="B62" s="13"/>
      <c r="D62" s="13" t="s">
        <v>84</v>
      </c>
      <c r="E62" s="40">
        <v>0</v>
      </c>
      <c r="F62" s="40">
        <v>180</v>
      </c>
      <c r="G62"/>
      <c r="H62"/>
      <c r="I62"/>
    </row>
    <row r="63" spans="1:9" ht="15">
      <c r="A63" s="110"/>
      <c r="B63" s="13"/>
      <c r="D63" s="13" t="s">
        <v>92</v>
      </c>
      <c r="E63" s="40">
        <v>0</v>
      </c>
      <c r="F63" s="40">
        <v>90</v>
      </c>
      <c r="G63"/>
      <c r="H63"/>
      <c r="I63"/>
    </row>
    <row r="64" spans="1:9" ht="15">
      <c r="A64" s="110" t="s">
        <v>173</v>
      </c>
      <c r="B64" s="13" t="s">
        <v>161</v>
      </c>
      <c r="E64" s="40"/>
      <c r="F64" s="40"/>
      <c r="G64"/>
      <c r="H64"/>
      <c r="I64"/>
    </row>
    <row r="65" spans="1:9" ht="15">
      <c r="A65" s="110"/>
      <c r="B65" s="13"/>
      <c r="C65" s="13">
        <v>10</v>
      </c>
      <c r="D65" s="13" t="s">
        <v>47</v>
      </c>
      <c r="E65" s="40">
        <v>10</v>
      </c>
      <c r="F65" s="40">
        <v>0</v>
      </c>
      <c r="G65"/>
      <c r="H65"/>
      <c r="I65"/>
    </row>
    <row r="66" spans="1:9" ht="15">
      <c r="A66" s="110"/>
      <c r="B66" s="13"/>
      <c r="C66" s="13">
        <v>80</v>
      </c>
      <c r="D66" s="13" t="s">
        <v>47</v>
      </c>
      <c r="E66" s="40">
        <v>80</v>
      </c>
      <c r="F66" s="40">
        <v>0</v>
      </c>
      <c r="G66"/>
      <c r="H66"/>
      <c r="I66"/>
    </row>
    <row r="67" spans="1:9" ht="15">
      <c r="A67" s="110"/>
      <c r="B67" s="13"/>
      <c r="C67" s="13">
        <v>360</v>
      </c>
      <c r="D67" s="13" t="s">
        <v>47</v>
      </c>
      <c r="E67" s="40">
        <v>360</v>
      </c>
      <c r="F67" s="40">
        <v>0</v>
      </c>
      <c r="G67"/>
      <c r="H67"/>
      <c r="I67"/>
    </row>
    <row r="68" spans="1:9" ht="15">
      <c r="A68" s="110"/>
      <c r="B68" s="13"/>
      <c r="C68" s="13">
        <v>600</v>
      </c>
      <c r="D68" s="13" t="s">
        <v>47</v>
      </c>
      <c r="E68" s="40">
        <v>600</v>
      </c>
      <c r="F68" s="40">
        <v>0</v>
      </c>
      <c r="G68"/>
      <c r="H68"/>
      <c r="I68"/>
    </row>
    <row r="69" spans="1:9" ht="15">
      <c r="A69" s="110"/>
      <c r="B69" s="13"/>
      <c r="C69" s="13">
        <v>700</v>
      </c>
      <c r="D69" s="13" t="s">
        <v>47</v>
      </c>
      <c r="E69" s="40">
        <v>700</v>
      </c>
      <c r="F69" s="40">
        <v>0</v>
      </c>
      <c r="G69"/>
      <c r="H69"/>
      <c r="I69"/>
    </row>
    <row r="70" spans="1:9" ht="15">
      <c r="A70" s="110"/>
      <c r="B70" s="13"/>
      <c r="C70" s="13">
        <v>710</v>
      </c>
      <c r="D70" s="13" t="s">
        <v>48</v>
      </c>
      <c r="E70" s="40">
        <v>710</v>
      </c>
      <c r="F70" s="40">
        <v>0</v>
      </c>
      <c r="G70"/>
      <c r="H70"/>
      <c r="I70"/>
    </row>
    <row r="71" spans="1:9" ht="15">
      <c r="A71" s="110"/>
      <c r="B71" s="13"/>
      <c r="C71" s="13">
        <v>1040</v>
      </c>
      <c r="D71" s="13" t="s">
        <v>48</v>
      </c>
      <c r="E71" s="40">
        <v>1040</v>
      </c>
      <c r="F71" s="40">
        <v>0</v>
      </c>
      <c r="G71"/>
      <c r="H71"/>
      <c r="I71"/>
    </row>
    <row r="72" spans="1:9" ht="15">
      <c r="A72" s="110"/>
      <c r="B72" s="13"/>
      <c r="C72" s="13" t="s">
        <v>158</v>
      </c>
      <c r="D72" s="13" t="s">
        <v>47</v>
      </c>
      <c r="E72" s="40">
        <v>0</v>
      </c>
      <c r="F72" s="40">
        <v>1750</v>
      </c>
      <c r="G72"/>
      <c r="H72"/>
      <c r="I72"/>
    </row>
    <row r="73" spans="1:9" ht="15">
      <c r="A73" s="110"/>
      <c r="B73" s="13"/>
      <c r="D73" s="13" t="s">
        <v>83</v>
      </c>
      <c r="E73" s="40">
        <v>0</v>
      </c>
      <c r="F73" s="40">
        <v>1300</v>
      </c>
      <c r="G73"/>
      <c r="H73"/>
      <c r="I73"/>
    </row>
    <row r="74" spans="1:9" ht="15">
      <c r="A74" s="110"/>
      <c r="B74" s="13"/>
      <c r="D74" s="13" t="s">
        <v>84</v>
      </c>
      <c r="E74" s="40">
        <v>0</v>
      </c>
      <c r="F74" s="40">
        <v>360</v>
      </c>
      <c r="G74"/>
      <c r="H74"/>
      <c r="I74"/>
    </row>
    <row r="75" spans="1:9" ht="15">
      <c r="A75" s="110"/>
      <c r="B75" s="13"/>
      <c r="D75" s="13" t="s">
        <v>92</v>
      </c>
      <c r="E75" s="40">
        <v>0</v>
      </c>
      <c r="F75" s="40">
        <v>90</v>
      </c>
      <c r="G75"/>
      <c r="H75"/>
      <c r="I75"/>
    </row>
    <row r="76" spans="1:9" ht="15">
      <c r="A76" s="110" t="s">
        <v>174</v>
      </c>
      <c r="B76" s="13" t="s">
        <v>161</v>
      </c>
      <c r="E76" s="40"/>
      <c r="F76" s="40"/>
      <c r="G76"/>
      <c r="H76"/>
      <c r="I76"/>
    </row>
    <row r="77" spans="1:9" ht="15">
      <c r="A77" s="110"/>
      <c r="B77" s="13"/>
      <c r="C77" s="13">
        <v>50</v>
      </c>
      <c r="D77" s="13" t="s">
        <v>47</v>
      </c>
      <c r="E77" s="40">
        <v>50</v>
      </c>
      <c r="F77" s="40">
        <v>0</v>
      </c>
      <c r="G77"/>
      <c r="H77"/>
      <c r="I77"/>
    </row>
    <row r="78" spans="1:9" ht="15">
      <c r="A78" s="110"/>
      <c r="B78" s="13"/>
      <c r="C78" s="13">
        <v>90</v>
      </c>
      <c r="D78" s="13" t="s">
        <v>47</v>
      </c>
      <c r="E78" s="40">
        <v>90</v>
      </c>
      <c r="F78" s="40">
        <v>0</v>
      </c>
      <c r="G78"/>
      <c r="H78"/>
      <c r="I78"/>
    </row>
    <row r="79" spans="1:9" ht="15">
      <c r="A79" s="110"/>
      <c r="B79" s="13"/>
      <c r="C79" s="13">
        <v>290</v>
      </c>
      <c r="D79" s="13" t="s">
        <v>47</v>
      </c>
      <c r="E79" s="40">
        <v>290</v>
      </c>
      <c r="F79" s="40">
        <v>0</v>
      </c>
      <c r="G79"/>
      <c r="H79"/>
      <c r="I79"/>
    </row>
    <row r="80" spans="1:9" ht="15">
      <c r="A80" s="110"/>
      <c r="B80" s="13"/>
      <c r="C80" s="13">
        <v>360</v>
      </c>
      <c r="D80" s="13" t="s">
        <v>47</v>
      </c>
      <c r="E80" s="40">
        <v>360</v>
      </c>
      <c r="F80" s="40">
        <v>0</v>
      </c>
      <c r="G80"/>
      <c r="H80"/>
      <c r="I80"/>
    </row>
    <row r="81" spans="1:9" ht="15">
      <c r="A81" s="110"/>
      <c r="B81" s="13"/>
      <c r="C81" s="13">
        <v>800</v>
      </c>
      <c r="D81" s="13" t="s">
        <v>47</v>
      </c>
      <c r="E81" s="40">
        <v>800</v>
      </c>
      <c r="F81" s="40">
        <v>0</v>
      </c>
      <c r="G81"/>
      <c r="H81"/>
      <c r="I81"/>
    </row>
    <row r="82" spans="1:9" ht="15">
      <c r="A82" s="110"/>
      <c r="B82" s="13"/>
      <c r="D82" s="13" t="s">
        <v>48</v>
      </c>
      <c r="E82" s="40">
        <v>800</v>
      </c>
      <c r="F82" s="40">
        <v>0</v>
      </c>
      <c r="G82"/>
      <c r="H82"/>
      <c r="I82"/>
    </row>
    <row r="83" spans="1:9" ht="15">
      <c r="A83" s="110"/>
      <c r="B83" s="13"/>
      <c r="C83" s="13">
        <v>1200</v>
      </c>
      <c r="D83" s="13" t="s">
        <v>47</v>
      </c>
      <c r="E83" s="40">
        <v>1200</v>
      </c>
      <c r="F83" s="40">
        <v>0</v>
      </c>
      <c r="G83"/>
      <c r="H83"/>
      <c r="I83"/>
    </row>
    <row r="84" spans="1:9" ht="15">
      <c r="A84" s="110"/>
      <c r="B84" s="13"/>
      <c r="C84" s="13">
        <v>1290</v>
      </c>
      <c r="D84" s="13" t="s">
        <v>48</v>
      </c>
      <c r="E84" s="40">
        <v>1290</v>
      </c>
      <c r="F84" s="40">
        <v>0</v>
      </c>
      <c r="G84"/>
      <c r="H84"/>
      <c r="I84"/>
    </row>
    <row r="85" spans="1:9" ht="15">
      <c r="A85" s="110"/>
      <c r="B85" s="13"/>
      <c r="C85" s="13">
        <v>1600</v>
      </c>
      <c r="D85" s="13" t="s">
        <v>47</v>
      </c>
      <c r="E85" s="40">
        <v>1600</v>
      </c>
      <c r="F85" s="40">
        <v>0</v>
      </c>
      <c r="G85"/>
      <c r="H85"/>
      <c r="I85"/>
    </row>
    <row r="86" spans="1:9" ht="15">
      <c r="A86" s="110"/>
      <c r="B86" s="13"/>
      <c r="C86" s="13">
        <v>2300</v>
      </c>
      <c r="D86" s="13" t="s">
        <v>48</v>
      </c>
      <c r="E86" s="40">
        <v>2300</v>
      </c>
      <c r="F86" s="40">
        <v>0</v>
      </c>
      <c r="G86"/>
      <c r="H86"/>
      <c r="I86"/>
    </row>
    <row r="87" spans="1:9" ht="15">
      <c r="A87" s="110"/>
      <c r="B87" s="13"/>
      <c r="C87" s="13" t="s">
        <v>158</v>
      </c>
      <c r="D87" s="13" t="s">
        <v>47</v>
      </c>
      <c r="E87" s="40">
        <v>0</v>
      </c>
      <c r="F87" s="40">
        <v>4390</v>
      </c>
      <c r="G87"/>
      <c r="H87"/>
      <c r="I87"/>
    </row>
    <row r="88" spans="1:9" ht="15">
      <c r="A88" s="110"/>
      <c r="B88" s="13"/>
      <c r="D88" s="13" t="s">
        <v>98</v>
      </c>
      <c r="E88" s="40">
        <v>0</v>
      </c>
      <c r="F88" s="40">
        <v>50</v>
      </c>
      <c r="G88"/>
      <c r="H88"/>
      <c r="I88"/>
    </row>
    <row r="89" spans="1:9" ht="15">
      <c r="A89" s="110"/>
      <c r="B89" s="13"/>
      <c r="D89" s="13" t="s">
        <v>83</v>
      </c>
      <c r="E89" s="40">
        <v>0</v>
      </c>
      <c r="F89" s="40">
        <v>2800</v>
      </c>
      <c r="G89"/>
      <c r="H89"/>
      <c r="I89"/>
    </row>
    <row r="90" spans="1:9" ht="15">
      <c r="A90" s="110"/>
      <c r="B90" s="13"/>
      <c r="D90" s="13" t="s">
        <v>84</v>
      </c>
      <c r="E90" s="40">
        <v>0</v>
      </c>
      <c r="F90" s="40">
        <v>360</v>
      </c>
      <c r="G90"/>
      <c r="H90"/>
      <c r="I90"/>
    </row>
    <row r="91" spans="1:9" ht="15">
      <c r="A91" s="110"/>
      <c r="B91" s="13"/>
      <c r="D91" s="13" t="s">
        <v>92</v>
      </c>
      <c r="E91" s="40">
        <v>0</v>
      </c>
      <c r="F91" s="40">
        <v>380</v>
      </c>
      <c r="G91"/>
      <c r="H91"/>
      <c r="I91"/>
    </row>
    <row r="92" spans="1:9" ht="15">
      <c r="A92" s="110"/>
      <c r="B92" s="13"/>
      <c r="D92" s="13" t="s">
        <v>71</v>
      </c>
      <c r="E92" s="40">
        <v>0</v>
      </c>
      <c r="F92" s="40">
        <v>800</v>
      </c>
      <c r="G92"/>
      <c r="H92"/>
      <c r="I92"/>
    </row>
    <row r="93" spans="1:9" ht="15">
      <c r="A93" s="110" t="s">
        <v>175</v>
      </c>
      <c r="B93" s="13" t="s">
        <v>161</v>
      </c>
      <c r="E93" s="40"/>
      <c r="F93" s="40"/>
      <c r="G93"/>
      <c r="H93"/>
      <c r="I93"/>
    </row>
    <row r="94" spans="1:9" ht="15">
      <c r="A94" s="110"/>
      <c r="B94" s="13"/>
      <c r="C94" s="13">
        <v>50</v>
      </c>
      <c r="D94" s="13" t="s">
        <v>47</v>
      </c>
      <c r="E94" s="40">
        <v>50</v>
      </c>
      <c r="F94" s="40">
        <v>0</v>
      </c>
      <c r="G94"/>
      <c r="H94"/>
      <c r="I94"/>
    </row>
    <row r="95" spans="1:9" ht="15">
      <c r="A95" s="110"/>
      <c r="B95" s="13"/>
      <c r="C95" s="13">
        <v>210</v>
      </c>
      <c r="D95" s="13" t="s">
        <v>47</v>
      </c>
      <c r="E95" s="40">
        <v>210</v>
      </c>
      <c r="F95" s="40">
        <v>0</v>
      </c>
      <c r="G95"/>
      <c r="H95"/>
      <c r="I95"/>
    </row>
    <row r="96" spans="1:9" ht="15">
      <c r="A96" s="110"/>
      <c r="B96" s="13"/>
      <c r="C96" s="13">
        <v>1700</v>
      </c>
      <c r="D96" s="13" t="s">
        <v>47</v>
      </c>
      <c r="E96" s="40">
        <v>1700</v>
      </c>
      <c r="F96" s="40">
        <v>0</v>
      </c>
      <c r="G96"/>
      <c r="H96"/>
      <c r="I96"/>
    </row>
    <row r="97" spans="1:9" ht="15">
      <c r="A97" s="110"/>
      <c r="B97" s="13"/>
      <c r="C97" s="13">
        <v>1960</v>
      </c>
      <c r="D97" s="13" t="s">
        <v>48</v>
      </c>
      <c r="E97" s="40">
        <v>1960</v>
      </c>
      <c r="F97" s="40">
        <v>0</v>
      </c>
      <c r="G97"/>
      <c r="H97"/>
      <c r="I97"/>
    </row>
    <row r="98" spans="1:9" ht="15">
      <c r="A98" s="110"/>
      <c r="B98" s="13"/>
      <c r="C98" s="13" t="s">
        <v>158</v>
      </c>
      <c r="D98" s="13" t="s">
        <v>47</v>
      </c>
      <c r="E98" s="40">
        <v>0</v>
      </c>
      <c r="F98" s="40">
        <v>1960</v>
      </c>
      <c r="G98"/>
      <c r="H98"/>
      <c r="I98"/>
    </row>
    <row r="99" spans="1:9" ht="15">
      <c r="A99" s="110"/>
      <c r="B99" s="13"/>
      <c r="D99" s="13" t="s">
        <v>98</v>
      </c>
      <c r="E99" s="40">
        <v>0</v>
      </c>
      <c r="F99" s="40">
        <v>50</v>
      </c>
      <c r="G99"/>
      <c r="H99"/>
      <c r="I99"/>
    </row>
    <row r="100" spans="1:9" ht="15">
      <c r="A100" s="110"/>
      <c r="B100" s="13"/>
      <c r="D100" s="13" t="s">
        <v>83</v>
      </c>
      <c r="E100" s="40">
        <v>0</v>
      </c>
      <c r="F100" s="40">
        <v>1700</v>
      </c>
      <c r="G100"/>
      <c r="H100"/>
      <c r="I100"/>
    </row>
    <row r="101" spans="1:9" ht="15">
      <c r="A101" s="110"/>
      <c r="B101" s="13"/>
      <c r="D101" s="13" t="s">
        <v>92</v>
      </c>
      <c r="E101" s="40">
        <v>0</v>
      </c>
      <c r="F101" s="40">
        <v>210</v>
      </c>
      <c r="G101"/>
      <c r="H101"/>
      <c r="I101"/>
    </row>
    <row r="102" spans="1:9" ht="15">
      <c r="A102" s="110" t="s">
        <v>176</v>
      </c>
      <c r="B102" s="13" t="s">
        <v>161</v>
      </c>
      <c r="E102" s="40"/>
      <c r="F102" s="40"/>
      <c r="G102"/>
      <c r="H102"/>
      <c r="I102"/>
    </row>
    <row r="103" spans="1:9" ht="15">
      <c r="A103" s="110"/>
      <c r="B103" s="13"/>
      <c r="C103" s="13">
        <v>100</v>
      </c>
      <c r="D103" s="13" t="s">
        <v>47</v>
      </c>
      <c r="E103" s="40">
        <v>200</v>
      </c>
      <c r="F103" s="40">
        <v>0</v>
      </c>
      <c r="G103"/>
      <c r="H103"/>
      <c r="I103"/>
    </row>
    <row r="104" spans="1:9" ht="15">
      <c r="A104" s="110"/>
      <c r="B104" s="13"/>
      <c r="C104" s="13">
        <v>400</v>
      </c>
      <c r="D104" s="13" t="s">
        <v>47</v>
      </c>
      <c r="E104" s="40">
        <v>400</v>
      </c>
      <c r="F104" s="40">
        <v>0</v>
      </c>
      <c r="G104"/>
      <c r="H104"/>
      <c r="I104"/>
    </row>
    <row r="105" spans="1:9" ht="15">
      <c r="A105" s="110"/>
      <c r="B105" s="13"/>
      <c r="C105" s="13">
        <v>480</v>
      </c>
      <c r="D105" s="13" t="s">
        <v>47</v>
      </c>
      <c r="E105" s="40">
        <v>480</v>
      </c>
      <c r="F105" s="40">
        <v>0</v>
      </c>
      <c r="G105"/>
      <c r="H105"/>
      <c r="I105"/>
    </row>
    <row r="106" spans="1:9" ht="15">
      <c r="A106" s="110"/>
      <c r="B106" s="13"/>
      <c r="C106" s="13">
        <v>2500</v>
      </c>
      <c r="D106" s="13" t="s">
        <v>47</v>
      </c>
      <c r="E106" s="40">
        <v>2500</v>
      </c>
      <c r="F106" s="40">
        <v>0</v>
      </c>
      <c r="G106"/>
      <c r="H106"/>
      <c r="I106"/>
    </row>
    <row r="107" spans="1:9" ht="15">
      <c r="A107" s="110"/>
      <c r="B107" s="13"/>
      <c r="C107" s="13">
        <v>3580</v>
      </c>
      <c r="D107" s="13" t="s">
        <v>48</v>
      </c>
      <c r="E107" s="40">
        <v>3580</v>
      </c>
      <c r="F107" s="40">
        <v>0</v>
      </c>
      <c r="G107"/>
      <c r="H107"/>
      <c r="I107"/>
    </row>
    <row r="108" spans="1:9" ht="15">
      <c r="A108" s="110"/>
      <c r="B108" s="13"/>
      <c r="C108" s="13" t="s">
        <v>158</v>
      </c>
      <c r="D108" s="13" t="s">
        <v>47</v>
      </c>
      <c r="E108" s="40">
        <v>0</v>
      </c>
      <c r="F108" s="40">
        <v>3580</v>
      </c>
      <c r="G108"/>
      <c r="H108"/>
      <c r="I108"/>
    </row>
    <row r="109" spans="1:9" ht="15">
      <c r="A109" s="110"/>
      <c r="B109" s="13"/>
      <c r="D109" s="13" t="s">
        <v>98</v>
      </c>
      <c r="E109" s="40">
        <v>0</v>
      </c>
      <c r="F109" s="40">
        <v>100</v>
      </c>
      <c r="G109"/>
      <c r="H109"/>
      <c r="I109"/>
    </row>
    <row r="110" spans="1:9" ht="15">
      <c r="A110" s="110"/>
      <c r="B110" s="13"/>
      <c r="D110" s="13" t="s">
        <v>83</v>
      </c>
      <c r="E110" s="40">
        <v>0</v>
      </c>
      <c r="F110" s="40">
        <v>2500</v>
      </c>
      <c r="G110"/>
      <c r="H110"/>
      <c r="I110"/>
    </row>
    <row r="111" spans="1:9" ht="15">
      <c r="A111" s="110"/>
      <c r="B111" s="13"/>
      <c r="D111" s="13" t="s">
        <v>92</v>
      </c>
      <c r="E111" s="40">
        <v>0</v>
      </c>
      <c r="F111" s="40">
        <v>400</v>
      </c>
      <c r="G111"/>
      <c r="H111"/>
      <c r="I111"/>
    </row>
    <row r="112" spans="1:9" ht="15">
      <c r="A112" s="110"/>
      <c r="B112" s="13"/>
      <c r="D112" s="13" t="s">
        <v>85</v>
      </c>
      <c r="E112" s="40">
        <v>0</v>
      </c>
      <c r="F112" s="40">
        <v>480</v>
      </c>
      <c r="G112"/>
      <c r="H112"/>
      <c r="I112"/>
    </row>
    <row r="113" spans="1:9" ht="15">
      <c r="A113" s="110"/>
      <c r="B113" s="13"/>
      <c r="D113" s="13" t="s">
        <v>87</v>
      </c>
      <c r="E113" s="40">
        <v>0</v>
      </c>
      <c r="F113" s="40">
        <v>100</v>
      </c>
      <c r="G113"/>
      <c r="H113"/>
      <c r="I113"/>
    </row>
    <row r="114" spans="1:9" ht="15">
      <c r="A114" s="110" t="s">
        <v>177</v>
      </c>
      <c r="B114" s="13" t="s">
        <v>161</v>
      </c>
      <c r="E114" s="40"/>
      <c r="F114" s="40"/>
      <c r="G114"/>
      <c r="H114"/>
      <c r="I114"/>
    </row>
    <row r="115" spans="1:9" ht="15">
      <c r="A115" s="110"/>
      <c r="B115" s="13"/>
      <c r="C115" s="13">
        <v>10</v>
      </c>
      <c r="D115" s="13" t="s">
        <v>47</v>
      </c>
      <c r="E115" s="40">
        <v>10</v>
      </c>
      <c r="F115" s="40">
        <v>0</v>
      </c>
      <c r="G115"/>
      <c r="H115"/>
      <c r="I115"/>
    </row>
    <row r="116" spans="1:9" ht="15">
      <c r="A116" s="110"/>
      <c r="B116" s="13"/>
      <c r="C116" s="13">
        <v>170</v>
      </c>
      <c r="D116" s="13" t="s">
        <v>47</v>
      </c>
      <c r="E116" s="40">
        <v>170</v>
      </c>
      <c r="F116" s="40">
        <v>0</v>
      </c>
      <c r="G116"/>
      <c r="H116"/>
      <c r="I116"/>
    </row>
    <row r="117" spans="1:9" ht="15">
      <c r="A117" s="110"/>
      <c r="B117" s="13"/>
      <c r="C117" s="13">
        <v>180</v>
      </c>
      <c r="D117" s="13" t="s">
        <v>47</v>
      </c>
      <c r="E117" s="40">
        <v>180</v>
      </c>
      <c r="F117" s="40">
        <v>0</v>
      </c>
      <c r="G117"/>
      <c r="H117"/>
      <c r="I117"/>
    </row>
    <row r="118" spans="1:9" ht="15">
      <c r="A118" s="110"/>
      <c r="B118" s="13"/>
      <c r="C118" s="13">
        <v>500</v>
      </c>
      <c r="D118" s="13" t="s">
        <v>47</v>
      </c>
      <c r="E118" s="40">
        <v>500</v>
      </c>
      <c r="F118" s="40">
        <v>0</v>
      </c>
      <c r="G118"/>
      <c r="H118"/>
      <c r="I118"/>
    </row>
    <row r="119" spans="1:9" ht="15">
      <c r="A119" s="110"/>
      <c r="B119" s="13"/>
      <c r="C119" s="13">
        <v>510</v>
      </c>
      <c r="D119" s="13" t="s">
        <v>48</v>
      </c>
      <c r="E119" s="40">
        <v>510</v>
      </c>
      <c r="F119" s="40">
        <v>0</v>
      </c>
      <c r="G119"/>
      <c r="H119"/>
      <c r="I119"/>
    </row>
    <row r="120" spans="1:9" ht="15">
      <c r="A120" s="110"/>
      <c r="B120" s="13"/>
      <c r="C120" s="13">
        <v>600</v>
      </c>
      <c r="D120" s="13" t="s">
        <v>47</v>
      </c>
      <c r="E120" s="40">
        <v>600</v>
      </c>
      <c r="F120" s="40">
        <v>0</v>
      </c>
      <c r="G120"/>
      <c r="H120"/>
      <c r="I120"/>
    </row>
    <row r="121" spans="1:9" ht="15">
      <c r="A121" s="110"/>
      <c r="B121" s="13"/>
      <c r="D121" s="13" t="s">
        <v>48</v>
      </c>
      <c r="E121" s="40">
        <v>600</v>
      </c>
      <c r="F121" s="40">
        <v>0</v>
      </c>
      <c r="G121"/>
      <c r="H121"/>
      <c r="I121"/>
    </row>
    <row r="122" spans="1:9" ht="15">
      <c r="A122" s="110"/>
      <c r="B122" s="13"/>
      <c r="C122" s="13">
        <v>1200</v>
      </c>
      <c r="D122" s="13" t="s">
        <v>47</v>
      </c>
      <c r="E122" s="40">
        <v>1200</v>
      </c>
      <c r="F122" s="40">
        <v>0</v>
      </c>
      <c r="G122"/>
      <c r="H122"/>
      <c r="I122"/>
    </row>
    <row r="123" spans="1:9" ht="15">
      <c r="A123" s="110"/>
      <c r="B123" s="13"/>
      <c r="C123" s="13">
        <v>1550</v>
      </c>
      <c r="D123" s="13" t="s">
        <v>48</v>
      </c>
      <c r="E123" s="40">
        <v>1550</v>
      </c>
      <c r="F123" s="40">
        <v>0</v>
      </c>
      <c r="G123"/>
      <c r="H123"/>
      <c r="I123"/>
    </row>
    <row r="124" spans="1:9" ht="15">
      <c r="A124" s="110"/>
      <c r="B124" s="13"/>
      <c r="C124" s="13" t="s">
        <v>158</v>
      </c>
      <c r="D124" s="13" t="s">
        <v>47</v>
      </c>
      <c r="E124" s="40">
        <v>0</v>
      </c>
      <c r="F124" s="40">
        <v>2660</v>
      </c>
      <c r="G124"/>
      <c r="H124"/>
      <c r="I124"/>
    </row>
    <row r="125" spans="1:9" ht="15">
      <c r="A125" s="110"/>
      <c r="B125" s="13"/>
      <c r="D125" s="13" t="s">
        <v>83</v>
      </c>
      <c r="E125" s="40">
        <v>0</v>
      </c>
      <c r="F125" s="40">
        <v>1700</v>
      </c>
      <c r="G125"/>
      <c r="H125"/>
      <c r="I125"/>
    </row>
    <row r="126" spans="1:9" ht="15">
      <c r="A126" s="110"/>
      <c r="B126" s="13"/>
      <c r="D126" s="13" t="s">
        <v>84</v>
      </c>
      <c r="E126" s="40">
        <v>0</v>
      </c>
      <c r="F126" s="40">
        <v>180</v>
      </c>
      <c r="G126"/>
      <c r="H126"/>
      <c r="I126"/>
    </row>
    <row r="127" spans="1:9" ht="15">
      <c r="A127" s="110"/>
      <c r="B127" s="13"/>
      <c r="D127" s="13" t="s">
        <v>92</v>
      </c>
      <c r="E127" s="40">
        <v>0</v>
      </c>
      <c r="F127" s="40">
        <v>180</v>
      </c>
      <c r="G127"/>
      <c r="H127"/>
      <c r="I127"/>
    </row>
    <row r="128" spans="1:9" ht="15">
      <c r="A128" s="110"/>
      <c r="B128" s="13"/>
      <c r="D128" s="13" t="s">
        <v>71</v>
      </c>
      <c r="E128" s="40">
        <v>0</v>
      </c>
      <c r="F128" s="40">
        <v>600</v>
      </c>
      <c r="G128"/>
      <c r="H128"/>
      <c r="I128"/>
    </row>
    <row r="129" spans="1:9" ht="15">
      <c r="A129" s="110" t="s">
        <v>178</v>
      </c>
      <c r="B129" s="13" t="s">
        <v>161</v>
      </c>
      <c r="E129" s="40"/>
      <c r="F129" s="40"/>
      <c r="G129"/>
      <c r="H129"/>
      <c r="I129"/>
    </row>
    <row r="130" spans="1:9" ht="15">
      <c r="A130" s="110"/>
      <c r="B130" s="13"/>
      <c r="C130" s="13">
        <v>90</v>
      </c>
      <c r="D130" s="13" t="s">
        <v>47</v>
      </c>
      <c r="E130" s="40">
        <v>90</v>
      </c>
      <c r="F130" s="40">
        <v>0</v>
      </c>
      <c r="G130"/>
      <c r="H130"/>
      <c r="I130"/>
    </row>
    <row r="131" spans="1:9" ht="15">
      <c r="A131" s="110"/>
      <c r="B131" s="13"/>
      <c r="C131" s="13">
        <v>260</v>
      </c>
      <c r="D131" s="13" t="s">
        <v>47</v>
      </c>
      <c r="E131" s="40">
        <v>260</v>
      </c>
      <c r="F131" s="40">
        <v>0</v>
      </c>
      <c r="G131"/>
      <c r="H131"/>
      <c r="I131"/>
    </row>
    <row r="132" spans="1:9" ht="15">
      <c r="A132" s="110"/>
      <c r="B132" s="13"/>
      <c r="C132" s="13">
        <v>900</v>
      </c>
      <c r="D132" s="13" t="s">
        <v>47</v>
      </c>
      <c r="E132" s="40">
        <v>900</v>
      </c>
      <c r="F132" s="40">
        <v>0</v>
      </c>
      <c r="G132"/>
      <c r="H132"/>
      <c r="I132"/>
    </row>
    <row r="133" spans="1:9" ht="15">
      <c r="A133" s="110"/>
      <c r="B133" s="13"/>
      <c r="C133" s="13">
        <v>1100</v>
      </c>
      <c r="D133" s="13" t="s">
        <v>47</v>
      </c>
      <c r="E133" s="40">
        <v>1100</v>
      </c>
      <c r="F133" s="40">
        <v>0</v>
      </c>
      <c r="G133"/>
      <c r="H133"/>
      <c r="I133"/>
    </row>
    <row r="134" spans="1:9" ht="15">
      <c r="A134" s="110"/>
      <c r="B134" s="13"/>
      <c r="C134" s="13">
        <v>1190</v>
      </c>
      <c r="D134" s="13" t="s">
        <v>48</v>
      </c>
      <c r="E134" s="40">
        <v>1190</v>
      </c>
      <c r="F134" s="40">
        <v>0</v>
      </c>
      <c r="G134"/>
      <c r="H134"/>
      <c r="I134"/>
    </row>
    <row r="135" spans="1:9" ht="15">
      <c r="A135" s="110"/>
      <c r="B135" s="13"/>
      <c r="C135" s="13">
        <v>1300</v>
      </c>
      <c r="D135" s="13" t="s">
        <v>47</v>
      </c>
      <c r="E135" s="40">
        <v>1300</v>
      </c>
      <c r="F135" s="40">
        <v>0</v>
      </c>
      <c r="G135"/>
      <c r="H135"/>
      <c r="I135"/>
    </row>
    <row r="136" spans="1:9" ht="15">
      <c r="A136" s="110"/>
      <c r="B136" s="13"/>
      <c r="C136" s="13">
        <v>2460</v>
      </c>
      <c r="D136" s="13" t="s">
        <v>48</v>
      </c>
      <c r="E136" s="40">
        <v>2460</v>
      </c>
      <c r="F136" s="40">
        <v>0</v>
      </c>
      <c r="G136"/>
      <c r="H136"/>
      <c r="I136"/>
    </row>
    <row r="137" spans="1:9" ht="15">
      <c r="A137" s="110"/>
      <c r="B137" s="13"/>
      <c r="C137" s="13" t="s">
        <v>158</v>
      </c>
      <c r="D137" s="13" t="s">
        <v>47</v>
      </c>
      <c r="E137" s="40">
        <v>0</v>
      </c>
      <c r="F137" s="40">
        <v>3650</v>
      </c>
      <c r="G137"/>
      <c r="H137"/>
      <c r="I137"/>
    </row>
    <row r="138" spans="1:9" ht="15">
      <c r="A138" s="110"/>
      <c r="B138" s="13"/>
      <c r="D138" s="13" t="s">
        <v>83</v>
      </c>
      <c r="E138" s="40">
        <v>0</v>
      </c>
      <c r="F138" s="40">
        <v>2400</v>
      </c>
      <c r="G138"/>
      <c r="H138"/>
      <c r="I138"/>
    </row>
    <row r="139" spans="1:9" ht="15">
      <c r="A139" s="110"/>
      <c r="B139" s="13"/>
      <c r="D139" s="13" t="s">
        <v>84</v>
      </c>
      <c r="E139" s="40">
        <v>0</v>
      </c>
      <c r="F139" s="40">
        <v>900</v>
      </c>
      <c r="G139"/>
      <c r="H139"/>
      <c r="I139"/>
    </row>
    <row r="140" spans="1:9" ht="15">
      <c r="A140" s="110"/>
      <c r="B140" s="13"/>
      <c r="D140" s="13" t="s">
        <v>92</v>
      </c>
      <c r="E140" s="40">
        <v>0</v>
      </c>
      <c r="F140" s="40">
        <v>350</v>
      </c>
      <c r="G140"/>
      <c r="H140"/>
      <c r="I140"/>
    </row>
    <row r="141" spans="1:9" ht="15">
      <c r="A141" s="110" t="s">
        <v>179</v>
      </c>
      <c r="B141" s="13" t="s">
        <v>161</v>
      </c>
      <c r="E141" s="40"/>
      <c r="F141" s="40"/>
      <c r="G141"/>
      <c r="H141"/>
      <c r="I141"/>
    </row>
    <row r="142" spans="1:9" ht="15">
      <c r="A142" s="110"/>
      <c r="B142" s="13"/>
      <c r="C142" s="13">
        <v>50</v>
      </c>
      <c r="D142" s="13" t="s">
        <v>47</v>
      </c>
      <c r="E142" s="40">
        <v>50</v>
      </c>
      <c r="F142" s="40">
        <v>0</v>
      </c>
      <c r="G142"/>
      <c r="H142"/>
      <c r="I142"/>
    </row>
    <row r="143" spans="1:9" ht="15">
      <c r="A143" s="110"/>
      <c r="B143" s="13"/>
      <c r="C143" s="13">
        <v>150</v>
      </c>
      <c r="D143" s="13" t="s">
        <v>47</v>
      </c>
      <c r="E143" s="40">
        <v>150</v>
      </c>
      <c r="F143" s="40">
        <v>0</v>
      </c>
      <c r="G143"/>
      <c r="H143"/>
      <c r="I143"/>
    </row>
    <row r="144" spans="1:9" ht="15">
      <c r="A144" s="110"/>
      <c r="B144" s="13"/>
      <c r="C144" s="13">
        <v>170</v>
      </c>
      <c r="D144" s="13" t="s">
        <v>47</v>
      </c>
      <c r="E144" s="40">
        <v>170</v>
      </c>
      <c r="F144" s="40">
        <v>0</v>
      </c>
      <c r="G144"/>
      <c r="H144"/>
      <c r="I144"/>
    </row>
    <row r="145" spans="1:9" ht="15">
      <c r="A145" s="110"/>
      <c r="B145" s="13"/>
      <c r="C145" s="13">
        <v>720</v>
      </c>
      <c r="D145" s="13" t="s">
        <v>47</v>
      </c>
      <c r="E145" s="40">
        <v>720</v>
      </c>
      <c r="F145" s="40">
        <v>0</v>
      </c>
      <c r="G145"/>
      <c r="H145"/>
      <c r="I145"/>
    </row>
    <row r="146" spans="1:9" ht="15">
      <c r="A146" s="110"/>
      <c r="B146" s="13"/>
      <c r="C146" s="13">
        <v>800</v>
      </c>
      <c r="D146" s="13" t="s">
        <v>47</v>
      </c>
      <c r="E146" s="40">
        <v>800</v>
      </c>
      <c r="F146" s="40">
        <v>0</v>
      </c>
      <c r="G146"/>
      <c r="H146"/>
      <c r="I146"/>
    </row>
    <row r="147" spans="1:9" ht="15">
      <c r="A147" s="110"/>
      <c r="B147" s="13"/>
      <c r="C147" s="13">
        <v>900</v>
      </c>
      <c r="D147" s="13" t="s">
        <v>47</v>
      </c>
      <c r="E147" s="40">
        <v>1800</v>
      </c>
      <c r="F147" s="40">
        <v>0</v>
      </c>
      <c r="G147"/>
      <c r="H147"/>
      <c r="I147"/>
    </row>
    <row r="148" spans="1:9" ht="15">
      <c r="A148" s="110"/>
      <c r="B148" s="13"/>
      <c r="C148" s="13">
        <v>1840</v>
      </c>
      <c r="D148" s="13" t="s">
        <v>48</v>
      </c>
      <c r="E148" s="40">
        <v>1840</v>
      </c>
      <c r="F148" s="40">
        <v>0</v>
      </c>
      <c r="G148"/>
      <c r="H148"/>
      <c r="I148"/>
    </row>
    <row r="149" spans="1:9" ht="15">
      <c r="A149" s="110"/>
      <c r="B149" s="13"/>
      <c r="C149" s="13">
        <v>1850</v>
      </c>
      <c r="D149" s="13" t="s">
        <v>48</v>
      </c>
      <c r="E149" s="40">
        <v>1850</v>
      </c>
      <c r="F149" s="40">
        <v>0</v>
      </c>
      <c r="G149"/>
      <c r="H149"/>
      <c r="I149"/>
    </row>
    <row r="150" spans="1:9" ht="15">
      <c r="A150" s="110"/>
      <c r="B150" s="13"/>
      <c r="C150" s="13" t="s">
        <v>158</v>
      </c>
      <c r="D150" s="13" t="s">
        <v>47</v>
      </c>
      <c r="E150" s="40">
        <v>0</v>
      </c>
      <c r="F150" s="40">
        <v>3690</v>
      </c>
      <c r="G150"/>
      <c r="H150"/>
      <c r="I150"/>
    </row>
    <row r="151" spans="1:9" ht="15">
      <c r="A151" s="110"/>
      <c r="B151" s="13"/>
      <c r="D151" s="13" t="s">
        <v>98</v>
      </c>
      <c r="E151" s="40">
        <v>0</v>
      </c>
      <c r="F151" s="40">
        <v>50</v>
      </c>
      <c r="G151"/>
      <c r="H151"/>
      <c r="I151"/>
    </row>
    <row r="152" spans="1:9" ht="15">
      <c r="A152" s="110"/>
      <c r="B152" s="13"/>
      <c r="D152" s="13" t="s">
        <v>83</v>
      </c>
      <c r="E152" s="40">
        <v>0</v>
      </c>
      <c r="F152" s="40">
        <v>1700</v>
      </c>
      <c r="G152"/>
      <c r="H152"/>
      <c r="I152"/>
    </row>
    <row r="153" spans="1:9" ht="15">
      <c r="A153" s="110"/>
      <c r="B153" s="13"/>
      <c r="D153" s="13" t="s">
        <v>84</v>
      </c>
      <c r="E153" s="40">
        <v>0</v>
      </c>
      <c r="F153" s="40">
        <v>1620</v>
      </c>
      <c r="G153"/>
      <c r="H153"/>
      <c r="I153"/>
    </row>
    <row r="154" spans="1:9" ht="15">
      <c r="A154" s="110"/>
      <c r="B154" s="13"/>
      <c r="D154" s="13" t="s">
        <v>92</v>
      </c>
      <c r="E154" s="40">
        <v>0</v>
      </c>
      <c r="F154" s="40">
        <v>320</v>
      </c>
      <c r="G154"/>
      <c r="H154"/>
      <c r="I154"/>
    </row>
    <row r="155" spans="1:9" ht="15">
      <c r="A155" s="110" t="s">
        <v>180</v>
      </c>
      <c r="B155" s="13" t="s">
        <v>161</v>
      </c>
      <c r="E155" s="40"/>
      <c r="F155" s="40"/>
      <c r="G155"/>
      <c r="H155"/>
      <c r="I155"/>
    </row>
    <row r="156" spans="1:9" ht="15">
      <c r="A156" s="110"/>
      <c r="B156" s="13"/>
      <c r="C156" s="13">
        <v>100</v>
      </c>
      <c r="D156" s="13" t="s">
        <v>47</v>
      </c>
      <c r="E156" s="40">
        <v>100</v>
      </c>
      <c r="F156" s="40">
        <v>0</v>
      </c>
      <c r="G156"/>
      <c r="H156"/>
      <c r="I156"/>
    </row>
    <row r="157" spans="1:9" ht="15">
      <c r="A157" s="110"/>
      <c r="B157" s="13"/>
      <c r="C157" s="13">
        <v>260</v>
      </c>
      <c r="D157" s="13" t="s">
        <v>47</v>
      </c>
      <c r="E157" s="40">
        <v>260</v>
      </c>
      <c r="F157" s="40">
        <v>0</v>
      </c>
      <c r="G157"/>
      <c r="H157"/>
      <c r="I157"/>
    </row>
    <row r="158" spans="1:9" ht="15">
      <c r="A158" s="110"/>
      <c r="B158" s="13"/>
      <c r="C158" s="13">
        <v>360</v>
      </c>
      <c r="D158" s="13" t="s">
        <v>47</v>
      </c>
      <c r="E158" s="40">
        <v>360</v>
      </c>
      <c r="F158" s="40">
        <v>0</v>
      </c>
      <c r="G158"/>
      <c r="H158"/>
      <c r="I158"/>
    </row>
    <row r="159" spans="1:9" ht="15">
      <c r="A159" s="110"/>
      <c r="B159" s="13"/>
      <c r="C159" s="13">
        <v>1000</v>
      </c>
      <c r="D159" s="13" t="s">
        <v>47</v>
      </c>
      <c r="E159" s="40">
        <v>1000</v>
      </c>
      <c r="F159" s="40">
        <v>0</v>
      </c>
      <c r="G159"/>
      <c r="H159"/>
      <c r="I159"/>
    </row>
    <row r="160" spans="1:9" ht="15">
      <c r="A160" s="110"/>
      <c r="B160" s="13"/>
      <c r="C160" s="13">
        <v>1100</v>
      </c>
      <c r="D160" s="13" t="s">
        <v>48</v>
      </c>
      <c r="E160" s="40">
        <v>1100</v>
      </c>
      <c r="F160" s="40">
        <v>0</v>
      </c>
      <c r="G160"/>
      <c r="H160"/>
      <c r="I160"/>
    </row>
    <row r="161" spans="1:9" ht="15">
      <c r="A161" s="110"/>
      <c r="B161" s="13"/>
      <c r="C161" s="13">
        <v>2000</v>
      </c>
      <c r="D161" s="13" t="s">
        <v>47</v>
      </c>
      <c r="E161" s="40">
        <v>2000</v>
      </c>
      <c r="F161" s="40">
        <v>0</v>
      </c>
      <c r="G161"/>
      <c r="H161"/>
      <c r="I161"/>
    </row>
    <row r="162" spans="1:9" ht="15">
      <c r="A162" s="110"/>
      <c r="B162" s="13"/>
      <c r="C162" s="13">
        <v>2620</v>
      </c>
      <c r="D162" s="13" t="s">
        <v>48</v>
      </c>
      <c r="E162" s="40">
        <v>2620</v>
      </c>
      <c r="F162" s="40">
        <v>0</v>
      </c>
      <c r="G162"/>
      <c r="H162"/>
      <c r="I162"/>
    </row>
    <row r="163" spans="1:9" ht="15">
      <c r="A163" s="110"/>
      <c r="B163" s="13"/>
      <c r="C163" s="13" t="s">
        <v>158</v>
      </c>
      <c r="D163" s="13" t="s">
        <v>47</v>
      </c>
      <c r="E163" s="40">
        <v>0</v>
      </c>
      <c r="F163" s="40">
        <v>3720</v>
      </c>
      <c r="G163"/>
      <c r="H163"/>
      <c r="I163"/>
    </row>
    <row r="164" spans="1:9" ht="15">
      <c r="A164" s="110"/>
      <c r="B164" s="13"/>
      <c r="D164" s="13" t="s">
        <v>83</v>
      </c>
      <c r="E164" s="40">
        <v>0</v>
      </c>
      <c r="F164" s="40">
        <v>3000</v>
      </c>
      <c r="G164"/>
      <c r="H164"/>
      <c r="I164"/>
    </row>
    <row r="165" spans="1:9" ht="15">
      <c r="A165" s="110"/>
      <c r="B165" s="13"/>
      <c r="D165" s="13" t="s">
        <v>84</v>
      </c>
      <c r="E165" s="40">
        <v>0</v>
      </c>
      <c r="F165" s="40">
        <v>360</v>
      </c>
      <c r="G165"/>
      <c r="H165"/>
      <c r="I165"/>
    </row>
    <row r="166" spans="1:9" ht="15">
      <c r="A166" s="110"/>
      <c r="B166" s="13"/>
      <c r="D166" s="13" t="s">
        <v>92</v>
      </c>
      <c r="E166" s="40">
        <v>0</v>
      </c>
      <c r="F166" s="40">
        <v>360</v>
      </c>
      <c r="G166"/>
      <c r="H166"/>
      <c r="I166"/>
    </row>
    <row r="167" spans="1:9" ht="15">
      <c r="A167" s="110" t="s">
        <v>181</v>
      </c>
      <c r="B167" s="13" t="s">
        <v>161</v>
      </c>
      <c r="E167" s="40"/>
      <c r="F167" s="40"/>
      <c r="G167"/>
      <c r="H167"/>
      <c r="I167"/>
    </row>
    <row r="168" spans="1:9" ht="15">
      <c r="A168" s="110"/>
      <c r="B168" s="13"/>
      <c r="C168" s="13">
        <v>40</v>
      </c>
      <c r="D168" s="13" t="s">
        <v>47</v>
      </c>
      <c r="E168" s="40">
        <v>40</v>
      </c>
      <c r="F168" s="40">
        <v>0</v>
      </c>
      <c r="G168"/>
      <c r="H168"/>
      <c r="I168"/>
    </row>
    <row r="169" spans="1:9" ht="15">
      <c r="A169" s="110"/>
      <c r="B169" s="13"/>
      <c r="C169" s="13">
        <v>310</v>
      </c>
      <c r="D169" s="13" t="s">
        <v>47</v>
      </c>
      <c r="E169" s="40">
        <v>310</v>
      </c>
      <c r="F169" s="40">
        <v>0</v>
      </c>
      <c r="G169"/>
      <c r="H169"/>
      <c r="I169"/>
    </row>
    <row r="170" spans="1:9" ht="15">
      <c r="A170" s="110"/>
      <c r="B170" s="13"/>
      <c r="C170" s="13">
        <v>360</v>
      </c>
      <c r="D170" s="13" t="s">
        <v>47</v>
      </c>
      <c r="E170" s="40">
        <v>360</v>
      </c>
      <c r="F170" s="40">
        <v>0</v>
      </c>
      <c r="G170"/>
      <c r="H170"/>
      <c r="I170"/>
    </row>
    <row r="171" spans="1:9" ht="15">
      <c r="A171" s="110"/>
      <c r="B171" s="13"/>
      <c r="C171" s="13">
        <v>800</v>
      </c>
      <c r="D171" s="13" t="s">
        <v>47</v>
      </c>
      <c r="E171" s="40">
        <v>1600</v>
      </c>
      <c r="F171" s="40">
        <v>0</v>
      </c>
      <c r="G171"/>
      <c r="H171"/>
      <c r="I171"/>
    </row>
    <row r="172" spans="1:9" ht="15">
      <c r="A172" s="110"/>
      <c r="B172" s="13"/>
      <c r="D172" s="13" t="s">
        <v>48</v>
      </c>
      <c r="E172" s="40">
        <v>800</v>
      </c>
      <c r="F172" s="40">
        <v>0</v>
      </c>
      <c r="G172"/>
      <c r="H172"/>
      <c r="I172"/>
    </row>
    <row r="173" spans="1:9" ht="15">
      <c r="A173" s="110"/>
      <c r="B173" s="13"/>
      <c r="C173" s="13">
        <v>840</v>
      </c>
      <c r="D173" s="13" t="s">
        <v>48</v>
      </c>
      <c r="E173" s="40">
        <v>840</v>
      </c>
      <c r="F173" s="40">
        <v>0</v>
      </c>
      <c r="G173"/>
      <c r="H173"/>
      <c r="I173"/>
    </row>
    <row r="174" spans="1:9" ht="15">
      <c r="A174" s="110"/>
      <c r="B174" s="13"/>
      <c r="C174" s="13">
        <v>1800</v>
      </c>
      <c r="D174" s="13" t="s">
        <v>47</v>
      </c>
      <c r="E174" s="40">
        <v>1800</v>
      </c>
      <c r="F174" s="40">
        <v>0</v>
      </c>
      <c r="G174"/>
      <c r="H174"/>
      <c r="I174"/>
    </row>
    <row r="175" spans="1:9" ht="15">
      <c r="A175" s="110"/>
      <c r="B175" s="13"/>
      <c r="C175" s="13">
        <v>2470</v>
      </c>
      <c r="D175" s="13" t="s">
        <v>48</v>
      </c>
      <c r="E175" s="40">
        <v>2470</v>
      </c>
      <c r="F175" s="40">
        <v>0</v>
      </c>
      <c r="G175"/>
      <c r="H175"/>
      <c r="I175"/>
    </row>
    <row r="176" spans="1:9" ht="15">
      <c r="A176" s="110"/>
      <c r="B176" s="13"/>
      <c r="C176" s="13" t="s">
        <v>158</v>
      </c>
      <c r="D176" s="13" t="s">
        <v>47</v>
      </c>
      <c r="E176" s="40">
        <v>0</v>
      </c>
      <c r="F176" s="40">
        <v>4110</v>
      </c>
      <c r="G176"/>
      <c r="H176"/>
      <c r="I176"/>
    </row>
    <row r="177" spans="1:9" ht="15">
      <c r="A177" s="110"/>
      <c r="B177" s="13"/>
      <c r="D177" s="13" t="s">
        <v>83</v>
      </c>
      <c r="E177" s="40">
        <v>0</v>
      </c>
      <c r="F177" s="40">
        <v>2600</v>
      </c>
      <c r="G177"/>
      <c r="H177"/>
      <c r="I177"/>
    </row>
    <row r="178" spans="1:9" ht="15">
      <c r="A178" s="110"/>
      <c r="B178" s="13"/>
      <c r="D178" s="13" t="s">
        <v>84</v>
      </c>
      <c r="E178" s="40">
        <v>0</v>
      </c>
      <c r="F178" s="40">
        <v>360</v>
      </c>
      <c r="G178"/>
      <c r="H178"/>
      <c r="I178"/>
    </row>
    <row r="179" spans="1:9" ht="15">
      <c r="A179" s="110"/>
      <c r="B179" s="13"/>
      <c r="D179" s="13" t="s">
        <v>92</v>
      </c>
      <c r="E179" s="40">
        <v>0</v>
      </c>
      <c r="F179" s="40">
        <v>350</v>
      </c>
      <c r="G179"/>
      <c r="H179"/>
      <c r="I179"/>
    </row>
    <row r="180" spans="1:9" ht="15">
      <c r="A180" s="110"/>
      <c r="B180" s="13"/>
      <c r="D180" s="13" t="s">
        <v>71</v>
      </c>
      <c r="E180" s="40">
        <v>0</v>
      </c>
      <c r="F180" s="40">
        <v>800</v>
      </c>
      <c r="G180"/>
      <c r="H180"/>
      <c r="I180"/>
    </row>
    <row r="181" spans="1:9" ht="15">
      <c r="A181" s="110" t="s">
        <v>182</v>
      </c>
      <c r="B181" s="13" t="s">
        <v>161</v>
      </c>
      <c r="E181" s="40"/>
      <c r="F181" s="40"/>
      <c r="G181"/>
      <c r="H181"/>
      <c r="I181"/>
    </row>
    <row r="182" spans="1:9" ht="15">
      <c r="A182" s="110"/>
      <c r="B182" s="13"/>
      <c r="C182" s="13">
        <v>50</v>
      </c>
      <c r="D182" s="13" t="s">
        <v>47</v>
      </c>
      <c r="E182" s="40">
        <v>100</v>
      </c>
      <c r="F182" s="40">
        <v>0</v>
      </c>
      <c r="G182"/>
      <c r="H182"/>
      <c r="I182"/>
    </row>
    <row r="183" spans="1:9" ht="15">
      <c r="A183" s="110"/>
      <c r="B183" s="13"/>
      <c r="C183" s="13">
        <v>350</v>
      </c>
      <c r="D183" s="13" t="s">
        <v>47</v>
      </c>
      <c r="E183" s="40">
        <v>350</v>
      </c>
      <c r="F183" s="40">
        <v>0</v>
      </c>
      <c r="G183"/>
      <c r="H183"/>
      <c r="I183"/>
    </row>
    <row r="184" spans="1:9" ht="15">
      <c r="A184" s="110"/>
      <c r="B184" s="13"/>
      <c r="C184" s="13">
        <v>720</v>
      </c>
      <c r="D184" s="13" t="s">
        <v>47</v>
      </c>
      <c r="E184" s="40">
        <v>720</v>
      </c>
      <c r="F184" s="40">
        <v>0</v>
      </c>
      <c r="G184"/>
      <c r="H184"/>
      <c r="I184"/>
    </row>
    <row r="185" spans="1:9" ht="15">
      <c r="A185" s="110"/>
      <c r="B185" s="13"/>
      <c r="C185" s="13">
        <v>2100</v>
      </c>
      <c r="D185" s="13" t="s">
        <v>47</v>
      </c>
      <c r="E185" s="40">
        <v>2100</v>
      </c>
      <c r="F185" s="40">
        <v>0</v>
      </c>
      <c r="G185"/>
      <c r="H185"/>
      <c r="I185"/>
    </row>
    <row r="186" spans="1:9" ht="15">
      <c r="A186" s="110"/>
      <c r="B186" s="13"/>
      <c r="C186" s="13">
        <v>3270</v>
      </c>
      <c r="D186" s="13" t="s">
        <v>48</v>
      </c>
      <c r="E186" s="40">
        <v>3270</v>
      </c>
      <c r="F186" s="40">
        <v>0</v>
      </c>
      <c r="G186"/>
      <c r="H186"/>
      <c r="I186"/>
    </row>
    <row r="187" spans="1:9" ht="15">
      <c r="A187" s="110"/>
      <c r="B187" s="13"/>
      <c r="C187" s="13" t="s">
        <v>158</v>
      </c>
      <c r="D187" s="13" t="s">
        <v>47</v>
      </c>
      <c r="E187" s="40">
        <v>0</v>
      </c>
      <c r="F187" s="40">
        <v>3270</v>
      </c>
      <c r="G187"/>
      <c r="H187"/>
      <c r="I187"/>
    </row>
    <row r="188" spans="1:9" ht="15">
      <c r="A188" s="110"/>
      <c r="B188" s="13"/>
      <c r="D188" s="13" t="s">
        <v>98</v>
      </c>
      <c r="E188" s="40">
        <v>0</v>
      </c>
      <c r="F188" s="40">
        <v>50</v>
      </c>
      <c r="G188"/>
      <c r="H188"/>
      <c r="I188"/>
    </row>
    <row r="189" spans="1:9" ht="15">
      <c r="A189" s="110"/>
      <c r="B189" s="13"/>
      <c r="D189" s="13" t="s">
        <v>83</v>
      </c>
      <c r="E189" s="40">
        <v>0</v>
      </c>
      <c r="F189" s="40">
        <v>2100</v>
      </c>
      <c r="G189"/>
      <c r="H189"/>
      <c r="I189"/>
    </row>
    <row r="190" spans="1:9" ht="15">
      <c r="A190" s="110"/>
      <c r="B190" s="13"/>
      <c r="D190" s="13" t="s">
        <v>92</v>
      </c>
      <c r="E190" s="40">
        <v>0</v>
      </c>
      <c r="F190" s="40">
        <v>350</v>
      </c>
      <c r="G190"/>
      <c r="H190"/>
      <c r="I190"/>
    </row>
    <row r="191" spans="1:9" ht="15">
      <c r="A191" s="110"/>
      <c r="B191" s="13"/>
      <c r="D191" s="13" t="s">
        <v>85</v>
      </c>
      <c r="E191" s="40">
        <v>0</v>
      </c>
      <c r="F191" s="40">
        <v>720</v>
      </c>
      <c r="G191"/>
      <c r="H191"/>
      <c r="I191"/>
    </row>
    <row r="192" spans="1:9" ht="15">
      <c r="A192" s="110"/>
      <c r="B192" s="13"/>
      <c r="D192" s="13" t="s">
        <v>87</v>
      </c>
      <c r="E192" s="40">
        <v>0</v>
      </c>
      <c r="F192" s="40">
        <v>50</v>
      </c>
      <c r="G192"/>
      <c r="H192"/>
      <c r="I192"/>
    </row>
    <row r="193" spans="1:9" ht="15">
      <c r="A193" s="110" t="s">
        <v>183</v>
      </c>
      <c r="B193" s="13" t="s">
        <v>161</v>
      </c>
      <c r="E193" s="40"/>
      <c r="F193" s="40"/>
      <c r="G193"/>
      <c r="H193"/>
      <c r="I193"/>
    </row>
    <row r="194" spans="1:9" ht="15">
      <c r="A194" s="110"/>
      <c r="B194" s="13"/>
      <c r="C194" s="13">
        <v>100</v>
      </c>
      <c r="D194" s="13" t="s">
        <v>47</v>
      </c>
      <c r="E194" s="40">
        <v>100</v>
      </c>
      <c r="F194" s="40">
        <v>0</v>
      </c>
      <c r="G194"/>
      <c r="H194"/>
      <c r="I194"/>
    </row>
    <row r="195" spans="1:9" ht="15">
      <c r="A195" s="110"/>
      <c r="B195" s="13"/>
      <c r="C195" s="13">
        <v>330</v>
      </c>
      <c r="D195" s="13" t="s">
        <v>47</v>
      </c>
      <c r="E195" s="40">
        <v>330</v>
      </c>
      <c r="F195" s="40">
        <v>0</v>
      </c>
      <c r="G195"/>
      <c r="H195"/>
      <c r="I195"/>
    </row>
    <row r="196" spans="1:9" ht="15">
      <c r="A196" s="110"/>
      <c r="B196" s="13"/>
      <c r="C196" s="13">
        <v>2800</v>
      </c>
      <c r="D196" s="13" t="s">
        <v>47</v>
      </c>
      <c r="E196" s="40">
        <v>2800</v>
      </c>
      <c r="F196" s="40">
        <v>0</v>
      </c>
      <c r="G196"/>
      <c r="H196"/>
      <c r="I196"/>
    </row>
    <row r="197" spans="1:9" ht="15">
      <c r="A197" s="110"/>
      <c r="B197" s="13"/>
      <c r="C197" s="13">
        <v>3360</v>
      </c>
      <c r="D197" s="13" t="s">
        <v>47</v>
      </c>
      <c r="E197" s="40">
        <v>3360</v>
      </c>
      <c r="F197" s="40">
        <v>0</v>
      </c>
      <c r="G197"/>
      <c r="H197"/>
      <c r="I197"/>
    </row>
    <row r="198" spans="1:9" ht="15">
      <c r="A198" s="110"/>
      <c r="B198" s="13"/>
      <c r="C198" s="13">
        <v>6590</v>
      </c>
      <c r="D198" s="13" t="s">
        <v>48</v>
      </c>
      <c r="E198" s="40">
        <v>6590</v>
      </c>
      <c r="F198" s="40">
        <v>0</v>
      </c>
      <c r="G198"/>
      <c r="H198"/>
      <c r="I198"/>
    </row>
    <row r="199" spans="1:9" ht="15">
      <c r="A199" s="110"/>
      <c r="B199" s="13"/>
      <c r="C199" s="13" t="s">
        <v>158</v>
      </c>
      <c r="D199" s="13" t="s">
        <v>47</v>
      </c>
      <c r="E199" s="40">
        <v>0</v>
      </c>
      <c r="F199" s="40">
        <v>6590</v>
      </c>
      <c r="G199"/>
      <c r="H199"/>
      <c r="I199"/>
    </row>
    <row r="200" spans="1:9" ht="15">
      <c r="A200" s="110"/>
      <c r="B200" s="13"/>
      <c r="D200" s="13" t="s">
        <v>98</v>
      </c>
      <c r="E200" s="40">
        <v>0</v>
      </c>
      <c r="F200" s="40">
        <v>100</v>
      </c>
      <c r="G200"/>
      <c r="H200"/>
      <c r="I200"/>
    </row>
    <row r="201" spans="1:9" ht="15">
      <c r="A201" s="110"/>
      <c r="B201" s="13"/>
      <c r="D201" s="13" t="s">
        <v>83</v>
      </c>
      <c r="E201" s="40">
        <v>0</v>
      </c>
      <c r="F201" s="40">
        <v>2800</v>
      </c>
      <c r="G201"/>
      <c r="H201"/>
      <c r="I201"/>
    </row>
    <row r="202" spans="1:9" ht="15">
      <c r="A202" s="110"/>
      <c r="B202" s="13"/>
      <c r="D202" s="13" t="s">
        <v>92</v>
      </c>
      <c r="E202" s="40">
        <v>0</v>
      </c>
      <c r="F202" s="40">
        <v>330</v>
      </c>
      <c r="G202"/>
      <c r="H202"/>
      <c r="I202"/>
    </row>
    <row r="203" spans="1:9" ht="15">
      <c r="A203" s="110"/>
      <c r="B203" s="13"/>
      <c r="D203" s="13" t="s">
        <v>85</v>
      </c>
      <c r="E203" s="40">
        <v>0</v>
      </c>
      <c r="F203" s="40">
        <v>3360</v>
      </c>
      <c r="G203"/>
      <c r="H203"/>
      <c r="I203"/>
    </row>
    <row r="204" spans="1:9" ht="15">
      <c r="A204" s="110" t="s">
        <v>184</v>
      </c>
      <c r="B204" s="13" t="s">
        <v>161</v>
      </c>
      <c r="E204" s="40"/>
      <c r="F204" s="40"/>
      <c r="G204"/>
      <c r="H204"/>
      <c r="I204"/>
    </row>
    <row r="205" spans="1:9" ht="15">
      <c r="A205" s="110"/>
      <c r="B205" s="13"/>
      <c r="C205" s="13">
        <v>280</v>
      </c>
      <c r="D205" s="13" t="s">
        <v>47</v>
      </c>
      <c r="E205" s="40">
        <v>280</v>
      </c>
      <c r="F205" s="40">
        <v>0</v>
      </c>
      <c r="G205"/>
      <c r="H205"/>
      <c r="I205"/>
    </row>
    <row r="206" spans="1:9" ht="15">
      <c r="A206" s="110"/>
      <c r="B206" s="13"/>
      <c r="C206" s="13">
        <v>360</v>
      </c>
      <c r="D206" s="13" t="s">
        <v>47</v>
      </c>
      <c r="E206" s="40">
        <v>360</v>
      </c>
      <c r="F206" s="40">
        <v>0</v>
      </c>
      <c r="G206"/>
      <c r="H206"/>
      <c r="I206"/>
    </row>
    <row r="207" spans="1:9" ht="15">
      <c r="A207" s="110"/>
      <c r="B207" s="13"/>
      <c r="C207" s="13">
        <v>400</v>
      </c>
      <c r="D207" s="13" t="s">
        <v>47</v>
      </c>
      <c r="E207" s="40">
        <v>400</v>
      </c>
      <c r="F207" s="40">
        <v>0</v>
      </c>
      <c r="G207"/>
      <c r="H207"/>
      <c r="I207"/>
    </row>
    <row r="208" spans="1:9" ht="15">
      <c r="A208" s="110"/>
      <c r="B208" s="13"/>
      <c r="D208" s="13" t="s">
        <v>48</v>
      </c>
      <c r="E208" s="40">
        <v>400</v>
      </c>
      <c r="F208" s="40">
        <v>0</v>
      </c>
      <c r="G208"/>
      <c r="H208"/>
      <c r="I208"/>
    </row>
    <row r="209" spans="1:9" ht="15">
      <c r="A209" s="110"/>
      <c r="B209" s="13"/>
      <c r="C209" s="13">
        <v>720</v>
      </c>
      <c r="D209" s="13" t="s">
        <v>47</v>
      </c>
      <c r="E209" s="40">
        <v>720</v>
      </c>
      <c r="F209" s="40">
        <v>0</v>
      </c>
      <c r="G209"/>
      <c r="H209"/>
      <c r="I209"/>
    </row>
    <row r="210" spans="1:9" ht="15">
      <c r="A210" s="110"/>
      <c r="B210" s="13"/>
      <c r="C210" s="13">
        <v>1400</v>
      </c>
      <c r="D210" s="13" t="s">
        <v>47</v>
      </c>
      <c r="E210" s="40">
        <v>1400</v>
      </c>
      <c r="F210" s="40">
        <v>0</v>
      </c>
      <c r="G210"/>
      <c r="H210"/>
      <c r="I210"/>
    </row>
    <row r="211" spans="1:9" ht="15">
      <c r="A211" s="110"/>
      <c r="B211" s="13"/>
      <c r="C211" s="13">
        <v>1600</v>
      </c>
      <c r="D211" s="13" t="s">
        <v>47</v>
      </c>
      <c r="E211" s="40">
        <v>1600</v>
      </c>
      <c r="F211" s="40">
        <v>0</v>
      </c>
      <c r="G211"/>
      <c r="H211"/>
      <c r="I211"/>
    </row>
    <row r="212" spans="1:9" ht="15">
      <c r="A212" s="110"/>
      <c r="B212" s="13"/>
      <c r="C212" s="13">
        <v>1680</v>
      </c>
      <c r="D212" s="13" t="s">
        <v>48</v>
      </c>
      <c r="E212" s="40">
        <v>1680</v>
      </c>
      <c r="F212" s="40">
        <v>0</v>
      </c>
      <c r="G212"/>
      <c r="H212"/>
      <c r="I212"/>
    </row>
    <row r="213" spans="1:9" ht="15">
      <c r="A213" s="110"/>
      <c r="B213" s="13"/>
      <c r="C213" s="13">
        <v>2680</v>
      </c>
      <c r="D213" s="13" t="s">
        <v>48</v>
      </c>
      <c r="E213" s="40">
        <v>2680</v>
      </c>
      <c r="F213" s="40">
        <v>0</v>
      </c>
      <c r="G213"/>
      <c r="H213"/>
      <c r="I213"/>
    </row>
    <row r="214" spans="1:9" ht="15">
      <c r="A214" s="110"/>
      <c r="B214" s="13"/>
      <c r="C214" s="13" t="s">
        <v>158</v>
      </c>
      <c r="D214" s="13" t="s">
        <v>47</v>
      </c>
      <c r="E214" s="40">
        <v>0</v>
      </c>
      <c r="F214" s="40">
        <v>4760</v>
      </c>
      <c r="G214"/>
      <c r="H214"/>
      <c r="I214"/>
    </row>
    <row r="215" spans="1:9" ht="15">
      <c r="A215" s="110"/>
      <c r="B215" s="13"/>
      <c r="D215" s="13" t="s">
        <v>83</v>
      </c>
      <c r="E215" s="40">
        <v>0</v>
      </c>
      <c r="F215" s="40">
        <v>3000</v>
      </c>
      <c r="G215"/>
      <c r="H215"/>
      <c r="I215"/>
    </row>
    <row r="216" spans="1:9" ht="15">
      <c r="A216" s="110"/>
      <c r="B216" s="13"/>
      <c r="D216" s="13" t="s">
        <v>84</v>
      </c>
      <c r="E216" s="40">
        <v>0</v>
      </c>
      <c r="F216" s="40">
        <v>720</v>
      </c>
      <c r="G216"/>
      <c r="H216"/>
      <c r="I216"/>
    </row>
    <row r="217" spans="1:9" ht="15">
      <c r="A217" s="110"/>
      <c r="B217" s="13"/>
      <c r="D217" s="13" t="s">
        <v>92</v>
      </c>
      <c r="E217" s="40">
        <v>0</v>
      </c>
      <c r="F217" s="40">
        <v>640</v>
      </c>
      <c r="G217"/>
      <c r="H217"/>
      <c r="I217"/>
    </row>
    <row r="218" spans="1:9" ht="15">
      <c r="A218" s="110"/>
      <c r="B218" s="13"/>
      <c r="D218" s="13" t="s">
        <v>71</v>
      </c>
      <c r="E218" s="40">
        <v>0</v>
      </c>
      <c r="F218" s="40">
        <v>400</v>
      </c>
      <c r="G218"/>
      <c r="H218"/>
      <c r="I218"/>
    </row>
    <row r="219" spans="1:9" ht="15">
      <c r="A219" s="110"/>
      <c r="B219" s="13" t="s">
        <v>186</v>
      </c>
      <c r="E219" s="40"/>
      <c r="F219" s="40"/>
      <c r="G219"/>
      <c r="H219"/>
      <c r="I219"/>
    </row>
    <row r="220" spans="1:9" ht="15">
      <c r="A220" s="110"/>
      <c r="B220" s="13"/>
      <c r="C220" s="13">
        <v>407022.3</v>
      </c>
      <c r="D220" s="13" t="s">
        <v>186</v>
      </c>
      <c r="E220" s="40">
        <v>407022.3</v>
      </c>
      <c r="F220" s="40">
        <v>0</v>
      </c>
      <c r="G220"/>
      <c r="H220"/>
      <c r="I220"/>
    </row>
    <row r="221" spans="1:9" ht="15">
      <c r="A221" s="110"/>
      <c r="B221" s="13"/>
      <c r="C221" s="13" t="s">
        <v>158</v>
      </c>
      <c r="D221" s="13" t="s">
        <v>48</v>
      </c>
      <c r="E221" s="40">
        <v>0</v>
      </c>
      <c r="F221" s="40">
        <v>407022.3</v>
      </c>
      <c r="G221"/>
      <c r="H221"/>
      <c r="I221"/>
    </row>
    <row r="222" spans="1:9" ht="15">
      <c r="A222" s="110" t="s">
        <v>187</v>
      </c>
      <c r="B222" s="13" t="s">
        <v>161</v>
      </c>
      <c r="E222" s="40"/>
      <c r="F222" s="40"/>
      <c r="G222"/>
      <c r="H222"/>
      <c r="I222"/>
    </row>
    <row r="223" spans="1:9" ht="15">
      <c r="A223" s="110"/>
      <c r="B223" s="13"/>
      <c r="C223" s="13">
        <v>50</v>
      </c>
      <c r="D223" s="13" t="s">
        <v>47</v>
      </c>
      <c r="E223" s="40">
        <v>50</v>
      </c>
      <c r="F223" s="40">
        <v>0</v>
      </c>
      <c r="G223"/>
      <c r="H223"/>
      <c r="I223"/>
    </row>
    <row r="224" spans="1:9" ht="15">
      <c r="A224" s="110"/>
      <c r="B224" s="13"/>
      <c r="C224" s="13">
        <v>100</v>
      </c>
      <c r="D224" s="13" t="s">
        <v>47</v>
      </c>
      <c r="E224" s="40">
        <v>100</v>
      </c>
      <c r="F224" s="40">
        <v>0</v>
      </c>
      <c r="G224"/>
      <c r="H224"/>
      <c r="I224"/>
    </row>
    <row r="225" spans="1:9" ht="15">
      <c r="A225" s="110"/>
      <c r="B225" s="13"/>
      <c r="C225" s="13">
        <v>300</v>
      </c>
      <c r="D225" s="13" t="s">
        <v>47</v>
      </c>
      <c r="E225" s="40">
        <v>300</v>
      </c>
      <c r="F225" s="40">
        <v>0</v>
      </c>
      <c r="G225"/>
      <c r="H225"/>
      <c r="I225"/>
    </row>
    <row r="226" spans="1:9" ht="15">
      <c r="A226" s="110"/>
      <c r="B226" s="13"/>
      <c r="C226" s="13">
        <v>360</v>
      </c>
      <c r="D226" s="13" t="s">
        <v>47</v>
      </c>
      <c r="E226" s="40">
        <v>360</v>
      </c>
      <c r="F226" s="40">
        <v>0</v>
      </c>
      <c r="G226"/>
      <c r="H226"/>
      <c r="I226"/>
    </row>
    <row r="227" spans="1:9" ht="15">
      <c r="A227" s="110"/>
      <c r="B227" s="13"/>
      <c r="C227" s="13">
        <v>1000</v>
      </c>
      <c r="D227" s="13" t="s">
        <v>47</v>
      </c>
      <c r="E227" s="40">
        <v>1000</v>
      </c>
      <c r="F227" s="40">
        <v>0</v>
      </c>
      <c r="G227"/>
      <c r="H227"/>
      <c r="I227"/>
    </row>
    <row r="228" spans="1:9" ht="15">
      <c r="A228" s="110"/>
      <c r="B228" s="13"/>
      <c r="C228" s="13">
        <v>1100</v>
      </c>
      <c r="D228" s="13" t="s">
        <v>48</v>
      </c>
      <c r="E228" s="40">
        <v>1100</v>
      </c>
      <c r="F228" s="40">
        <v>0</v>
      </c>
      <c r="G228"/>
      <c r="H228"/>
      <c r="I228"/>
    </row>
    <row r="229" spans="1:9" ht="15">
      <c r="A229" s="110"/>
      <c r="B229" s="13"/>
      <c r="C229" s="13">
        <v>2000</v>
      </c>
      <c r="D229" s="13" t="s">
        <v>47</v>
      </c>
      <c r="E229" s="40">
        <v>2000</v>
      </c>
      <c r="F229" s="40">
        <v>0</v>
      </c>
      <c r="G229"/>
      <c r="H229"/>
      <c r="I229"/>
    </row>
    <row r="230" spans="1:9" ht="15">
      <c r="A230" s="110"/>
      <c r="B230" s="13"/>
      <c r="C230" s="13">
        <v>2710</v>
      </c>
      <c r="D230" s="13" t="s">
        <v>48</v>
      </c>
      <c r="E230" s="40">
        <v>2710</v>
      </c>
      <c r="F230" s="40">
        <v>0</v>
      </c>
      <c r="G230"/>
      <c r="H230"/>
      <c r="I230"/>
    </row>
    <row r="231" spans="1:9" ht="15">
      <c r="A231" s="110"/>
      <c r="B231" s="13"/>
      <c r="C231" s="13" t="s">
        <v>158</v>
      </c>
      <c r="D231" s="13" t="s">
        <v>47</v>
      </c>
      <c r="E231" s="40">
        <v>0</v>
      </c>
      <c r="F231" s="40">
        <v>3810</v>
      </c>
      <c r="G231"/>
      <c r="H231"/>
      <c r="I231"/>
    </row>
    <row r="232" spans="1:9" ht="15">
      <c r="A232" s="110"/>
      <c r="B232" s="13"/>
      <c r="D232" s="13" t="s">
        <v>98</v>
      </c>
      <c r="E232" s="40">
        <v>0</v>
      </c>
      <c r="F232" s="40">
        <v>50</v>
      </c>
      <c r="G232"/>
      <c r="H232"/>
      <c r="I232"/>
    </row>
    <row r="233" spans="1:9" ht="15">
      <c r="A233" s="110"/>
      <c r="B233" s="13"/>
      <c r="D233" s="13" t="s">
        <v>83</v>
      </c>
      <c r="E233" s="40">
        <v>0</v>
      </c>
      <c r="F233" s="40">
        <v>3000</v>
      </c>
      <c r="G233"/>
      <c r="H233"/>
      <c r="I233"/>
    </row>
    <row r="234" spans="1:9" ht="15">
      <c r="A234" s="110"/>
      <c r="B234" s="13"/>
      <c r="D234" s="13" t="s">
        <v>84</v>
      </c>
      <c r="E234" s="40">
        <v>0</v>
      </c>
      <c r="F234" s="40">
        <v>360</v>
      </c>
      <c r="G234"/>
      <c r="H234"/>
      <c r="I234"/>
    </row>
    <row r="235" spans="1:9" ht="15">
      <c r="A235" s="110"/>
      <c r="B235" s="13"/>
      <c r="D235" s="13" t="s">
        <v>92</v>
      </c>
      <c r="E235" s="40">
        <v>0</v>
      </c>
      <c r="F235" s="40">
        <v>400</v>
      </c>
      <c r="G235"/>
      <c r="H235"/>
      <c r="I235"/>
    </row>
    <row r="236" spans="1:9" ht="15">
      <c r="A236" s="110" t="s">
        <v>188</v>
      </c>
      <c r="B236" s="13" t="s">
        <v>161</v>
      </c>
      <c r="E236" s="40"/>
      <c r="F236" s="40"/>
      <c r="G236"/>
      <c r="H236"/>
      <c r="I236"/>
    </row>
    <row r="237" spans="1:9" ht="15">
      <c r="A237" s="110"/>
      <c r="B237" s="13"/>
      <c r="C237" s="13">
        <v>50</v>
      </c>
      <c r="D237" s="13" t="s">
        <v>47</v>
      </c>
      <c r="E237" s="40">
        <v>50</v>
      </c>
      <c r="F237" s="40">
        <v>0</v>
      </c>
      <c r="G237"/>
      <c r="H237"/>
      <c r="I237"/>
    </row>
    <row r="238" spans="1:9" ht="15">
      <c r="A238" s="110"/>
      <c r="B238" s="13"/>
      <c r="C238" s="13">
        <v>480</v>
      </c>
      <c r="D238" s="13" t="s">
        <v>47</v>
      </c>
      <c r="E238" s="40">
        <v>480</v>
      </c>
      <c r="F238" s="40">
        <v>0</v>
      </c>
      <c r="G238"/>
      <c r="H238"/>
      <c r="I238"/>
    </row>
    <row r="239" spans="1:9" ht="15">
      <c r="A239" s="110"/>
      <c r="B239" s="13"/>
      <c r="C239" s="13">
        <v>2000</v>
      </c>
      <c r="D239" s="13" t="s">
        <v>47</v>
      </c>
      <c r="E239" s="40">
        <v>2000</v>
      </c>
      <c r="F239" s="40">
        <v>0</v>
      </c>
      <c r="G239"/>
      <c r="H239"/>
      <c r="I239"/>
    </row>
    <row r="240" spans="1:9" ht="15">
      <c r="A240" s="110"/>
      <c r="B240" s="13"/>
      <c r="D240" s="13" t="s">
        <v>48</v>
      </c>
      <c r="E240" s="40">
        <v>2000</v>
      </c>
      <c r="F240" s="40">
        <v>0</v>
      </c>
      <c r="G240"/>
      <c r="H240"/>
      <c r="I240"/>
    </row>
    <row r="241" spans="1:9" ht="15">
      <c r="A241" s="110"/>
      <c r="B241" s="13"/>
      <c r="C241" s="13">
        <v>3400</v>
      </c>
      <c r="D241" s="13" t="s">
        <v>47</v>
      </c>
      <c r="E241" s="40">
        <v>3400</v>
      </c>
      <c r="F241" s="40">
        <v>0</v>
      </c>
      <c r="G241"/>
      <c r="H241"/>
      <c r="I241"/>
    </row>
    <row r="242" spans="1:9" ht="15">
      <c r="A242" s="110"/>
      <c r="B242" s="13"/>
      <c r="C242" s="13">
        <v>3930</v>
      </c>
      <c r="D242" s="13" t="s">
        <v>48</v>
      </c>
      <c r="E242" s="40">
        <v>3930</v>
      </c>
      <c r="F242" s="40">
        <v>0</v>
      </c>
      <c r="G242"/>
      <c r="H242"/>
      <c r="I242"/>
    </row>
    <row r="243" spans="1:9" ht="15">
      <c r="A243" s="110"/>
      <c r="B243" s="13"/>
      <c r="C243" s="13" t="s">
        <v>158</v>
      </c>
      <c r="D243" s="13" t="s">
        <v>47</v>
      </c>
      <c r="E243" s="40">
        <v>0</v>
      </c>
      <c r="F243" s="40">
        <v>5930</v>
      </c>
      <c r="G243"/>
      <c r="H243"/>
      <c r="I243"/>
    </row>
    <row r="244" spans="1:9" ht="15">
      <c r="A244" s="110"/>
      <c r="B244" s="13"/>
      <c r="D244" s="13" t="s">
        <v>98</v>
      </c>
      <c r="E244" s="40">
        <v>0</v>
      </c>
      <c r="F244" s="40">
        <v>50</v>
      </c>
      <c r="G244"/>
      <c r="H244"/>
      <c r="I244"/>
    </row>
    <row r="245" spans="1:9" ht="15">
      <c r="A245" s="110"/>
      <c r="B245" s="13"/>
      <c r="D245" s="13" t="s">
        <v>83</v>
      </c>
      <c r="E245" s="40">
        <v>0</v>
      </c>
      <c r="F245" s="40">
        <v>3400</v>
      </c>
      <c r="G245"/>
      <c r="H245"/>
      <c r="I245"/>
    </row>
    <row r="246" spans="1:9" ht="15">
      <c r="A246" s="110"/>
      <c r="B246" s="13"/>
      <c r="D246" s="13" t="s">
        <v>92</v>
      </c>
      <c r="E246" s="40">
        <v>0</v>
      </c>
      <c r="F246" s="40">
        <v>480</v>
      </c>
      <c r="G246"/>
      <c r="H246"/>
      <c r="I246"/>
    </row>
    <row r="247" spans="1:9" ht="15">
      <c r="A247" s="110"/>
      <c r="B247" s="13"/>
      <c r="D247" s="13" t="s">
        <v>94</v>
      </c>
      <c r="E247" s="40">
        <v>0</v>
      </c>
      <c r="F247" s="40">
        <v>2000</v>
      </c>
      <c r="G247"/>
      <c r="H247"/>
      <c r="I247"/>
    </row>
    <row r="248" spans="1:9" ht="15">
      <c r="A248" s="110"/>
      <c r="B248" s="13" t="s">
        <v>97</v>
      </c>
      <c r="E248" s="40"/>
      <c r="F248" s="40"/>
      <c r="G248"/>
      <c r="H248"/>
      <c r="I248"/>
    </row>
    <row r="249" spans="1:9" ht="15">
      <c r="A249" s="110"/>
      <c r="B249" s="13"/>
      <c r="C249" s="13">
        <v>6479.13</v>
      </c>
      <c r="D249" s="13" t="s">
        <v>48</v>
      </c>
      <c r="E249" s="40">
        <v>6479.13</v>
      </c>
      <c r="F249" s="40">
        <v>0</v>
      </c>
      <c r="G249"/>
      <c r="H249"/>
      <c r="I249"/>
    </row>
    <row r="250" spans="1:9" ht="15">
      <c r="A250" s="110"/>
      <c r="B250" s="13"/>
      <c r="C250" s="13" t="s">
        <v>158</v>
      </c>
      <c r="D250" s="13" t="s">
        <v>97</v>
      </c>
      <c r="E250" s="40">
        <v>0</v>
      </c>
      <c r="F250" s="40">
        <v>6479.13</v>
      </c>
      <c r="G250"/>
      <c r="H250"/>
      <c r="I250"/>
    </row>
    <row r="251" spans="1:9" ht="15">
      <c r="A251" s="110">
        <v>243995</v>
      </c>
      <c r="B251" s="13" t="s">
        <v>161</v>
      </c>
      <c r="E251" s="40"/>
      <c r="F251" s="40"/>
      <c r="G251"/>
      <c r="H251"/>
      <c r="I251"/>
    </row>
    <row r="252" spans="1:9" ht="15">
      <c r="A252" s="110"/>
      <c r="B252" s="13"/>
      <c r="C252" s="13">
        <v>50</v>
      </c>
      <c r="D252" s="13" t="s">
        <v>47</v>
      </c>
      <c r="E252" s="40">
        <v>50</v>
      </c>
      <c r="F252" s="40">
        <v>0</v>
      </c>
      <c r="G252"/>
      <c r="H252"/>
      <c r="I252"/>
    </row>
    <row r="253" spans="1:9" ht="15">
      <c r="A253" s="110"/>
      <c r="B253" s="13"/>
      <c r="C253" s="13">
        <v>80</v>
      </c>
      <c r="D253" s="13" t="s">
        <v>47</v>
      </c>
      <c r="E253" s="40">
        <v>80</v>
      </c>
      <c r="F253" s="40">
        <v>0</v>
      </c>
      <c r="G253"/>
      <c r="H253"/>
      <c r="I253"/>
    </row>
    <row r="254" spans="1:9" ht="15">
      <c r="A254" s="110"/>
      <c r="B254" s="13"/>
      <c r="C254" s="13">
        <v>180</v>
      </c>
      <c r="D254" s="13" t="s">
        <v>47</v>
      </c>
      <c r="E254" s="40">
        <v>180</v>
      </c>
      <c r="F254" s="40">
        <v>0</v>
      </c>
      <c r="G254"/>
      <c r="H254"/>
      <c r="I254"/>
    </row>
    <row r="255" spans="1:9" ht="15">
      <c r="A255" s="110"/>
      <c r="B255" s="13"/>
      <c r="C255" s="13">
        <v>240</v>
      </c>
      <c r="D255" s="13" t="s">
        <v>47</v>
      </c>
      <c r="E255" s="40">
        <v>240</v>
      </c>
      <c r="F255" s="40">
        <v>0</v>
      </c>
      <c r="G255"/>
      <c r="H255"/>
      <c r="I255"/>
    </row>
    <row r="256" spans="1:9" ht="15">
      <c r="A256" s="110"/>
      <c r="B256" s="13"/>
      <c r="C256" s="13">
        <v>900</v>
      </c>
      <c r="D256" s="13" t="s">
        <v>47</v>
      </c>
      <c r="E256" s="40">
        <v>900</v>
      </c>
      <c r="F256" s="40">
        <v>0</v>
      </c>
      <c r="G256"/>
      <c r="H256"/>
      <c r="I256"/>
    </row>
    <row r="257" spans="1:9" ht="15">
      <c r="A257" s="110"/>
      <c r="B257" s="13"/>
      <c r="C257" s="13">
        <v>1030</v>
      </c>
      <c r="D257" s="13" t="s">
        <v>48</v>
      </c>
      <c r="E257" s="40">
        <v>1030</v>
      </c>
      <c r="F257" s="40">
        <v>0</v>
      </c>
      <c r="G257"/>
      <c r="H257"/>
      <c r="I257"/>
    </row>
    <row r="258" spans="1:9" ht="15">
      <c r="A258" s="110"/>
      <c r="B258" s="13"/>
      <c r="C258" s="13">
        <v>1600</v>
      </c>
      <c r="D258" s="13" t="s">
        <v>47</v>
      </c>
      <c r="E258" s="40">
        <v>1600</v>
      </c>
      <c r="F258" s="40">
        <v>0</v>
      </c>
      <c r="G258"/>
      <c r="H258"/>
      <c r="I258"/>
    </row>
    <row r="259" spans="1:9" ht="15">
      <c r="A259" s="110"/>
      <c r="B259" s="13"/>
      <c r="C259" s="13">
        <v>2000</v>
      </c>
      <c r="D259" s="13" t="s">
        <v>47</v>
      </c>
      <c r="E259" s="40">
        <v>2000</v>
      </c>
      <c r="F259" s="40">
        <v>0</v>
      </c>
      <c r="G259"/>
      <c r="H259"/>
      <c r="I259"/>
    </row>
    <row r="260" spans="1:9" ht="15">
      <c r="A260" s="110"/>
      <c r="B260" s="13"/>
      <c r="D260" s="13" t="s">
        <v>48</v>
      </c>
      <c r="E260" s="40">
        <v>2000</v>
      </c>
      <c r="F260" s="40">
        <v>0</v>
      </c>
      <c r="G260"/>
      <c r="H260"/>
      <c r="I260"/>
    </row>
    <row r="261" spans="1:9" ht="15">
      <c r="A261" s="110"/>
      <c r="B261" s="13"/>
      <c r="C261" s="13">
        <v>2020</v>
      </c>
      <c r="D261" s="13" t="s">
        <v>48</v>
      </c>
      <c r="E261" s="40">
        <v>2020</v>
      </c>
      <c r="F261" s="40">
        <v>0</v>
      </c>
      <c r="G261"/>
      <c r="H261"/>
      <c r="I261"/>
    </row>
    <row r="262" spans="1:9" ht="15">
      <c r="A262" s="110"/>
      <c r="B262" s="13"/>
      <c r="C262" s="13">
        <v>10600</v>
      </c>
      <c r="D262" s="13" t="s">
        <v>47</v>
      </c>
      <c r="E262" s="40">
        <v>10600</v>
      </c>
      <c r="F262" s="40">
        <v>0</v>
      </c>
      <c r="G262"/>
      <c r="H262"/>
      <c r="I262"/>
    </row>
    <row r="263" spans="1:9" ht="15">
      <c r="A263" s="110"/>
      <c r="B263" s="13"/>
      <c r="D263" s="13" t="s">
        <v>48</v>
      </c>
      <c r="E263" s="40">
        <v>10600</v>
      </c>
      <c r="F263" s="40">
        <v>0</v>
      </c>
      <c r="G263"/>
      <c r="H263"/>
      <c r="I263"/>
    </row>
    <row r="264" spans="1:9" ht="15">
      <c r="A264" s="110"/>
      <c r="B264" s="13"/>
      <c r="C264" s="13" t="s">
        <v>158</v>
      </c>
      <c r="D264" s="13" t="s">
        <v>47</v>
      </c>
      <c r="E264" s="40">
        <v>0</v>
      </c>
      <c r="F264" s="40">
        <v>15650</v>
      </c>
      <c r="G264"/>
      <c r="H264"/>
      <c r="I264"/>
    </row>
    <row r="265" spans="1:9" ht="15">
      <c r="A265" s="110"/>
      <c r="B265" s="13"/>
      <c r="D265" s="13" t="s">
        <v>98</v>
      </c>
      <c r="E265" s="40">
        <v>0</v>
      </c>
      <c r="F265" s="40">
        <v>50</v>
      </c>
      <c r="G265"/>
      <c r="H265"/>
      <c r="I265"/>
    </row>
    <row r="266" spans="1:9" ht="15">
      <c r="A266" s="110"/>
      <c r="B266" s="13"/>
      <c r="D266" s="13" t="s">
        <v>83</v>
      </c>
      <c r="E266" s="40">
        <v>0</v>
      </c>
      <c r="F266" s="40">
        <v>2500</v>
      </c>
      <c r="G266"/>
      <c r="H266"/>
      <c r="I266"/>
    </row>
    <row r="267" spans="1:9" ht="15">
      <c r="A267" s="110"/>
      <c r="B267" s="13"/>
      <c r="D267" s="13" t="s">
        <v>84</v>
      </c>
      <c r="E267" s="40">
        <v>0</v>
      </c>
      <c r="F267" s="40">
        <v>180</v>
      </c>
      <c r="G267"/>
      <c r="H267"/>
      <c r="I267"/>
    </row>
    <row r="268" spans="1:9" ht="15">
      <c r="A268" s="110"/>
      <c r="B268" s="13"/>
      <c r="D268" s="13" t="s">
        <v>92</v>
      </c>
      <c r="E268" s="40">
        <v>0</v>
      </c>
      <c r="F268" s="40">
        <v>320</v>
      </c>
      <c r="G268"/>
      <c r="H268"/>
      <c r="I268"/>
    </row>
    <row r="269" spans="1:9" ht="15">
      <c r="A269" s="110"/>
      <c r="B269" s="13"/>
      <c r="D269" s="13" t="s">
        <v>94</v>
      </c>
      <c r="E269" s="40">
        <v>0</v>
      </c>
      <c r="F269" s="40">
        <v>2000</v>
      </c>
      <c r="G269"/>
      <c r="H269"/>
      <c r="I269"/>
    </row>
    <row r="270" spans="1:9" ht="15">
      <c r="A270" s="110"/>
      <c r="B270" s="13"/>
      <c r="D270" s="13" t="s">
        <v>73</v>
      </c>
      <c r="E270" s="40">
        <v>0</v>
      </c>
      <c r="F270" s="40">
        <v>5830</v>
      </c>
      <c r="G270"/>
      <c r="H270"/>
      <c r="I270"/>
    </row>
    <row r="271" spans="1:9" ht="15">
      <c r="A271" s="110"/>
      <c r="B271" s="13"/>
      <c r="D271" s="13" t="s">
        <v>93</v>
      </c>
      <c r="E271" s="40">
        <v>0</v>
      </c>
      <c r="F271" s="40">
        <v>4770</v>
      </c>
      <c r="G271"/>
      <c r="H271"/>
      <c r="I271"/>
    </row>
    <row r="272" spans="1:9" ht="15">
      <c r="A272" s="110"/>
      <c r="B272" s="13" t="s">
        <v>163</v>
      </c>
      <c r="E272" s="40"/>
      <c r="F272" s="40"/>
      <c r="G272"/>
      <c r="H272"/>
      <c r="I272"/>
    </row>
    <row r="273" spans="1:9" ht="15">
      <c r="A273" s="110"/>
      <c r="B273" s="13"/>
      <c r="C273" s="13">
        <v>1</v>
      </c>
      <c r="D273" s="13" t="s">
        <v>51</v>
      </c>
      <c r="E273" s="40">
        <v>1</v>
      </c>
      <c r="F273" s="40">
        <v>0</v>
      </c>
      <c r="G273"/>
      <c r="H273"/>
      <c r="I273"/>
    </row>
    <row r="274" spans="1:9" ht="15">
      <c r="A274" s="110"/>
      <c r="B274" s="13"/>
      <c r="D274" s="13" t="s">
        <v>53</v>
      </c>
      <c r="E274" s="40">
        <v>1</v>
      </c>
      <c r="F274" s="40">
        <v>0</v>
      </c>
      <c r="G274"/>
      <c r="H274"/>
      <c r="I274"/>
    </row>
    <row r="275" spans="1:9" ht="15">
      <c r="A275" s="110"/>
      <c r="B275" s="13"/>
      <c r="D275" s="13" t="s">
        <v>59</v>
      </c>
      <c r="E275" s="40">
        <v>1</v>
      </c>
      <c r="F275" s="40">
        <v>0</v>
      </c>
      <c r="G275"/>
      <c r="H275"/>
      <c r="I275"/>
    </row>
    <row r="276" spans="1:9" ht="15">
      <c r="A276" s="110"/>
      <c r="B276" s="13"/>
      <c r="D276" s="13" t="s">
        <v>61</v>
      </c>
      <c r="E276" s="40">
        <v>1</v>
      </c>
      <c r="F276" s="40">
        <v>0</v>
      </c>
      <c r="G276"/>
      <c r="H276"/>
      <c r="I276"/>
    </row>
    <row r="277" spans="1:9" ht="15">
      <c r="A277" s="110"/>
      <c r="B277" s="13"/>
      <c r="D277" s="13" t="s">
        <v>63</v>
      </c>
      <c r="E277" s="40">
        <v>1</v>
      </c>
      <c r="F277" s="40">
        <v>0</v>
      </c>
      <c r="G277"/>
      <c r="H277"/>
      <c r="I277"/>
    </row>
    <row r="278" spans="1:9" ht="15">
      <c r="A278" s="110"/>
      <c r="B278" s="13"/>
      <c r="D278" s="13" t="s">
        <v>57</v>
      </c>
      <c r="E278" s="40">
        <v>1</v>
      </c>
      <c r="F278" s="40">
        <v>0</v>
      </c>
      <c r="G278"/>
      <c r="H278"/>
      <c r="I278"/>
    </row>
    <row r="279" spans="1:9" ht="15">
      <c r="A279" s="110"/>
      <c r="B279" s="13"/>
      <c r="C279" s="13">
        <v>4878.6499999999996</v>
      </c>
      <c r="D279" s="13" t="s">
        <v>55</v>
      </c>
      <c r="E279" s="40">
        <v>4878.6499999999996</v>
      </c>
      <c r="F279" s="40">
        <v>0</v>
      </c>
      <c r="G279"/>
      <c r="H279"/>
      <c r="I279"/>
    </row>
    <row r="280" spans="1:9" ht="15">
      <c r="A280" s="110"/>
      <c r="B280" s="13"/>
      <c r="C280" s="13">
        <v>6180.95</v>
      </c>
      <c r="D280" s="13" t="s">
        <v>65</v>
      </c>
      <c r="E280" s="40">
        <v>6180.95</v>
      </c>
      <c r="F280" s="40">
        <v>0</v>
      </c>
      <c r="G280"/>
      <c r="H280"/>
      <c r="I280"/>
    </row>
    <row r="281" spans="1:9" ht="15">
      <c r="A281" s="110"/>
      <c r="B281" s="13"/>
      <c r="C281" s="13">
        <v>14704.62</v>
      </c>
      <c r="D281" s="13" t="s">
        <v>67</v>
      </c>
      <c r="E281" s="40">
        <v>14704.62</v>
      </c>
      <c r="F281" s="40">
        <v>0</v>
      </c>
      <c r="G281"/>
      <c r="H281"/>
      <c r="I281"/>
    </row>
    <row r="282" spans="1:9" ht="15">
      <c r="A282" s="110"/>
      <c r="B282" s="13"/>
      <c r="C282" s="13">
        <v>25984.2</v>
      </c>
      <c r="D282" s="13" t="s">
        <v>102</v>
      </c>
      <c r="E282" s="40">
        <v>25984.2</v>
      </c>
      <c r="F282" s="40">
        <v>0</v>
      </c>
      <c r="G282"/>
      <c r="H282"/>
      <c r="I282"/>
    </row>
    <row r="283" spans="1:9" ht="15">
      <c r="A283" s="110"/>
      <c r="B283" s="13"/>
      <c r="C283" s="13">
        <v>61600</v>
      </c>
      <c r="D283" s="13" t="s">
        <v>100</v>
      </c>
      <c r="E283" s="40">
        <v>61600</v>
      </c>
      <c r="F283" s="40">
        <v>0</v>
      </c>
      <c r="G283"/>
      <c r="H283"/>
      <c r="I283"/>
    </row>
    <row r="284" spans="1:9" ht="15">
      <c r="A284" s="110"/>
      <c r="B284" s="13"/>
      <c r="C284" s="13">
        <v>106058.31</v>
      </c>
      <c r="D284" s="13" t="s">
        <v>121</v>
      </c>
      <c r="E284" s="40">
        <v>106058.31</v>
      </c>
      <c r="F284" s="40">
        <v>0</v>
      </c>
      <c r="G284"/>
      <c r="H284"/>
      <c r="I284"/>
    </row>
    <row r="285" spans="1:9" ht="15">
      <c r="A285" s="110"/>
      <c r="B285" s="13"/>
      <c r="D285" s="13" t="s">
        <v>122</v>
      </c>
      <c r="E285" s="40">
        <v>106058.31</v>
      </c>
      <c r="F285" s="40">
        <v>0</v>
      </c>
      <c r="G285"/>
      <c r="H285"/>
      <c r="I285"/>
    </row>
    <row r="286" spans="1:9" ht="15">
      <c r="A286" s="110"/>
      <c r="B286" s="13"/>
      <c r="C286" s="13">
        <v>133027.51</v>
      </c>
      <c r="D286" s="13" t="s">
        <v>49</v>
      </c>
      <c r="E286" s="40">
        <v>133027.51</v>
      </c>
      <c r="F286" s="40">
        <v>0</v>
      </c>
      <c r="G286"/>
      <c r="H286"/>
      <c r="I286"/>
    </row>
    <row r="287" spans="1:9" ht="15">
      <c r="A287" s="110"/>
      <c r="B287" s="13"/>
      <c r="C287" s="13">
        <v>3252387.82</v>
      </c>
      <c r="D287" s="13" t="s">
        <v>48</v>
      </c>
      <c r="E287" s="40">
        <v>3252387.82</v>
      </c>
      <c r="F287" s="40">
        <v>0</v>
      </c>
      <c r="G287"/>
      <c r="H287"/>
      <c r="I287"/>
    </row>
    <row r="288" spans="1:9" ht="15">
      <c r="A288" s="110"/>
      <c r="B288" s="13"/>
      <c r="C288" s="13" t="s">
        <v>158</v>
      </c>
      <c r="D288" s="13" t="s">
        <v>98</v>
      </c>
      <c r="E288" s="40">
        <v>0</v>
      </c>
      <c r="F288" s="40">
        <v>1500</v>
      </c>
      <c r="G288"/>
      <c r="H288"/>
      <c r="I288"/>
    </row>
    <row r="289" spans="1:9" ht="15">
      <c r="A289" s="110"/>
      <c r="B289" s="13"/>
      <c r="D289" s="13" t="s">
        <v>78</v>
      </c>
      <c r="E289" s="40">
        <v>0</v>
      </c>
      <c r="F289" s="40">
        <v>544281.59</v>
      </c>
      <c r="G289"/>
      <c r="H289"/>
      <c r="I289"/>
    </row>
    <row r="290" spans="1:9" ht="15">
      <c r="A290" s="110"/>
      <c r="B290" s="13"/>
      <c r="D290" s="13" t="s">
        <v>83</v>
      </c>
      <c r="E290" s="40">
        <v>0</v>
      </c>
      <c r="F290" s="40">
        <v>159800</v>
      </c>
      <c r="G290"/>
      <c r="H290"/>
      <c r="I290"/>
    </row>
    <row r="291" spans="1:9" ht="15">
      <c r="A291" s="110"/>
      <c r="B291" s="13"/>
      <c r="D291" s="13" t="s">
        <v>84</v>
      </c>
      <c r="E291" s="40">
        <v>0</v>
      </c>
      <c r="F291" s="40">
        <v>20340</v>
      </c>
      <c r="G291"/>
      <c r="H291"/>
      <c r="I291"/>
    </row>
    <row r="292" spans="1:9" ht="15">
      <c r="A292" s="110"/>
      <c r="B292" s="13"/>
      <c r="D292" s="13" t="s">
        <v>92</v>
      </c>
      <c r="E292" s="40">
        <v>0</v>
      </c>
      <c r="F292" s="40">
        <v>19620</v>
      </c>
      <c r="G292"/>
      <c r="H292"/>
      <c r="I292"/>
    </row>
    <row r="293" spans="1:9" ht="15">
      <c r="A293" s="110"/>
      <c r="B293" s="13"/>
      <c r="D293" s="13" t="s">
        <v>85</v>
      </c>
      <c r="E293" s="40">
        <v>0</v>
      </c>
      <c r="F293" s="40">
        <v>11280</v>
      </c>
      <c r="G293"/>
      <c r="H293"/>
      <c r="I293"/>
    </row>
    <row r="294" spans="1:9" ht="15">
      <c r="A294" s="110"/>
      <c r="B294" s="13"/>
      <c r="D294" s="13" t="s">
        <v>87</v>
      </c>
      <c r="E294" s="40">
        <v>0</v>
      </c>
      <c r="F294" s="40">
        <v>1150</v>
      </c>
      <c r="G294"/>
      <c r="H294"/>
      <c r="I294"/>
    </row>
    <row r="295" spans="1:9" ht="15">
      <c r="A295" s="110"/>
      <c r="B295" s="13"/>
      <c r="D295" s="13" t="s">
        <v>90</v>
      </c>
      <c r="E295" s="40">
        <v>0</v>
      </c>
      <c r="F295" s="40">
        <v>2640</v>
      </c>
      <c r="G295"/>
      <c r="H295"/>
      <c r="I295"/>
    </row>
    <row r="296" spans="1:9" ht="15">
      <c r="A296" s="110"/>
      <c r="B296" s="13"/>
      <c r="D296" s="13" t="s">
        <v>89</v>
      </c>
      <c r="E296" s="40">
        <v>0</v>
      </c>
      <c r="F296" s="40">
        <v>4000</v>
      </c>
      <c r="G296"/>
      <c r="H296"/>
      <c r="I296"/>
    </row>
    <row r="297" spans="1:9" ht="15">
      <c r="A297" s="110"/>
      <c r="B297" s="13"/>
      <c r="D297" s="13" t="s">
        <v>96</v>
      </c>
      <c r="E297" s="40">
        <v>0</v>
      </c>
      <c r="F297" s="40">
        <v>600</v>
      </c>
      <c r="G297"/>
      <c r="H297"/>
      <c r="I297"/>
    </row>
    <row r="298" spans="1:9" ht="15">
      <c r="A298" s="110"/>
      <c r="B298" s="13"/>
      <c r="D298" s="13" t="s">
        <v>88</v>
      </c>
      <c r="E298" s="40">
        <v>0</v>
      </c>
      <c r="F298" s="40">
        <v>13000</v>
      </c>
      <c r="G298"/>
      <c r="H298"/>
      <c r="I298"/>
    </row>
    <row r="299" spans="1:9" ht="15">
      <c r="A299" s="110"/>
      <c r="B299" s="13"/>
      <c r="D299" s="13" t="s">
        <v>94</v>
      </c>
      <c r="E299" s="40">
        <v>0</v>
      </c>
      <c r="F299" s="40">
        <v>2000</v>
      </c>
      <c r="G299"/>
      <c r="H299"/>
      <c r="I299"/>
    </row>
    <row r="300" spans="1:9" ht="15">
      <c r="A300" s="110"/>
      <c r="B300" s="13"/>
      <c r="D300" s="13" t="s">
        <v>79</v>
      </c>
      <c r="E300" s="40">
        <v>0</v>
      </c>
      <c r="F300" s="40">
        <v>2432040.7400000002</v>
      </c>
      <c r="G300"/>
      <c r="H300"/>
      <c r="I300"/>
    </row>
    <row r="301" spans="1:9" ht="15">
      <c r="A301" s="110"/>
      <c r="B301" s="13"/>
      <c r="D301" s="13" t="s">
        <v>73</v>
      </c>
      <c r="E301" s="40">
        <v>0</v>
      </c>
      <c r="F301" s="40">
        <v>126280</v>
      </c>
      <c r="G301"/>
      <c r="H301"/>
      <c r="I301"/>
    </row>
    <row r="302" spans="1:9" ht="15">
      <c r="A302" s="110"/>
      <c r="B302" s="13"/>
      <c r="D302" s="13" t="s">
        <v>71</v>
      </c>
      <c r="E302" s="40">
        <v>0</v>
      </c>
      <c r="F302" s="40">
        <v>203310</v>
      </c>
      <c r="G302"/>
      <c r="H302"/>
      <c r="I302"/>
    </row>
    <row r="303" spans="1:9" ht="15">
      <c r="A303" s="110"/>
      <c r="B303" s="13"/>
      <c r="D303" s="13" t="s">
        <v>93</v>
      </c>
      <c r="E303" s="40">
        <v>0</v>
      </c>
      <c r="F303" s="40">
        <v>103320</v>
      </c>
      <c r="G303"/>
      <c r="H303"/>
      <c r="I303"/>
    </row>
    <row r="304" spans="1:9" ht="15">
      <c r="A304" s="110"/>
      <c r="B304" s="13"/>
      <c r="D304" s="13" t="s">
        <v>77</v>
      </c>
      <c r="E304" s="40">
        <v>0</v>
      </c>
      <c r="F304" s="40">
        <v>12285.9</v>
      </c>
      <c r="G304"/>
      <c r="H304"/>
      <c r="I304"/>
    </row>
    <row r="305" spans="1:9" ht="15">
      <c r="A305" s="110"/>
      <c r="B305" s="13"/>
      <c r="D305" s="13" t="s">
        <v>80</v>
      </c>
      <c r="E305" s="40">
        <v>0</v>
      </c>
      <c r="F305" s="40">
        <v>53438.14</v>
      </c>
      <c r="G305"/>
      <c r="H305"/>
      <c r="I305"/>
    </row>
    <row r="306" spans="1:9" ht="15">
      <c r="A306" s="110">
        <v>244026</v>
      </c>
      <c r="B306" s="13" t="s">
        <v>161</v>
      </c>
      <c r="E306" s="40"/>
      <c r="F306" s="40"/>
      <c r="G306"/>
      <c r="H306"/>
      <c r="I306"/>
    </row>
    <row r="307" spans="1:9" ht="15">
      <c r="A307" s="110"/>
      <c r="B307" s="13"/>
      <c r="C307" s="13">
        <v>10</v>
      </c>
      <c r="D307" s="13" t="s">
        <v>47</v>
      </c>
      <c r="E307" s="40">
        <v>10</v>
      </c>
      <c r="F307" s="40">
        <v>0</v>
      </c>
      <c r="G307"/>
      <c r="H307"/>
      <c r="I307"/>
    </row>
    <row r="308" spans="1:9" ht="15">
      <c r="A308" s="110"/>
      <c r="B308" s="13"/>
      <c r="C308" s="13">
        <v>50</v>
      </c>
      <c r="D308" s="13" t="s">
        <v>47</v>
      </c>
      <c r="E308" s="40">
        <v>50</v>
      </c>
      <c r="F308" s="40">
        <v>0</v>
      </c>
      <c r="G308"/>
      <c r="H308"/>
      <c r="I308"/>
    </row>
    <row r="309" spans="1:9" ht="15">
      <c r="A309" s="110"/>
      <c r="B309" s="13"/>
      <c r="C309" s="13">
        <v>170</v>
      </c>
      <c r="D309" s="13" t="s">
        <v>47</v>
      </c>
      <c r="E309" s="40">
        <v>170</v>
      </c>
      <c r="F309" s="40">
        <v>0</v>
      </c>
      <c r="G309"/>
      <c r="H309"/>
      <c r="I309"/>
    </row>
    <row r="310" spans="1:9" ht="15">
      <c r="A310" s="110"/>
      <c r="B310" s="13"/>
      <c r="C310" s="13">
        <v>360</v>
      </c>
      <c r="D310" s="13" t="s">
        <v>47</v>
      </c>
      <c r="E310" s="40">
        <v>360</v>
      </c>
      <c r="F310" s="40">
        <v>0</v>
      </c>
      <c r="G310"/>
      <c r="H310"/>
      <c r="I310"/>
    </row>
    <row r="311" spans="1:9" ht="15">
      <c r="A311" s="110"/>
      <c r="B311" s="13"/>
      <c r="C311" s="13">
        <v>400</v>
      </c>
      <c r="D311" s="13" t="s">
        <v>47</v>
      </c>
      <c r="E311" s="40">
        <v>400</v>
      </c>
      <c r="F311" s="40">
        <v>0</v>
      </c>
      <c r="G311"/>
      <c r="H311"/>
      <c r="I311"/>
    </row>
    <row r="312" spans="1:9" ht="15">
      <c r="A312" s="110"/>
      <c r="B312" s="13"/>
      <c r="D312" s="13" t="s">
        <v>48</v>
      </c>
      <c r="E312" s="40">
        <v>400</v>
      </c>
      <c r="F312" s="40">
        <v>0</v>
      </c>
      <c r="G312"/>
      <c r="H312"/>
      <c r="I312"/>
    </row>
    <row r="313" spans="1:9" ht="15">
      <c r="A313" s="110"/>
      <c r="B313" s="13"/>
      <c r="C313" s="13">
        <v>800</v>
      </c>
      <c r="D313" s="13" t="s">
        <v>47</v>
      </c>
      <c r="E313" s="40">
        <v>800</v>
      </c>
      <c r="F313" s="40">
        <v>0</v>
      </c>
      <c r="G313"/>
      <c r="H313"/>
      <c r="I313"/>
    </row>
    <row r="314" spans="1:9" ht="15">
      <c r="A314" s="110"/>
      <c r="B314" s="13"/>
      <c r="C314" s="13">
        <v>810</v>
      </c>
      <c r="D314" s="13" t="s">
        <v>48</v>
      </c>
      <c r="E314" s="40">
        <v>810</v>
      </c>
      <c r="F314" s="40">
        <v>0</v>
      </c>
      <c r="G314"/>
      <c r="H314"/>
      <c r="I314"/>
    </row>
    <row r="315" spans="1:9" ht="15">
      <c r="A315" s="110"/>
      <c r="B315" s="13"/>
      <c r="C315" s="13">
        <v>1400</v>
      </c>
      <c r="D315" s="13" t="s">
        <v>47</v>
      </c>
      <c r="E315" s="40">
        <v>1400</v>
      </c>
      <c r="F315" s="40">
        <v>0</v>
      </c>
      <c r="G315"/>
      <c r="H315"/>
      <c r="I315"/>
    </row>
    <row r="316" spans="1:9" ht="15">
      <c r="A316" s="110"/>
      <c r="B316" s="13"/>
      <c r="C316" s="13">
        <v>1980</v>
      </c>
      <c r="D316" s="13" t="s">
        <v>48</v>
      </c>
      <c r="E316" s="40">
        <v>1980</v>
      </c>
      <c r="F316" s="40">
        <v>0</v>
      </c>
      <c r="G316"/>
      <c r="H316"/>
      <c r="I316"/>
    </row>
    <row r="317" spans="1:9" ht="15">
      <c r="A317" s="110"/>
      <c r="B317" s="13"/>
      <c r="C317" s="13">
        <v>4600</v>
      </c>
      <c r="D317" s="13" t="s">
        <v>47</v>
      </c>
      <c r="E317" s="40">
        <v>4600</v>
      </c>
      <c r="F317" s="40">
        <v>0</v>
      </c>
      <c r="G317"/>
      <c r="H317"/>
      <c r="I317"/>
    </row>
    <row r="318" spans="1:9" ht="15">
      <c r="A318" s="110"/>
      <c r="B318" s="13"/>
      <c r="D318" s="13" t="s">
        <v>48</v>
      </c>
      <c r="E318" s="40">
        <v>4600</v>
      </c>
      <c r="F318" s="40">
        <v>0</v>
      </c>
      <c r="G318"/>
      <c r="H318"/>
      <c r="I318"/>
    </row>
    <row r="319" spans="1:9" ht="15">
      <c r="A319" s="110"/>
      <c r="B319" s="13"/>
      <c r="C319" s="13" t="s">
        <v>158</v>
      </c>
      <c r="D319" s="13" t="s">
        <v>47</v>
      </c>
      <c r="E319" s="40">
        <v>0</v>
      </c>
      <c r="F319" s="40">
        <v>7790</v>
      </c>
      <c r="G319"/>
      <c r="H319"/>
      <c r="I319"/>
    </row>
    <row r="320" spans="1:9" ht="15">
      <c r="A320" s="110"/>
      <c r="B320" s="13"/>
      <c r="D320" s="13" t="s">
        <v>83</v>
      </c>
      <c r="E320" s="40">
        <v>0</v>
      </c>
      <c r="F320" s="40">
        <v>2200</v>
      </c>
      <c r="G320"/>
      <c r="H320"/>
      <c r="I320"/>
    </row>
    <row r="321" spans="1:9" ht="15">
      <c r="A321" s="110"/>
      <c r="B321" s="13"/>
      <c r="D321" s="13" t="s">
        <v>84</v>
      </c>
      <c r="E321" s="40">
        <v>0</v>
      </c>
      <c r="F321" s="40">
        <v>360</v>
      </c>
      <c r="G321"/>
      <c r="H321"/>
      <c r="I321"/>
    </row>
    <row r="322" spans="1:9" ht="15">
      <c r="A322" s="110"/>
      <c r="B322" s="13"/>
      <c r="D322" s="13" t="s">
        <v>92</v>
      </c>
      <c r="E322" s="40">
        <v>0</v>
      </c>
      <c r="F322" s="40">
        <v>180</v>
      </c>
      <c r="G322"/>
      <c r="H322"/>
      <c r="I322"/>
    </row>
    <row r="323" spans="1:9" ht="15">
      <c r="A323" s="110"/>
      <c r="B323" s="13"/>
      <c r="D323" s="13" t="s">
        <v>87</v>
      </c>
      <c r="E323" s="40">
        <v>0</v>
      </c>
      <c r="F323" s="40">
        <v>50</v>
      </c>
      <c r="G323"/>
      <c r="H323"/>
      <c r="I323"/>
    </row>
    <row r="324" spans="1:9" ht="15">
      <c r="A324" s="110"/>
      <c r="B324" s="13"/>
      <c r="D324" s="13" t="s">
        <v>73</v>
      </c>
      <c r="E324" s="40">
        <v>0</v>
      </c>
      <c r="F324" s="40">
        <v>2530</v>
      </c>
      <c r="G324"/>
      <c r="H324"/>
      <c r="I324"/>
    </row>
    <row r="325" spans="1:9" ht="15">
      <c r="A325" s="110"/>
      <c r="B325" s="13"/>
      <c r="D325" s="13" t="s">
        <v>71</v>
      </c>
      <c r="E325" s="40">
        <v>0</v>
      </c>
      <c r="F325" s="40">
        <v>400</v>
      </c>
      <c r="G325"/>
      <c r="H325"/>
      <c r="I325"/>
    </row>
    <row r="326" spans="1:9" ht="15">
      <c r="A326" s="110"/>
      <c r="B326" s="13"/>
      <c r="D326" s="13" t="s">
        <v>93</v>
      </c>
      <c r="E326" s="40">
        <v>0</v>
      </c>
      <c r="F326" s="40">
        <v>2070</v>
      </c>
      <c r="G326"/>
      <c r="H326"/>
      <c r="I326"/>
    </row>
    <row r="327" spans="1:9" ht="15">
      <c r="A327" s="110">
        <v>244055</v>
      </c>
      <c r="B327" s="13" t="s">
        <v>161</v>
      </c>
      <c r="E327" s="40"/>
      <c r="F327" s="40"/>
      <c r="G327"/>
      <c r="H327"/>
      <c r="I327"/>
    </row>
    <row r="328" spans="1:9" ht="15">
      <c r="A328" s="110"/>
      <c r="B328" s="13"/>
      <c r="C328" s="13">
        <v>50</v>
      </c>
      <c r="D328" s="13" t="s">
        <v>47</v>
      </c>
      <c r="E328" s="40">
        <v>50</v>
      </c>
      <c r="F328" s="40">
        <v>0</v>
      </c>
      <c r="G328"/>
      <c r="H328"/>
      <c r="I328"/>
    </row>
    <row r="329" spans="1:9" ht="15">
      <c r="A329" s="110"/>
      <c r="B329" s="13"/>
      <c r="C329" s="13">
        <v>70</v>
      </c>
      <c r="D329" s="13" t="s">
        <v>47</v>
      </c>
      <c r="E329" s="40">
        <v>70</v>
      </c>
      <c r="F329" s="40">
        <v>0</v>
      </c>
      <c r="G329"/>
      <c r="H329"/>
      <c r="I329"/>
    </row>
    <row r="330" spans="1:9" ht="15">
      <c r="A330" s="110"/>
      <c r="B330" s="13"/>
      <c r="C330" s="13">
        <v>270</v>
      </c>
      <c r="D330" s="13" t="s">
        <v>47</v>
      </c>
      <c r="E330" s="40">
        <v>270</v>
      </c>
      <c r="F330" s="40">
        <v>0</v>
      </c>
      <c r="G330"/>
      <c r="H330"/>
      <c r="I330"/>
    </row>
    <row r="331" spans="1:9" ht="15">
      <c r="A331" s="110"/>
      <c r="B331" s="13"/>
      <c r="C331" s="13">
        <v>360</v>
      </c>
      <c r="D331" s="13" t="s">
        <v>47</v>
      </c>
      <c r="E331" s="40">
        <v>360</v>
      </c>
      <c r="F331" s="40">
        <v>0</v>
      </c>
      <c r="G331"/>
      <c r="H331"/>
      <c r="I331"/>
    </row>
    <row r="332" spans="1:9" ht="15">
      <c r="A332" s="110"/>
      <c r="B332" s="13"/>
      <c r="C332" s="13">
        <v>1200</v>
      </c>
      <c r="D332" s="13" t="s">
        <v>47</v>
      </c>
      <c r="E332" s="40">
        <v>1200</v>
      </c>
      <c r="F332" s="40">
        <v>0</v>
      </c>
      <c r="G332"/>
      <c r="H332"/>
      <c r="I332"/>
    </row>
    <row r="333" spans="1:9" ht="15">
      <c r="A333" s="110"/>
      <c r="B333" s="13"/>
      <c r="C333" s="13">
        <v>1270</v>
      </c>
      <c r="D333" s="13" t="s">
        <v>48</v>
      </c>
      <c r="E333" s="40">
        <v>1270</v>
      </c>
      <c r="F333" s="40">
        <v>0</v>
      </c>
      <c r="G333"/>
      <c r="H333"/>
      <c r="I333"/>
    </row>
    <row r="334" spans="1:9" ht="15">
      <c r="A334" s="110"/>
      <c r="B334" s="13"/>
      <c r="C334" s="13">
        <v>2100</v>
      </c>
      <c r="D334" s="13" t="s">
        <v>47</v>
      </c>
      <c r="E334" s="40">
        <v>2100</v>
      </c>
      <c r="F334" s="40">
        <v>0</v>
      </c>
      <c r="G334"/>
      <c r="H334"/>
      <c r="I334"/>
    </row>
    <row r="335" spans="1:9" ht="15">
      <c r="A335" s="110"/>
      <c r="B335" s="13"/>
      <c r="C335" s="13">
        <v>2780</v>
      </c>
      <c r="D335" s="13" t="s">
        <v>48</v>
      </c>
      <c r="E335" s="40">
        <v>2780</v>
      </c>
      <c r="F335" s="40">
        <v>0</v>
      </c>
      <c r="G335"/>
      <c r="H335"/>
      <c r="I335"/>
    </row>
    <row r="336" spans="1:9" ht="15">
      <c r="A336" s="110"/>
      <c r="B336" s="13"/>
      <c r="C336" s="13" t="s">
        <v>158</v>
      </c>
      <c r="D336" s="13" t="s">
        <v>47</v>
      </c>
      <c r="E336" s="40">
        <v>0</v>
      </c>
      <c r="F336" s="40">
        <v>4050</v>
      </c>
      <c r="G336"/>
      <c r="H336"/>
      <c r="I336"/>
    </row>
    <row r="337" spans="1:9" ht="15">
      <c r="A337" s="110"/>
      <c r="B337" s="13"/>
      <c r="D337" s="13" t="s">
        <v>98</v>
      </c>
      <c r="E337" s="40">
        <v>0</v>
      </c>
      <c r="F337" s="40">
        <v>50</v>
      </c>
      <c r="G337"/>
      <c r="H337"/>
      <c r="I337"/>
    </row>
    <row r="338" spans="1:9" ht="15">
      <c r="A338" s="110"/>
      <c r="B338" s="13"/>
      <c r="D338" s="13" t="s">
        <v>83</v>
      </c>
      <c r="E338" s="40">
        <v>0</v>
      </c>
      <c r="F338" s="40">
        <v>3300</v>
      </c>
      <c r="G338"/>
      <c r="H338"/>
      <c r="I338"/>
    </row>
    <row r="339" spans="1:9" ht="15">
      <c r="A339" s="110"/>
      <c r="B339" s="13"/>
      <c r="D339" s="13" t="s">
        <v>84</v>
      </c>
      <c r="E339" s="40">
        <v>0</v>
      </c>
      <c r="F339" s="40">
        <v>360</v>
      </c>
      <c r="G339"/>
      <c r="H339"/>
      <c r="I339"/>
    </row>
    <row r="340" spans="1:9" ht="15">
      <c r="A340" s="110"/>
      <c r="B340" s="13"/>
      <c r="D340" s="13" t="s">
        <v>92</v>
      </c>
      <c r="E340" s="40">
        <v>0</v>
      </c>
      <c r="F340" s="40">
        <v>340</v>
      </c>
      <c r="G340"/>
      <c r="H340"/>
      <c r="I340"/>
    </row>
    <row r="341" spans="1:9" ht="15">
      <c r="A341" s="110">
        <v>244086</v>
      </c>
      <c r="B341" s="13" t="s">
        <v>161</v>
      </c>
      <c r="E341" s="40"/>
      <c r="F341" s="40"/>
      <c r="G341"/>
      <c r="H341"/>
      <c r="I341"/>
    </row>
    <row r="342" spans="1:9" ht="15">
      <c r="A342" s="110"/>
      <c r="B342" s="13"/>
      <c r="C342" s="13">
        <v>110</v>
      </c>
      <c r="D342" s="13" t="s">
        <v>47</v>
      </c>
      <c r="E342" s="40">
        <v>110</v>
      </c>
      <c r="F342" s="40">
        <v>0</v>
      </c>
      <c r="G342"/>
      <c r="H342"/>
      <c r="I342"/>
    </row>
    <row r="343" spans="1:9" ht="15">
      <c r="A343" s="110"/>
      <c r="B343" s="13"/>
      <c r="C343" s="13">
        <v>180</v>
      </c>
      <c r="D343" s="13" t="s">
        <v>47</v>
      </c>
      <c r="E343" s="40">
        <v>180</v>
      </c>
      <c r="F343" s="40">
        <v>0</v>
      </c>
      <c r="G343"/>
      <c r="H343"/>
      <c r="I343"/>
    </row>
    <row r="344" spans="1:9" ht="15">
      <c r="A344" s="110"/>
      <c r="B344" s="13"/>
      <c r="C344" s="13">
        <v>190</v>
      </c>
      <c r="D344" s="13" t="s">
        <v>47</v>
      </c>
      <c r="E344" s="40">
        <v>190</v>
      </c>
      <c r="F344" s="40">
        <v>0</v>
      </c>
      <c r="G344"/>
      <c r="H344"/>
      <c r="I344"/>
    </row>
    <row r="345" spans="1:9" ht="15">
      <c r="A345" s="110"/>
      <c r="B345" s="13"/>
      <c r="C345" s="13">
        <v>200</v>
      </c>
      <c r="D345" s="13" t="s">
        <v>47</v>
      </c>
      <c r="E345" s="40">
        <v>200</v>
      </c>
      <c r="F345" s="40">
        <v>0</v>
      </c>
      <c r="G345"/>
      <c r="H345"/>
      <c r="I345"/>
    </row>
    <row r="346" spans="1:9" ht="15">
      <c r="A346" s="110"/>
      <c r="B346" s="13"/>
      <c r="C346" s="13">
        <v>900</v>
      </c>
      <c r="D346" s="13" t="s">
        <v>47</v>
      </c>
      <c r="E346" s="40">
        <v>900</v>
      </c>
      <c r="F346" s="40">
        <v>0</v>
      </c>
      <c r="G346"/>
      <c r="H346"/>
      <c r="I346"/>
    </row>
    <row r="347" spans="1:9" ht="15">
      <c r="A347" s="110"/>
      <c r="B347" s="13"/>
      <c r="C347" s="13">
        <v>1400</v>
      </c>
      <c r="D347" s="13" t="s">
        <v>47</v>
      </c>
      <c r="E347" s="40">
        <v>1400</v>
      </c>
      <c r="F347" s="40">
        <v>0</v>
      </c>
      <c r="G347"/>
      <c r="H347"/>
      <c r="I347"/>
    </row>
    <row r="348" spans="1:9" ht="15">
      <c r="A348" s="110"/>
      <c r="B348" s="13"/>
      <c r="C348" s="13">
        <v>1470</v>
      </c>
      <c r="D348" s="13" t="s">
        <v>48</v>
      </c>
      <c r="E348" s="40">
        <v>1470</v>
      </c>
      <c r="F348" s="40">
        <v>0</v>
      </c>
      <c r="G348"/>
      <c r="H348"/>
      <c r="I348"/>
    </row>
    <row r="349" spans="1:9" ht="15">
      <c r="A349" s="110"/>
      <c r="B349" s="13"/>
      <c r="C349" s="13">
        <v>1510</v>
      </c>
      <c r="D349" s="13" t="s">
        <v>48</v>
      </c>
      <c r="E349" s="40">
        <v>1510</v>
      </c>
      <c r="F349" s="40">
        <v>0</v>
      </c>
      <c r="G349"/>
      <c r="H349"/>
      <c r="I349"/>
    </row>
    <row r="350" spans="1:9" ht="15">
      <c r="A350" s="110"/>
      <c r="B350" s="13"/>
      <c r="C350" s="13" t="s">
        <v>158</v>
      </c>
      <c r="D350" s="13" t="s">
        <v>47</v>
      </c>
      <c r="E350" s="40">
        <v>0</v>
      </c>
      <c r="F350" s="40">
        <v>2980</v>
      </c>
      <c r="G350"/>
      <c r="H350"/>
      <c r="I350"/>
    </row>
    <row r="351" spans="1:9" ht="15">
      <c r="A351" s="110"/>
      <c r="B351" s="13"/>
      <c r="D351" s="13" t="s">
        <v>83</v>
      </c>
      <c r="E351" s="40">
        <v>0</v>
      </c>
      <c r="F351" s="40">
        <v>2300</v>
      </c>
      <c r="G351"/>
      <c r="H351"/>
      <c r="I351"/>
    </row>
    <row r="352" spans="1:9" ht="15">
      <c r="A352" s="110"/>
      <c r="B352" s="13"/>
      <c r="D352" s="13" t="s">
        <v>84</v>
      </c>
      <c r="E352" s="40">
        <v>0</v>
      </c>
      <c r="F352" s="40">
        <v>180</v>
      </c>
      <c r="G352"/>
      <c r="H352"/>
      <c r="I352"/>
    </row>
    <row r="353" spans="1:9" ht="15">
      <c r="A353" s="110"/>
      <c r="B353" s="13"/>
      <c r="D353" s="13" t="s">
        <v>92</v>
      </c>
      <c r="E353" s="40">
        <v>0</v>
      </c>
      <c r="F353" s="40">
        <v>300</v>
      </c>
      <c r="G353"/>
      <c r="H353"/>
      <c r="I353"/>
    </row>
    <row r="354" spans="1:9" ht="15">
      <c r="A354" s="110"/>
      <c r="B354" s="13"/>
      <c r="D354" s="13" t="s">
        <v>87</v>
      </c>
      <c r="E354" s="40">
        <v>0</v>
      </c>
      <c r="F354" s="40">
        <v>200</v>
      </c>
      <c r="G354"/>
      <c r="H354"/>
      <c r="I354"/>
    </row>
    <row r="355" spans="1:9" ht="15">
      <c r="A355" s="110">
        <v>244116</v>
      </c>
      <c r="B355" s="13" t="s">
        <v>161</v>
      </c>
      <c r="E355" s="40"/>
      <c r="F355" s="40"/>
      <c r="G355"/>
      <c r="H355"/>
      <c r="I355"/>
    </row>
    <row r="356" spans="1:9" ht="15">
      <c r="A356" s="110"/>
      <c r="B356" s="13"/>
      <c r="C356" s="13">
        <v>50</v>
      </c>
      <c r="D356" s="13" t="s">
        <v>47</v>
      </c>
      <c r="E356" s="40">
        <v>100</v>
      </c>
      <c r="F356" s="40">
        <v>0</v>
      </c>
      <c r="G356"/>
      <c r="H356"/>
      <c r="I356"/>
    </row>
    <row r="357" spans="1:9" ht="15">
      <c r="A357" s="110"/>
      <c r="B357" s="13"/>
      <c r="C357" s="13">
        <v>490</v>
      </c>
      <c r="D357" s="13" t="s">
        <v>47</v>
      </c>
      <c r="E357" s="40">
        <v>490</v>
      </c>
      <c r="F357" s="40">
        <v>0</v>
      </c>
      <c r="G357"/>
      <c r="H357"/>
      <c r="I357"/>
    </row>
    <row r="358" spans="1:9" ht="15">
      <c r="A358" s="110"/>
      <c r="B358" s="13"/>
      <c r="C358" s="13">
        <v>1200</v>
      </c>
      <c r="D358" s="13" t="s">
        <v>47</v>
      </c>
      <c r="E358" s="40">
        <v>1200</v>
      </c>
      <c r="F358" s="40">
        <v>0</v>
      </c>
      <c r="G358"/>
      <c r="H358"/>
      <c r="I358"/>
    </row>
    <row r="359" spans="1:9" ht="15">
      <c r="A359" s="110"/>
      <c r="B359" s="13"/>
      <c r="C359" s="13">
        <v>3300</v>
      </c>
      <c r="D359" s="13" t="s">
        <v>47</v>
      </c>
      <c r="E359" s="40">
        <v>3300</v>
      </c>
      <c r="F359" s="40">
        <v>0</v>
      </c>
      <c r="G359"/>
      <c r="H359"/>
      <c r="I359"/>
    </row>
    <row r="360" spans="1:9" ht="15">
      <c r="A360" s="110"/>
      <c r="B360" s="13"/>
      <c r="C360" s="13">
        <v>5090</v>
      </c>
      <c r="D360" s="13" t="s">
        <v>48</v>
      </c>
      <c r="E360" s="40">
        <v>5090</v>
      </c>
      <c r="F360" s="40">
        <v>0</v>
      </c>
      <c r="G360"/>
      <c r="H360"/>
      <c r="I360"/>
    </row>
    <row r="361" spans="1:9" ht="15">
      <c r="A361" s="110"/>
      <c r="B361" s="13"/>
      <c r="C361" s="13" t="s">
        <v>158</v>
      </c>
      <c r="D361" s="13" t="s">
        <v>47</v>
      </c>
      <c r="E361" s="40">
        <v>0</v>
      </c>
      <c r="F361" s="40">
        <v>5090</v>
      </c>
      <c r="G361"/>
      <c r="H361"/>
      <c r="I361"/>
    </row>
    <row r="362" spans="1:9" ht="15">
      <c r="A362" s="110"/>
      <c r="B362" s="13"/>
      <c r="D362" s="13" t="s">
        <v>98</v>
      </c>
      <c r="E362" s="40">
        <v>0</v>
      </c>
      <c r="F362" s="40">
        <v>50</v>
      </c>
      <c r="G362"/>
      <c r="H362"/>
      <c r="I362"/>
    </row>
    <row r="363" spans="1:9" ht="15">
      <c r="A363" s="110"/>
      <c r="B363" s="13"/>
      <c r="D363" s="13" t="s">
        <v>83</v>
      </c>
      <c r="E363" s="40">
        <v>0</v>
      </c>
      <c r="F363" s="40">
        <v>3300</v>
      </c>
      <c r="G363"/>
      <c r="H363"/>
      <c r="I363"/>
    </row>
    <row r="364" spans="1:9" ht="15">
      <c r="A364" s="110"/>
      <c r="B364" s="13"/>
      <c r="D364" s="13" t="s">
        <v>92</v>
      </c>
      <c r="E364" s="40">
        <v>0</v>
      </c>
      <c r="F364" s="40">
        <v>490</v>
      </c>
      <c r="G364"/>
      <c r="H364"/>
      <c r="I364"/>
    </row>
    <row r="365" spans="1:9" ht="15">
      <c r="A365" s="110"/>
      <c r="B365" s="13"/>
      <c r="D365" s="13" t="s">
        <v>85</v>
      </c>
      <c r="E365" s="40">
        <v>0</v>
      </c>
      <c r="F365" s="40">
        <v>1200</v>
      </c>
      <c r="G365"/>
      <c r="H365"/>
      <c r="I365"/>
    </row>
    <row r="366" spans="1:9" ht="15">
      <c r="A366" s="110"/>
      <c r="B366" s="13"/>
      <c r="D366" s="13" t="s">
        <v>87</v>
      </c>
      <c r="E366" s="40">
        <v>0</v>
      </c>
      <c r="F366" s="40">
        <v>50</v>
      </c>
      <c r="G366"/>
      <c r="H366"/>
      <c r="I366"/>
    </row>
    <row r="367" spans="1:9" ht="15">
      <c r="A367" s="110">
        <v>244147</v>
      </c>
      <c r="B367" s="13" t="s">
        <v>161</v>
      </c>
      <c r="E367" s="40"/>
      <c r="F367" s="40"/>
      <c r="G367"/>
      <c r="H367"/>
      <c r="I367"/>
    </row>
    <row r="368" spans="1:9" ht="15">
      <c r="A368" s="110"/>
      <c r="B368" s="13"/>
      <c r="C368" s="13">
        <v>250</v>
      </c>
      <c r="D368" s="13" t="s">
        <v>47</v>
      </c>
      <c r="E368" s="40">
        <v>250</v>
      </c>
      <c r="F368" s="40">
        <v>0</v>
      </c>
      <c r="G368"/>
      <c r="H368"/>
      <c r="I368"/>
    </row>
    <row r="369" spans="1:9" ht="15">
      <c r="A369" s="110"/>
      <c r="B369" s="13"/>
      <c r="C369" s="13">
        <v>480</v>
      </c>
      <c r="D369" s="13" t="s">
        <v>47</v>
      </c>
      <c r="E369" s="40">
        <v>480</v>
      </c>
      <c r="F369" s="40">
        <v>0</v>
      </c>
      <c r="G369"/>
      <c r="H369"/>
      <c r="I369"/>
    </row>
    <row r="370" spans="1:9" ht="15">
      <c r="A370" s="110"/>
      <c r="B370" s="13"/>
      <c r="C370" s="13">
        <v>530</v>
      </c>
      <c r="D370" s="13" t="s">
        <v>47</v>
      </c>
      <c r="E370" s="40">
        <v>530</v>
      </c>
      <c r="F370" s="40">
        <v>0</v>
      </c>
      <c r="G370"/>
      <c r="H370"/>
      <c r="I370"/>
    </row>
    <row r="371" spans="1:9" ht="15">
      <c r="A371" s="110"/>
      <c r="B371" s="13"/>
      <c r="C371" s="13">
        <v>2800</v>
      </c>
      <c r="D371" s="13" t="s">
        <v>47</v>
      </c>
      <c r="E371" s="40">
        <v>2800</v>
      </c>
      <c r="F371" s="40">
        <v>0</v>
      </c>
      <c r="G371"/>
      <c r="H371"/>
      <c r="I371"/>
    </row>
    <row r="372" spans="1:9" ht="15">
      <c r="A372" s="110"/>
      <c r="B372" s="13"/>
      <c r="C372" s="13">
        <v>4060</v>
      </c>
      <c r="D372" s="13" t="s">
        <v>48</v>
      </c>
      <c r="E372" s="40">
        <v>4060</v>
      </c>
      <c r="F372" s="40">
        <v>0</v>
      </c>
      <c r="G372"/>
      <c r="H372"/>
      <c r="I372"/>
    </row>
    <row r="373" spans="1:9" ht="15">
      <c r="A373" s="110"/>
      <c r="B373" s="13"/>
      <c r="C373" s="13" t="s">
        <v>158</v>
      </c>
      <c r="D373" s="13" t="s">
        <v>47</v>
      </c>
      <c r="E373" s="40">
        <v>0</v>
      </c>
      <c r="F373" s="40">
        <v>4060</v>
      </c>
      <c r="G373"/>
      <c r="H373"/>
      <c r="I373"/>
    </row>
    <row r="374" spans="1:9" ht="15">
      <c r="A374" s="110"/>
      <c r="B374" s="13"/>
      <c r="D374" s="13" t="s">
        <v>83</v>
      </c>
      <c r="E374" s="40">
        <v>0</v>
      </c>
      <c r="F374" s="40">
        <v>2800</v>
      </c>
      <c r="G374"/>
      <c r="H374"/>
      <c r="I374"/>
    </row>
    <row r="375" spans="1:9" ht="15">
      <c r="A375" s="110"/>
      <c r="B375" s="13"/>
      <c r="D375" s="13" t="s">
        <v>92</v>
      </c>
      <c r="E375" s="40">
        <v>0</v>
      </c>
      <c r="F375" s="40">
        <v>530</v>
      </c>
      <c r="G375"/>
      <c r="H375"/>
      <c r="I375"/>
    </row>
    <row r="376" spans="1:9" ht="15">
      <c r="A376" s="110"/>
      <c r="B376" s="13"/>
      <c r="D376" s="13" t="s">
        <v>85</v>
      </c>
      <c r="E376" s="40">
        <v>0</v>
      </c>
      <c r="F376" s="40">
        <v>480</v>
      </c>
      <c r="G376"/>
      <c r="H376"/>
      <c r="I376"/>
    </row>
    <row r="377" spans="1:9" ht="15">
      <c r="A377" s="110"/>
      <c r="B377" s="13"/>
      <c r="D377" s="13" t="s">
        <v>87</v>
      </c>
      <c r="E377" s="40">
        <v>0</v>
      </c>
      <c r="F377" s="40">
        <v>250</v>
      </c>
      <c r="G377"/>
      <c r="H377"/>
      <c r="I377"/>
    </row>
    <row r="378" spans="1:9" ht="15">
      <c r="A378" s="110">
        <v>244177</v>
      </c>
      <c r="B378" s="13" t="s">
        <v>161</v>
      </c>
      <c r="E378" s="40"/>
      <c r="F378" s="40"/>
      <c r="G378"/>
      <c r="H378"/>
      <c r="I378"/>
    </row>
    <row r="379" spans="1:9" ht="15">
      <c r="A379" s="110"/>
      <c r="B379" s="13"/>
      <c r="C379" s="13">
        <v>200</v>
      </c>
      <c r="D379" s="13" t="s">
        <v>47</v>
      </c>
      <c r="E379" s="40">
        <v>200</v>
      </c>
      <c r="F379" s="40">
        <v>0</v>
      </c>
      <c r="G379"/>
      <c r="H379"/>
      <c r="I379"/>
    </row>
    <row r="380" spans="1:9" ht="15">
      <c r="A380" s="110"/>
      <c r="B380" s="13"/>
      <c r="C380" s="13">
        <v>2500</v>
      </c>
      <c r="D380" s="13" t="s">
        <v>47</v>
      </c>
      <c r="E380" s="40">
        <v>2500</v>
      </c>
      <c r="F380" s="40">
        <v>0</v>
      </c>
      <c r="G380"/>
      <c r="H380"/>
      <c r="I380"/>
    </row>
    <row r="381" spans="1:9" ht="15">
      <c r="A381" s="110"/>
      <c r="B381" s="13"/>
      <c r="C381" s="13">
        <v>2700</v>
      </c>
      <c r="D381" s="13" t="s">
        <v>48</v>
      </c>
      <c r="E381" s="40">
        <v>2700</v>
      </c>
      <c r="F381" s="40">
        <v>0</v>
      </c>
      <c r="G381"/>
      <c r="H381"/>
      <c r="I381"/>
    </row>
    <row r="382" spans="1:9" ht="15">
      <c r="A382" s="110"/>
      <c r="B382" s="13"/>
      <c r="C382" s="13" t="s">
        <v>158</v>
      </c>
      <c r="D382" s="13" t="s">
        <v>47</v>
      </c>
      <c r="E382" s="40">
        <v>0</v>
      </c>
      <c r="F382" s="40">
        <v>2700</v>
      </c>
      <c r="G382"/>
      <c r="H382"/>
      <c r="I382"/>
    </row>
    <row r="383" spans="1:9" ht="15">
      <c r="A383" s="110"/>
      <c r="B383" s="13"/>
      <c r="D383" s="13" t="s">
        <v>83</v>
      </c>
      <c r="E383" s="40">
        <v>0</v>
      </c>
      <c r="F383" s="40">
        <v>2500</v>
      </c>
      <c r="G383"/>
      <c r="H383"/>
      <c r="I383"/>
    </row>
    <row r="384" spans="1:9" ht="15">
      <c r="A384" s="110"/>
      <c r="B384" s="13"/>
      <c r="D384" s="13" t="s">
        <v>92</v>
      </c>
      <c r="E384" s="40">
        <v>0</v>
      </c>
      <c r="F384" s="40">
        <v>200</v>
      </c>
      <c r="G384"/>
      <c r="H384"/>
      <c r="I384"/>
    </row>
    <row r="385" spans="1:9" ht="15">
      <c r="A385" s="110">
        <v>244208</v>
      </c>
      <c r="B385" s="13" t="s">
        <v>161</v>
      </c>
      <c r="E385" s="40"/>
      <c r="F385" s="40"/>
      <c r="G385"/>
      <c r="H385"/>
      <c r="I385"/>
    </row>
    <row r="386" spans="1:9" ht="15">
      <c r="A386" s="110"/>
      <c r="B386" s="13"/>
      <c r="C386" s="13">
        <v>70</v>
      </c>
      <c r="D386" s="13" t="s">
        <v>47</v>
      </c>
      <c r="E386" s="40">
        <v>70</v>
      </c>
      <c r="F386" s="40">
        <v>0</v>
      </c>
      <c r="G386"/>
      <c r="H386"/>
      <c r="I386"/>
    </row>
    <row r="387" spans="1:9" ht="15">
      <c r="A387" s="110"/>
      <c r="B387" s="13"/>
      <c r="C387" s="13">
        <v>150</v>
      </c>
      <c r="D387" s="13" t="s">
        <v>47</v>
      </c>
      <c r="E387" s="40">
        <v>150</v>
      </c>
      <c r="F387" s="40">
        <v>0</v>
      </c>
      <c r="G387"/>
      <c r="H387"/>
      <c r="I387"/>
    </row>
    <row r="388" spans="1:9" ht="15">
      <c r="A388" s="110"/>
      <c r="B388" s="13"/>
      <c r="C388" s="13">
        <v>310</v>
      </c>
      <c r="D388" s="13" t="s">
        <v>47</v>
      </c>
      <c r="E388" s="40">
        <v>310</v>
      </c>
      <c r="F388" s="40">
        <v>0</v>
      </c>
      <c r="G388"/>
      <c r="H388"/>
      <c r="I388"/>
    </row>
    <row r="389" spans="1:9" ht="15">
      <c r="A389" s="110"/>
      <c r="B389" s="13"/>
      <c r="C389" s="13">
        <v>360</v>
      </c>
      <c r="D389" s="13" t="s">
        <v>47</v>
      </c>
      <c r="E389" s="40">
        <v>360</v>
      </c>
      <c r="F389" s="40">
        <v>0</v>
      </c>
      <c r="G389"/>
      <c r="H389"/>
      <c r="I389"/>
    </row>
    <row r="390" spans="1:9" ht="15">
      <c r="A390" s="110"/>
      <c r="B390" s="13"/>
      <c r="C390" s="13">
        <v>600</v>
      </c>
      <c r="D390" s="13" t="s">
        <v>47</v>
      </c>
      <c r="E390" s="40">
        <v>600</v>
      </c>
      <c r="F390" s="40">
        <v>0</v>
      </c>
      <c r="G390"/>
      <c r="H390"/>
      <c r="I390"/>
    </row>
    <row r="391" spans="1:9" ht="15">
      <c r="A391" s="110"/>
      <c r="B391" s="13"/>
      <c r="C391" s="13">
        <v>670</v>
      </c>
      <c r="D391" s="13" t="s">
        <v>48</v>
      </c>
      <c r="E391" s="40">
        <v>670</v>
      </c>
      <c r="F391" s="40">
        <v>0</v>
      </c>
      <c r="G391"/>
      <c r="H391"/>
      <c r="I391"/>
    </row>
    <row r="392" spans="1:9" ht="15">
      <c r="A392" s="110"/>
      <c r="B392" s="13"/>
      <c r="C392" s="13">
        <v>1200</v>
      </c>
      <c r="D392" s="13" t="s">
        <v>47</v>
      </c>
      <c r="E392" s="40">
        <v>1200</v>
      </c>
      <c r="F392" s="40">
        <v>0</v>
      </c>
      <c r="G392"/>
      <c r="H392"/>
      <c r="I392"/>
    </row>
    <row r="393" spans="1:9" ht="15">
      <c r="A393" s="110"/>
      <c r="B393" s="13"/>
      <c r="D393" s="13" t="s">
        <v>48</v>
      </c>
      <c r="E393" s="40">
        <v>1200</v>
      </c>
      <c r="F393" s="40">
        <v>0</v>
      </c>
      <c r="G393"/>
      <c r="H393"/>
      <c r="I393"/>
    </row>
    <row r="394" spans="1:9" ht="15">
      <c r="A394" s="110"/>
      <c r="B394" s="13"/>
      <c r="C394" s="13">
        <v>1700</v>
      </c>
      <c r="D394" s="13" t="s">
        <v>47</v>
      </c>
      <c r="E394" s="40">
        <v>1700</v>
      </c>
      <c r="F394" s="40">
        <v>0</v>
      </c>
      <c r="G394"/>
      <c r="H394"/>
      <c r="I394"/>
    </row>
    <row r="395" spans="1:9" ht="15">
      <c r="A395" s="110"/>
      <c r="B395" s="13"/>
      <c r="C395" s="13">
        <v>2000</v>
      </c>
      <c r="D395" s="13" t="s">
        <v>47</v>
      </c>
      <c r="E395" s="40">
        <v>2000</v>
      </c>
      <c r="F395" s="40">
        <v>0</v>
      </c>
      <c r="G395"/>
      <c r="H395"/>
      <c r="I395"/>
    </row>
    <row r="396" spans="1:9" ht="15">
      <c r="A396" s="110"/>
      <c r="B396" s="13"/>
      <c r="D396" s="13" t="s">
        <v>48</v>
      </c>
      <c r="E396" s="40">
        <v>2000</v>
      </c>
      <c r="F396" s="40">
        <v>0</v>
      </c>
      <c r="G396"/>
      <c r="H396"/>
      <c r="I396"/>
    </row>
    <row r="397" spans="1:9" ht="15">
      <c r="A397" s="110"/>
      <c r="B397" s="13"/>
      <c r="C397" s="13">
        <v>2520</v>
      </c>
      <c r="D397" s="13" t="s">
        <v>48</v>
      </c>
      <c r="E397" s="40">
        <v>2520</v>
      </c>
      <c r="F397" s="40">
        <v>0</v>
      </c>
      <c r="G397"/>
      <c r="H397"/>
      <c r="I397"/>
    </row>
    <row r="398" spans="1:9" ht="15">
      <c r="A398" s="110"/>
      <c r="B398" s="13"/>
      <c r="C398" s="13" t="s">
        <v>158</v>
      </c>
      <c r="D398" s="13" t="s">
        <v>47</v>
      </c>
      <c r="E398" s="40">
        <v>0</v>
      </c>
      <c r="F398" s="40">
        <v>6390</v>
      </c>
      <c r="G398"/>
      <c r="H398"/>
      <c r="I398"/>
    </row>
    <row r="399" spans="1:9" ht="15">
      <c r="A399" s="110"/>
      <c r="B399" s="13"/>
      <c r="D399" s="13" t="s">
        <v>83</v>
      </c>
      <c r="E399" s="40">
        <v>0</v>
      </c>
      <c r="F399" s="40">
        <v>2300</v>
      </c>
      <c r="G399"/>
      <c r="H399"/>
      <c r="I399"/>
    </row>
    <row r="400" spans="1:9" ht="15">
      <c r="A400" s="110"/>
      <c r="B400" s="13"/>
      <c r="D400" s="13" t="s">
        <v>84</v>
      </c>
      <c r="E400" s="40">
        <v>0</v>
      </c>
      <c r="F400" s="40">
        <v>360</v>
      </c>
      <c r="G400"/>
      <c r="H400"/>
      <c r="I400"/>
    </row>
    <row r="401" spans="1:9" ht="15">
      <c r="A401" s="110"/>
      <c r="B401" s="13"/>
      <c r="D401" s="13" t="s">
        <v>92</v>
      </c>
      <c r="E401" s="40">
        <v>0</v>
      </c>
      <c r="F401" s="40">
        <v>380</v>
      </c>
      <c r="G401"/>
      <c r="H401"/>
      <c r="I401"/>
    </row>
    <row r="402" spans="1:9" ht="15">
      <c r="A402" s="110"/>
      <c r="B402" s="13"/>
      <c r="D402" s="13" t="s">
        <v>87</v>
      </c>
      <c r="E402" s="40">
        <v>0</v>
      </c>
      <c r="F402" s="40">
        <v>150</v>
      </c>
      <c r="G402"/>
      <c r="H402"/>
      <c r="I402"/>
    </row>
    <row r="403" spans="1:9" ht="15">
      <c r="A403" s="110"/>
      <c r="B403" s="13"/>
      <c r="D403" s="13" t="s">
        <v>88</v>
      </c>
      <c r="E403" s="40">
        <v>0</v>
      </c>
      <c r="F403" s="40">
        <v>2000</v>
      </c>
      <c r="G403"/>
      <c r="H403"/>
      <c r="I403"/>
    </row>
    <row r="404" spans="1:9" ht="15">
      <c r="A404" s="110"/>
      <c r="B404" s="13"/>
      <c r="D404" s="13" t="s">
        <v>71</v>
      </c>
      <c r="E404" s="40">
        <v>0</v>
      </c>
      <c r="F404" s="40">
        <v>1200</v>
      </c>
      <c r="G404"/>
      <c r="H404"/>
      <c r="I404"/>
    </row>
    <row r="405" spans="1:9" ht="15">
      <c r="A405" s="110">
        <v>244239</v>
      </c>
      <c r="B405" s="13" t="s">
        <v>162</v>
      </c>
      <c r="E405" s="40"/>
      <c r="F405" s="40"/>
      <c r="G405"/>
      <c r="H405"/>
      <c r="I405"/>
    </row>
    <row r="406" spans="1:9" ht="15">
      <c r="A406" s="110"/>
      <c r="B406" s="13"/>
      <c r="C406" s="13">
        <v>100</v>
      </c>
      <c r="D406" s="13" t="s">
        <v>47</v>
      </c>
      <c r="E406" s="40">
        <v>100</v>
      </c>
      <c r="F406" s="40">
        <v>0</v>
      </c>
      <c r="G406"/>
      <c r="H406"/>
      <c r="I406"/>
    </row>
    <row r="407" spans="1:9" ht="15">
      <c r="A407" s="110"/>
      <c r="B407" s="13"/>
      <c r="C407" s="13">
        <v>190</v>
      </c>
      <c r="D407" s="13" t="s">
        <v>47</v>
      </c>
      <c r="E407" s="40">
        <v>190</v>
      </c>
      <c r="F407" s="40">
        <v>0</v>
      </c>
      <c r="G407"/>
      <c r="H407"/>
      <c r="I407"/>
    </row>
    <row r="408" spans="1:9" ht="15">
      <c r="A408" s="110"/>
      <c r="B408" s="13"/>
      <c r="C408" s="13">
        <v>1700</v>
      </c>
      <c r="D408" s="13" t="s">
        <v>47</v>
      </c>
      <c r="E408" s="40">
        <v>1700</v>
      </c>
      <c r="F408" s="40">
        <v>0</v>
      </c>
      <c r="G408"/>
      <c r="H408"/>
      <c r="I408"/>
    </row>
    <row r="409" spans="1:9" ht="15">
      <c r="A409" s="110"/>
      <c r="B409" s="13"/>
      <c r="C409" s="13">
        <v>1990</v>
      </c>
      <c r="D409" s="13" t="s">
        <v>48</v>
      </c>
      <c r="E409" s="40">
        <v>1990</v>
      </c>
      <c r="F409" s="40">
        <v>0</v>
      </c>
      <c r="G409"/>
      <c r="H409"/>
      <c r="I409"/>
    </row>
    <row r="410" spans="1:9" ht="15">
      <c r="A410" s="110"/>
      <c r="B410" s="13"/>
      <c r="C410" s="13" t="s">
        <v>158</v>
      </c>
      <c r="D410" s="13" t="s">
        <v>47</v>
      </c>
      <c r="E410" s="40">
        <v>0</v>
      </c>
      <c r="F410" s="40">
        <v>1990</v>
      </c>
      <c r="G410"/>
      <c r="H410"/>
      <c r="I410"/>
    </row>
    <row r="411" spans="1:9" ht="15">
      <c r="A411" s="110"/>
      <c r="B411" s="13"/>
      <c r="D411" s="13" t="s">
        <v>83</v>
      </c>
      <c r="E411" s="40">
        <v>0</v>
      </c>
      <c r="F411" s="40">
        <v>1700</v>
      </c>
      <c r="G411"/>
      <c r="H411"/>
      <c r="I411"/>
    </row>
    <row r="412" spans="1:9" ht="15">
      <c r="A412" s="110"/>
      <c r="B412" s="13"/>
      <c r="D412" s="13" t="s">
        <v>92</v>
      </c>
      <c r="E412" s="40">
        <v>0</v>
      </c>
      <c r="F412" s="40">
        <v>190</v>
      </c>
      <c r="G412"/>
      <c r="H412"/>
      <c r="I412"/>
    </row>
    <row r="413" spans="1:9" ht="15">
      <c r="A413" s="110"/>
      <c r="B413" s="13"/>
      <c r="D413" s="13" t="s">
        <v>96</v>
      </c>
      <c r="E413" s="40">
        <v>0</v>
      </c>
      <c r="F413" s="40">
        <v>100</v>
      </c>
      <c r="G413"/>
      <c r="H413"/>
      <c r="I413"/>
    </row>
    <row r="414" spans="1:9" ht="15">
      <c r="A414" s="110"/>
      <c r="B414" s="13" t="s">
        <v>165</v>
      </c>
      <c r="E414" s="40"/>
      <c r="F414" s="40"/>
      <c r="G414"/>
      <c r="H414"/>
      <c r="I414"/>
    </row>
    <row r="415" spans="1:9" ht="15">
      <c r="A415" s="110"/>
      <c r="B415" s="13"/>
      <c r="C415" s="13">
        <v>12159.4</v>
      </c>
      <c r="D415" s="13" t="s">
        <v>102</v>
      </c>
      <c r="E415" s="40">
        <v>12159.4</v>
      </c>
      <c r="F415" s="40">
        <v>0</v>
      </c>
      <c r="G415"/>
      <c r="H415"/>
      <c r="I415"/>
    </row>
    <row r="416" spans="1:9" ht="15">
      <c r="A416" s="110"/>
      <c r="B416" s="13"/>
      <c r="C416" s="13" t="s">
        <v>158</v>
      </c>
      <c r="D416" s="13" t="s">
        <v>48</v>
      </c>
      <c r="E416" s="40">
        <v>0</v>
      </c>
      <c r="F416" s="40">
        <v>12159.4</v>
      </c>
      <c r="G416"/>
      <c r="H416"/>
      <c r="I416"/>
    </row>
    <row r="417" spans="1:9" ht="15">
      <c r="A417" s="110"/>
      <c r="B417" s="13" t="s">
        <v>167</v>
      </c>
      <c r="E417" s="40"/>
      <c r="F417" s="40"/>
      <c r="G417"/>
      <c r="H417"/>
      <c r="I417"/>
    </row>
    <row r="418" spans="1:9" ht="15">
      <c r="A418" s="110"/>
      <c r="B418" s="13"/>
      <c r="C418" s="13">
        <v>61600</v>
      </c>
      <c r="D418" s="13" t="s">
        <v>100</v>
      </c>
      <c r="E418" s="40">
        <v>61600</v>
      </c>
      <c r="F418" s="40">
        <v>0</v>
      </c>
      <c r="G418"/>
      <c r="H418"/>
      <c r="I418"/>
    </row>
    <row r="419" spans="1:9" ht="15">
      <c r="A419" s="110"/>
      <c r="B419" s="13"/>
      <c r="C419" s="13" t="s">
        <v>158</v>
      </c>
      <c r="D419" s="13" t="s">
        <v>48</v>
      </c>
      <c r="E419" s="40">
        <v>0</v>
      </c>
      <c r="F419" s="40">
        <v>61600</v>
      </c>
      <c r="G419"/>
      <c r="H419"/>
      <c r="I419"/>
    </row>
    <row r="420" spans="1:9" ht="15">
      <c r="A420" s="110">
        <v>244269</v>
      </c>
      <c r="B420" s="13" t="s">
        <v>161</v>
      </c>
      <c r="E420" s="40"/>
      <c r="F420" s="40"/>
      <c r="G420"/>
      <c r="H420"/>
      <c r="I420"/>
    </row>
    <row r="421" spans="1:9" ht="15">
      <c r="A421" s="110"/>
      <c r="B421" s="13"/>
      <c r="C421" s="13">
        <v>100</v>
      </c>
      <c r="D421" s="13" t="s">
        <v>47</v>
      </c>
      <c r="E421" s="40">
        <v>100</v>
      </c>
      <c r="F421" s="40">
        <v>0</v>
      </c>
      <c r="G421"/>
      <c r="H421"/>
      <c r="I421"/>
    </row>
    <row r="422" spans="1:9" ht="15">
      <c r="A422" s="110"/>
      <c r="B422" s="13"/>
      <c r="C422" s="13">
        <v>150</v>
      </c>
      <c r="D422" s="13" t="s">
        <v>47</v>
      </c>
      <c r="E422" s="40">
        <v>150</v>
      </c>
      <c r="F422" s="40">
        <v>0</v>
      </c>
      <c r="G422"/>
      <c r="H422"/>
      <c r="I422"/>
    </row>
    <row r="423" spans="1:9" ht="15">
      <c r="A423" s="110"/>
      <c r="B423" s="13"/>
      <c r="C423" s="13">
        <v>510</v>
      </c>
      <c r="D423" s="13" t="s">
        <v>47</v>
      </c>
      <c r="E423" s="40">
        <v>510</v>
      </c>
      <c r="F423" s="40">
        <v>0</v>
      </c>
      <c r="G423"/>
      <c r="H423"/>
      <c r="I423"/>
    </row>
    <row r="424" spans="1:9" ht="15">
      <c r="A424" s="110"/>
      <c r="B424" s="13"/>
      <c r="C424" s="13">
        <v>720</v>
      </c>
      <c r="D424" s="13" t="s">
        <v>47</v>
      </c>
      <c r="E424" s="40">
        <v>720</v>
      </c>
      <c r="F424" s="40">
        <v>0</v>
      </c>
      <c r="G424"/>
      <c r="H424"/>
      <c r="I424"/>
    </row>
    <row r="425" spans="1:9" ht="15">
      <c r="A425" s="110"/>
      <c r="B425" s="13"/>
      <c r="C425" s="13">
        <v>3100</v>
      </c>
      <c r="D425" s="13" t="s">
        <v>47</v>
      </c>
      <c r="E425" s="40">
        <v>3100</v>
      </c>
      <c r="F425" s="40">
        <v>0</v>
      </c>
      <c r="G425"/>
      <c r="H425"/>
      <c r="I425"/>
    </row>
    <row r="426" spans="1:9" ht="15">
      <c r="A426" s="110"/>
      <c r="B426" s="13"/>
      <c r="C426" s="13">
        <v>4580</v>
      </c>
      <c r="D426" s="13" t="s">
        <v>48</v>
      </c>
      <c r="E426" s="40">
        <v>4580</v>
      </c>
      <c r="F426" s="40">
        <v>0</v>
      </c>
      <c r="G426"/>
      <c r="H426"/>
      <c r="I426"/>
    </row>
    <row r="427" spans="1:9" ht="15">
      <c r="A427" s="110"/>
      <c r="B427" s="13"/>
      <c r="C427" s="13" t="s">
        <v>158</v>
      </c>
      <c r="D427" s="13" t="s">
        <v>47</v>
      </c>
      <c r="E427" s="40">
        <v>0</v>
      </c>
      <c r="F427" s="40">
        <v>4580</v>
      </c>
      <c r="G427"/>
      <c r="H427"/>
      <c r="I427"/>
    </row>
    <row r="428" spans="1:9" ht="15">
      <c r="A428" s="110"/>
      <c r="B428" s="13"/>
      <c r="D428" s="13" t="s">
        <v>98</v>
      </c>
      <c r="E428" s="40">
        <v>0</v>
      </c>
      <c r="F428" s="40">
        <v>100</v>
      </c>
      <c r="G428"/>
      <c r="H428"/>
      <c r="I428"/>
    </row>
    <row r="429" spans="1:9" ht="15">
      <c r="A429" s="110"/>
      <c r="B429" s="13"/>
      <c r="D429" s="13" t="s">
        <v>83</v>
      </c>
      <c r="E429" s="40">
        <v>0</v>
      </c>
      <c r="F429" s="40">
        <v>3100</v>
      </c>
      <c r="G429"/>
      <c r="H429"/>
      <c r="I429"/>
    </row>
    <row r="430" spans="1:9" ht="15">
      <c r="A430" s="110"/>
      <c r="B430" s="13"/>
      <c r="D430" s="13" t="s">
        <v>92</v>
      </c>
      <c r="E430" s="40">
        <v>0</v>
      </c>
      <c r="F430" s="40">
        <v>510</v>
      </c>
      <c r="G430"/>
      <c r="H430"/>
      <c r="I430"/>
    </row>
    <row r="431" spans="1:9" ht="15">
      <c r="A431" s="110"/>
      <c r="B431" s="13"/>
      <c r="D431" s="13" t="s">
        <v>85</v>
      </c>
      <c r="E431" s="40">
        <v>0</v>
      </c>
      <c r="F431" s="40">
        <v>720</v>
      </c>
      <c r="G431"/>
      <c r="H431"/>
      <c r="I431"/>
    </row>
    <row r="432" spans="1:9" ht="15">
      <c r="A432" s="110"/>
      <c r="B432" s="13"/>
      <c r="D432" s="13" t="s">
        <v>87</v>
      </c>
      <c r="E432" s="40">
        <v>0</v>
      </c>
      <c r="F432" s="40">
        <v>150</v>
      </c>
      <c r="G432"/>
      <c r="H432"/>
      <c r="I432"/>
    </row>
    <row r="433" spans="1:9" ht="15">
      <c r="A433" s="110">
        <v>244300</v>
      </c>
      <c r="B433" s="13" t="s">
        <v>161</v>
      </c>
      <c r="E433" s="40"/>
      <c r="F433" s="40"/>
      <c r="G433"/>
      <c r="H433"/>
      <c r="I433"/>
    </row>
    <row r="434" spans="1:9" ht="15">
      <c r="A434" s="110"/>
      <c r="B434" s="13"/>
      <c r="C434" s="13">
        <v>50</v>
      </c>
      <c r="D434" s="13" t="s">
        <v>47</v>
      </c>
      <c r="E434" s="40">
        <v>50</v>
      </c>
      <c r="F434" s="40">
        <v>0</v>
      </c>
      <c r="G434"/>
      <c r="H434"/>
      <c r="I434"/>
    </row>
    <row r="435" spans="1:9" ht="15">
      <c r="A435" s="110"/>
      <c r="B435" s="13"/>
      <c r="C435" s="13">
        <v>70</v>
      </c>
      <c r="D435" s="13" t="s">
        <v>47</v>
      </c>
      <c r="E435" s="40">
        <v>70</v>
      </c>
      <c r="F435" s="40">
        <v>0</v>
      </c>
      <c r="G435"/>
      <c r="H435"/>
      <c r="I435"/>
    </row>
    <row r="436" spans="1:9" ht="15">
      <c r="A436" s="110"/>
      <c r="B436" s="13"/>
      <c r="C436" s="13">
        <v>600</v>
      </c>
      <c r="D436" s="13" t="s">
        <v>47</v>
      </c>
      <c r="E436" s="40">
        <v>600</v>
      </c>
      <c r="F436" s="40">
        <v>0</v>
      </c>
      <c r="G436"/>
      <c r="H436"/>
      <c r="I436"/>
    </row>
    <row r="437" spans="1:9" ht="15">
      <c r="A437" s="110"/>
      <c r="B437" s="13"/>
      <c r="C437" s="13">
        <v>670</v>
      </c>
      <c r="D437" s="13" t="s">
        <v>48</v>
      </c>
      <c r="E437" s="40">
        <v>670</v>
      </c>
      <c r="F437" s="40">
        <v>0</v>
      </c>
      <c r="G437"/>
      <c r="H437"/>
      <c r="I437"/>
    </row>
    <row r="438" spans="1:9" ht="15">
      <c r="A438" s="110"/>
      <c r="B438" s="13"/>
      <c r="C438" s="13">
        <v>1000</v>
      </c>
      <c r="D438" s="13" t="s">
        <v>47</v>
      </c>
      <c r="E438" s="40">
        <v>1000</v>
      </c>
      <c r="F438" s="40">
        <v>0</v>
      </c>
      <c r="G438"/>
      <c r="H438"/>
      <c r="I438"/>
    </row>
    <row r="439" spans="1:9" ht="15">
      <c r="A439" s="110"/>
      <c r="B439" s="13"/>
      <c r="C439" s="13">
        <v>1050</v>
      </c>
      <c r="D439" s="13" t="s">
        <v>48</v>
      </c>
      <c r="E439" s="40">
        <v>1050</v>
      </c>
      <c r="F439" s="40">
        <v>0</v>
      </c>
      <c r="G439"/>
      <c r="H439"/>
      <c r="I439"/>
    </row>
    <row r="440" spans="1:9" ht="15">
      <c r="A440" s="110"/>
      <c r="B440" s="13"/>
      <c r="C440" s="13" t="s">
        <v>158</v>
      </c>
      <c r="D440" s="13" t="s">
        <v>47</v>
      </c>
      <c r="E440" s="40">
        <v>0</v>
      </c>
      <c r="F440" s="40">
        <v>1720</v>
      </c>
      <c r="G440"/>
      <c r="H440"/>
      <c r="I440"/>
    </row>
    <row r="441" spans="1:9" ht="15">
      <c r="A441" s="110"/>
      <c r="B441" s="13"/>
      <c r="D441" s="13" t="s">
        <v>83</v>
      </c>
      <c r="E441" s="40">
        <v>0</v>
      </c>
      <c r="F441" s="40">
        <v>1600</v>
      </c>
      <c r="G441"/>
      <c r="H441"/>
      <c r="I441"/>
    </row>
    <row r="442" spans="1:9" ht="15">
      <c r="A442" s="110"/>
      <c r="B442" s="13"/>
      <c r="D442" s="13" t="s">
        <v>92</v>
      </c>
      <c r="E442" s="40">
        <v>0</v>
      </c>
      <c r="F442" s="40">
        <v>120</v>
      </c>
      <c r="G442"/>
      <c r="H442"/>
      <c r="I442"/>
    </row>
    <row r="443" spans="1:9" ht="15">
      <c r="A443" s="110">
        <v>244330</v>
      </c>
      <c r="B443" s="13" t="s">
        <v>161</v>
      </c>
      <c r="E443" s="40"/>
      <c r="F443" s="40"/>
      <c r="G443"/>
      <c r="H443"/>
      <c r="I443"/>
    </row>
    <row r="444" spans="1:9" ht="15">
      <c r="A444" s="110"/>
      <c r="B444" s="13"/>
      <c r="C444" s="13">
        <v>90</v>
      </c>
      <c r="D444" s="13" t="s">
        <v>47</v>
      </c>
      <c r="E444" s="40">
        <v>90</v>
      </c>
      <c r="F444" s="40">
        <v>0</v>
      </c>
      <c r="G444"/>
      <c r="H444"/>
      <c r="I444"/>
    </row>
    <row r="445" spans="1:9" ht="15">
      <c r="A445" s="110"/>
      <c r="B445" s="13"/>
      <c r="C445" s="13">
        <v>180</v>
      </c>
      <c r="D445" s="13" t="s">
        <v>47</v>
      </c>
      <c r="E445" s="40">
        <v>180</v>
      </c>
      <c r="F445" s="40">
        <v>0</v>
      </c>
      <c r="G445"/>
      <c r="H445"/>
      <c r="I445"/>
    </row>
    <row r="446" spans="1:9" ht="15">
      <c r="A446" s="110"/>
      <c r="B446" s="13"/>
      <c r="C446" s="13">
        <v>250</v>
      </c>
      <c r="D446" s="13" t="s">
        <v>47</v>
      </c>
      <c r="E446" s="40">
        <v>250</v>
      </c>
      <c r="F446" s="40">
        <v>0</v>
      </c>
      <c r="G446"/>
      <c r="H446"/>
      <c r="I446"/>
    </row>
    <row r="447" spans="1:9" ht="15">
      <c r="A447" s="110"/>
      <c r="B447" s="13"/>
      <c r="C447" s="13">
        <v>800</v>
      </c>
      <c r="D447" s="13" t="s">
        <v>47</v>
      </c>
      <c r="E447" s="40">
        <v>800</v>
      </c>
      <c r="F447" s="40">
        <v>0</v>
      </c>
      <c r="G447"/>
      <c r="H447"/>
      <c r="I447"/>
    </row>
    <row r="448" spans="1:9" ht="15">
      <c r="A448" s="110"/>
      <c r="B448" s="13"/>
      <c r="D448" s="13" t="s">
        <v>48</v>
      </c>
      <c r="E448" s="40">
        <v>800</v>
      </c>
      <c r="F448" s="40">
        <v>0</v>
      </c>
      <c r="G448"/>
      <c r="H448"/>
      <c r="I448"/>
    </row>
    <row r="449" spans="1:9" ht="15">
      <c r="A449" s="110"/>
      <c r="B449" s="13"/>
      <c r="C449" s="13">
        <v>1000</v>
      </c>
      <c r="D449" s="13" t="s">
        <v>47</v>
      </c>
      <c r="E449" s="40">
        <v>1000</v>
      </c>
      <c r="F449" s="40">
        <v>0</v>
      </c>
      <c r="G449"/>
      <c r="H449"/>
      <c r="I449"/>
    </row>
    <row r="450" spans="1:9" ht="15">
      <c r="A450" s="110"/>
      <c r="B450" s="13"/>
      <c r="C450" s="13">
        <v>1090</v>
      </c>
      <c r="D450" s="13" t="s">
        <v>48</v>
      </c>
      <c r="E450" s="40">
        <v>1090</v>
      </c>
      <c r="F450" s="40">
        <v>0</v>
      </c>
      <c r="G450"/>
      <c r="H450"/>
      <c r="I450"/>
    </row>
    <row r="451" spans="1:9" ht="15">
      <c r="A451" s="110"/>
      <c r="B451" s="13"/>
      <c r="C451" s="13">
        <v>1800</v>
      </c>
      <c r="D451" s="13" t="s">
        <v>47</v>
      </c>
      <c r="E451" s="40">
        <v>1800</v>
      </c>
      <c r="F451" s="40">
        <v>0</v>
      </c>
      <c r="G451"/>
      <c r="H451"/>
      <c r="I451"/>
    </row>
    <row r="452" spans="1:9" ht="15">
      <c r="A452" s="110"/>
      <c r="B452" s="13"/>
      <c r="C452" s="13">
        <v>2230</v>
      </c>
      <c r="D452" s="13" t="s">
        <v>48</v>
      </c>
      <c r="E452" s="40">
        <v>2230</v>
      </c>
      <c r="F452" s="40">
        <v>0</v>
      </c>
      <c r="G452"/>
      <c r="H452"/>
      <c r="I452"/>
    </row>
    <row r="453" spans="1:9" ht="15">
      <c r="A453" s="110"/>
      <c r="B453" s="13"/>
      <c r="C453" s="13" t="s">
        <v>158</v>
      </c>
      <c r="D453" s="13" t="s">
        <v>47</v>
      </c>
      <c r="E453" s="40">
        <v>0</v>
      </c>
      <c r="F453" s="40">
        <v>4120</v>
      </c>
      <c r="G453"/>
      <c r="H453"/>
      <c r="I453"/>
    </row>
    <row r="454" spans="1:9" ht="15">
      <c r="A454" s="110"/>
      <c r="B454" s="13"/>
      <c r="D454" s="13" t="s">
        <v>83</v>
      </c>
      <c r="E454" s="40">
        <v>0</v>
      </c>
      <c r="F454" s="40">
        <v>2800</v>
      </c>
      <c r="G454"/>
      <c r="H454"/>
      <c r="I454"/>
    </row>
    <row r="455" spans="1:9" ht="15">
      <c r="A455" s="110"/>
      <c r="B455" s="13"/>
      <c r="D455" s="13" t="s">
        <v>84</v>
      </c>
      <c r="E455" s="40">
        <v>0</v>
      </c>
      <c r="F455" s="40">
        <v>180</v>
      </c>
      <c r="G455"/>
      <c r="H455"/>
      <c r="I455"/>
    </row>
    <row r="456" spans="1:9" ht="15">
      <c r="A456" s="110"/>
      <c r="B456" s="13"/>
      <c r="D456" s="13" t="s">
        <v>92</v>
      </c>
      <c r="E456" s="40">
        <v>0</v>
      </c>
      <c r="F456" s="40">
        <v>340</v>
      </c>
      <c r="G456"/>
      <c r="H456"/>
      <c r="I456"/>
    </row>
    <row r="457" spans="1:9" ht="15">
      <c r="A457" s="110"/>
      <c r="B457" s="13"/>
      <c r="D457" s="13" t="s">
        <v>71</v>
      </c>
      <c r="E457" s="40">
        <v>0</v>
      </c>
      <c r="F457" s="40">
        <v>800</v>
      </c>
      <c r="G457"/>
      <c r="H457"/>
      <c r="I457"/>
    </row>
    <row r="458" spans="1:9" ht="15">
      <c r="A458" s="111" t="s">
        <v>150</v>
      </c>
      <c r="B458" s="111"/>
      <c r="C458" s="111"/>
      <c r="D458" s="111"/>
      <c r="E458" s="40">
        <v>4459087.2</v>
      </c>
      <c r="F458" s="40">
        <v>4459087.2</v>
      </c>
      <c r="G458"/>
      <c r="H458"/>
      <c r="I458"/>
    </row>
    <row r="459" spans="1:9" ht="15">
      <c r="A459"/>
      <c r="B459"/>
      <c r="C459"/>
      <c r="D459"/>
      <c r="E459"/>
      <c r="F459"/>
      <c r="G459"/>
      <c r="H459"/>
      <c r="I459"/>
    </row>
    <row r="460" spans="1:9" ht="15">
      <c r="A460"/>
      <c r="B460"/>
      <c r="C460"/>
      <c r="D460"/>
      <c r="E460"/>
      <c r="F460"/>
      <c r="G460"/>
      <c r="H460"/>
      <c r="I460"/>
    </row>
    <row r="461" spans="1:9" ht="15">
      <c r="A461"/>
      <c r="B461"/>
      <c r="C461"/>
      <c r="D461"/>
      <c r="E461"/>
      <c r="F461"/>
      <c r="G461"/>
      <c r="H461"/>
      <c r="I461"/>
    </row>
    <row r="462" spans="1:9" ht="15">
      <c r="A462"/>
      <c r="B462"/>
      <c r="C462"/>
      <c r="D462"/>
      <c r="E462"/>
      <c r="F462"/>
      <c r="G462"/>
      <c r="H462"/>
      <c r="I462"/>
    </row>
    <row r="463" spans="1:9" ht="15">
      <c r="A463"/>
      <c r="B463"/>
      <c r="C463"/>
      <c r="D463"/>
      <c r="E463"/>
      <c r="F463"/>
      <c r="G463"/>
      <c r="H463"/>
      <c r="I463"/>
    </row>
    <row r="464" spans="1:9" ht="15">
      <c r="A464"/>
      <c r="B464"/>
      <c r="C464"/>
      <c r="D464"/>
      <c r="E464"/>
      <c r="F464"/>
      <c r="G464"/>
      <c r="H464"/>
      <c r="I464"/>
    </row>
    <row r="465" spans="1:9" ht="15">
      <c r="A465"/>
      <c r="B465"/>
      <c r="C465"/>
      <c r="D465"/>
      <c r="E465"/>
      <c r="F465"/>
      <c r="G465"/>
      <c r="H465"/>
      <c r="I465"/>
    </row>
    <row r="466" spans="1:9" ht="15">
      <c r="A466"/>
      <c r="B466"/>
      <c r="C466"/>
      <c r="D466"/>
      <c r="E466"/>
      <c r="F466"/>
      <c r="G466"/>
      <c r="H466"/>
      <c r="I466"/>
    </row>
    <row r="467" spans="1:9" ht="15">
      <c r="A467"/>
      <c r="B467"/>
      <c r="C467"/>
      <c r="D467"/>
      <c r="E467"/>
      <c r="F467"/>
      <c r="G467"/>
      <c r="H467"/>
      <c r="I467"/>
    </row>
    <row r="468" spans="1:9" ht="15">
      <c r="A468"/>
      <c r="B468"/>
      <c r="C468"/>
      <c r="D468"/>
      <c r="E468"/>
      <c r="F468"/>
      <c r="G468"/>
      <c r="H468"/>
      <c r="I468"/>
    </row>
    <row r="469" spans="1:9" ht="15">
      <c r="A469"/>
      <c r="B469"/>
      <c r="C469"/>
      <c r="D469"/>
      <c r="E469"/>
      <c r="F469"/>
      <c r="G469"/>
      <c r="H469"/>
      <c r="I469"/>
    </row>
    <row r="470" spans="1:9" ht="15">
      <c r="A470"/>
      <c r="B470"/>
      <c r="C470"/>
      <c r="D470"/>
      <c r="E470"/>
      <c r="F470"/>
      <c r="G470"/>
      <c r="H470"/>
      <c r="I470"/>
    </row>
    <row r="471" spans="1:9" ht="15">
      <c r="A471"/>
      <c r="B471"/>
      <c r="C471"/>
      <c r="D471"/>
      <c r="E471"/>
      <c r="F471"/>
      <c r="G471"/>
      <c r="H471"/>
      <c r="I471"/>
    </row>
    <row r="472" spans="1:9" ht="15">
      <c r="A472"/>
      <c r="B472"/>
      <c r="C472"/>
      <c r="D472"/>
      <c r="E472"/>
      <c r="F472"/>
      <c r="G472"/>
      <c r="H472"/>
      <c r="I472"/>
    </row>
    <row r="473" spans="1:9" ht="15">
      <c r="A473"/>
      <c r="B473"/>
      <c r="C473"/>
      <c r="D473"/>
      <c r="E473"/>
      <c r="F473"/>
      <c r="G473"/>
      <c r="H473"/>
      <c r="I473"/>
    </row>
    <row r="474" spans="1:9" ht="15">
      <c r="A474"/>
      <c r="B474"/>
      <c r="C474"/>
      <c r="D474"/>
      <c r="E474"/>
      <c r="F474"/>
      <c r="G474"/>
      <c r="H474"/>
      <c r="I474"/>
    </row>
    <row r="475" spans="1:9" ht="15">
      <c r="A475"/>
      <c r="B475"/>
      <c r="C475"/>
      <c r="D475"/>
      <c r="E475"/>
      <c r="F475"/>
      <c r="G475"/>
      <c r="H475"/>
      <c r="I475"/>
    </row>
    <row r="476" spans="1:9" ht="15">
      <c r="A476"/>
      <c r="B476"/>
      <c r="C476"/>
      <c r="D476"/>
      <c r="E476"/>
      <c r="F476"/>
      <c r="G476"/>
      <c r="H476"/>
      <c r="I476"/>
    </row>
    <row r="477" spans="1:9" ht="15">
      <c r="A477"/>
      <c r="B477"/>
      <c r="C477"/>
      <c r="D477"/>
      <c r="E477"/>
      <c r="F477"/>
      <c r="G477"/>
      <c r="H477"/>
      <c r="I477"/>
    </row>
    <row r="478" spans="1:9" ht="15">
      <c r="A478"/>
      <c r="B478"/>
      <c r="C478"/>
      <c r="D478"/>
      <c r="E478"/>
      <c r="F478"/>
      <c r="G478"/>
      <c r="H478"/>
      <c r="I478"/>
    </row>
    <row r="479" spans="1:9" ht="15">
      <c r="A479"/>
      <c r="B479"/>
      <c r="C479"/>
      <c r="D479"/>
      <c r="E479"/>
      <c r="F479"/>
      <c r="G479"/>
      <c r="H479"/>
      <c r="I479"/>
    </row>
    <row r="480" spans="1:9" ht="15">
      <c r="A480"/>
      <c r="B480"/>
      <c r="C480"/>
      <c r="D480"/>
      <c r="E480"/>
      <c r="F480"/>
      <c r="G480"/>
      <c r="H480"/>
      <c r="I480"/>
    </row>
    <row r="481" spans="1:9" ht="15">
      <c r="A481"/>
      <c r="B481"/>
      <c r="C481"/>
      <c r="D481"/>
      <c r="E481"/>
      <c r="F481"/>
      <c r="G481"/>
      <c r="H481"/>
      <c r="I481"/>
    </row>
    <row r="482" spans="1:9" ht="15">
      <c r="A482"/>
      <c r="B482"/>
      <c r="C482"/>
      <c r="D482"/>
      <c r="E482"/>
      <c r="F482"/>
      <c r="G482"/>
      <c r="H482"/>
      <c r="I482"/>
    </row>
    <row r="483" spans="1:9" ht="15">
      <c r="A483"/>
      <c r="B483"/>
      <c r="C483"/>
      <c r="D483"/>
      <c r="E483"/>
      <c r="F483"/>
      <c r="G483"/>
      <c r="H483"/>
      <c r="I483"/>
    </row>
    <row r="484" spans="1:9" ht="15">
      <c r="A484"/>
      <c r="B484"/>
      <c r="C484"/>
      <c r="D484"/>
      <c r="E484"/>
      <c r="F484"/>
      <c r="G484"/>
      <c r="H484"/>
      <c r="I484"/>
    </row>
    <row r="485" spans="1:9" ht="15">
      <c r="A485"/>
      <c r="B485"/>
      <c r="C485"/>
      <c r="D485"/>
      <c r="E485"/>
      <c r="F485"/>
      <c r="G485"/>
      <c r="H485"/>
      <c r="I485"/>
    </row>
    <row r="486" spans="1:9" ht="15">
      <c r="A486"/>
      <c r="B486"/>
      <c r="C486"/>
      <c r="D486"/>
      <c r="E486"/>
      <c r="F486"/>
      <c r="G486"/>
      <c r="H486"/>
      <c r="I486"/>
    </row>
    <row r="487" spans="1:9" ht="15">
      <c r="A487"/>
      <c r="B487"/>
      <c r="C487"/>
      <c r="D487"/>
      <c r="E487"/>
      <c r="F487"/>
      <c r="G487"/>
      <c r="H487"/>
      <c r="I487"/>
    </row>
    <row r="488" spans="1:9" ht="15">
      <c r="A488"/>
      <c r="B488"/>
      <c r="C488"/>
      <c r="D488"/>
      <c r="E488"/>
      <c r="F488"/>
      <c r="G488"/>
      <c r="H488"/>
      <c r="I488"/>
    </row>
    <row r="489" spans="1:9" ht="15">
      <c r="A489"/>
      <c r="B489"/>
      <c r="C489"/>
      <c r="D489"/>
      <c r="E489"/>
      <c r="F489"/>
      <c r="G489"/>
      <c r="H489"/>
      <c r="I489"/>
    </row>
    <row r="490" spans="1:9" ht="15">
      <c r="A490"/>
      <c r="B490"/>
      <c r="C490"/>
      <c r="D490"/>
      <c r="E490"/>
      <c r="F490"/>
      <c r="G490"/>
      <c r="H490"/>
      <c r="I490"/>
    </row>
    <row r="491" spans="1:9" ht="15">
      <c r="A491"/>
      <c r="B491"/>
      <c r="C491"/>
      <c r="D491"/>
      <c r="E491"/>
      <c r="F491"/>
      <c r="G491"/>
      <c r="H491"/>
      <c r="I491"/>
    </row>
    <row r="492" spans="1:9" ht="15">
      <c r="A492"/>
      <c r="B492"/>
      <c r="C492"/>
      <c r="D492"/>
      <c r="E492"/>
      <c r="F492"/>
      <c r="G492"/>
      <c r="H492"/>
      <c r="I492"/>
    </row>
    <row r="493" spans="1:9" ht="15">
      <c r="A493"/>
      <c r="B493"/>
      <c r="C493"/>
      <c r="D493"/>
      <c r="E493"/>
      <c r="F493"/>
      <c r="G493"/>
      <c r="H493"/>
      <c r="I493"/>
    </row>
    <row r="494" spans="1:9" ht="15">
      <c r="A494"/>
      <c r="B494"/>
      <c r="C494"/>
      <c r="D494"/>
      <c r="E494"/>
      <c r="F494"/>
      <c r="G494"/>
      <c r="H494"/>
      <c r="I494"/>
    </row>
    <row r="495" spans="1:9" ht="15">
      <c r="A495"/>
      <c r="B495"/>
      <c r="C495"/>
      <c r="D495"/>
      <c r="E495"/>
      <c r="F495"/>
      <c r="G495"/>
      <c r="H495"/>
      <c r="I495"/>
    </row>
    <row r="496" spans="1:9" ht="15">
      <c r="A496"/>
      <c r="B496"/>
      <c r="C496"/>
      <c r="D496"/>
      <c r="E496"/>
      <c r="F496"/>
      <c r="G496"/>
      <c r="H496"/>
      <c r="I496"/>
    </row>
    <row r="497" spans="1:9" ht="15">
      <c r="A497"/>
      <c r="B497"/>
      <c r="C497"/>
      <c r="D497"/>
      <c r="E497"/>
      <c r="F497"/>
      <c r="G497"/>
      <c r="H497"/>
      <c r="I497"/>
    </row>
    <row r="498" spans="1:9" ht="15">
      <c r="A498"/>
      <c r="B498"/>
      <c r="C498"/>
      <c r="D498"/>
      <c r="E498"/>
      <c r="F498"/>
      <c r="G498"/>
      <c r="H498"/>
      <c r="I498"/>
    </row>
    <row r="499" spans="1:9" ht="15">
      <c r="A499"/>
      <c r="B499"/>
      <c r="C499"/>
      <c r="D499"/>
      <c r="E499"/>
      <c r="F499"/>
      <c r="G499"/>
      <c r="H499"/>
      <c r="I499"/>
    </row>
    <row r="500" spans="1:9" ht="15">
      <c r="A500"/>
      <c r="B500"/>
      <c r="C500"/>
      <c r="D500"/>
      <c r="E500"/>
      <c r="F500"/>
      <c r="G500"/>
      <c r="H500"/>
      <c r="I500"/>
    </row>
    <row r="501" spans="1:9" ht="15">
      <c r="A501"/>
      <c r="B501"/>
      <c r="C501"/>
      <c r="D501"/>
      <c r="E501"/>
      <c r="F501"/>
      <c r="G501"/>
      <c r="H501"/>
      <c r="I501"/>
    </row>
    <row r="502" spans="1:9" ht="15">
      <c r="A502"/>
      <c r="B502"/>
      <c r="C502"/>
      <c r="D502"/>
      <c r="E502"/>
      <c r="F502"/>
      <c r="G502"/>
      <c r="H502"/>
      <c r="I502"/>
    </row>
    <row r="503" spans="1:9" ht="15">
      <c r="A503"/>
      <c r="B503"/>
      <c r="C503"/>
      <c r="D503"/>
      <c r="E503"/>
      <c r="F503"/>
      <c r="G503"/>
      <c r="H503"/>
      <c r="I503"/>
    </row>
    <row r="504" spans="1:9" ht="15">
      <c r="A504"/>
      <c r="B504"/>
      <c r="C504"/>
      <c r="D504"/>
      <c r="E504"/>
      <c r="F504"/>
      <c r="G504"/>
      <c r="H504"/>
      <c r="I504"/>
    </row>
    <row r="505" spans="1:9" ht="15">
      <c r="A505"/>
      <c r="B505"/>
      <c r="C505"/>
      <c r="D505"/>
      <c r="E505"/>
      <c r="F505"/>
      <c r="G505"/>
      <c r="H505"/>
      <c r="I505"/>
    </row>
    <row r="506" spans="1:9" ht="15">
      <c r="A506"/>
      <c r="B506"/>
      <c r="C506"/>
      <c r="D506"/>
      <c r="E506"/>
      <c r="F506"/>
      <c r="G506"/>
      <c r="H506"/>
      <c r="I506"/>
    </row>
    <row r="507" spans="1:9" ht="15">
      <c r="A507"/>
      <c r="B507"/>
      <c r="C507"/>
      <c r="D507"/>
      <c r="E507"/>
      <c r="F507"/>
      <c r="G507"/>
      <c r="H507"/>
      <c r="I507"/>
    </row>
    <row r="508" spans="1:9" ht="15">
      <c r="A508"/>
      <c r="B508"/>
      <c r="C508"/>
      <c r="D508"/>
      <c r="E508"/>
      <c r="F508"/>
      <c r="G508"/>
      <c r="H508"/>
      <c r="I508"/>
    </row>
    <row r="509" spans="1:9" ht="15">
      <c r="A509"/>
      <c r="B509"/>
      <c r="C509"/>
      <c r="D509"/>
      <c r="E509"/>
      <c r="F509"/>
      <c r="G509"/>
      <c r="H509"/>
      <c r="I509"/>
    </row>
    <row r="510" spans="1:9" ht="15">
      <c r="A510"/>
      <c r="B510"/>
      <c r="C510"/>
      <c r="D510"/>
      <c r="E510"/>
      <c r="F510"/>
      <c r="G510"/>
      <c r="H510"/>
      <c r="I510"/>
    </row>
    <row r="511" spans="1:9" ht="15">
      <c r="A511"/>
      <c r="B511"/>
      <c r="C511"/>
      <c r="D511"/>
      <c r="E511"/>
      <c r="F511"/>
      <c r="G511"/>
      <c r="H511"/>
      <c r="I511"/>
    </row>
    <row r="512" spans="1:9" ht="15">
      <c r="A512"/>
      <c r="B512"/>
      <c r="C512"/>
      <c r="D512"/>
      <c r="E512"/>
      <c r="F512"/>
      <c r="G512"/>
      <c r="H512"/>
      <c r="I512"/>
    </row>
    <row r="513" spans="1:9" ht="15">
      <c r="A513"/>
      <c r="B513"/>
      <c r="C513"/>
      <c r="D513"/>
      <c r="E513"/>
      <c r="F513"/>
      <c r="G513"/>
      <c r="H513"/>
      <c r="I513"/>
    </row>
    <row r="514" spans="1:9" ht="15">
      <c r="A514"/>
      <c r="B514"/>
      <c r="C514"/>
      <c r="D514"/>
      <c r="E514"/>
      <c r="F514"/>
      <c r="G514"/>
      <c r="H514"/>
      <c r="I514"/>
    </row>
    <row r="515" spans="1:9" ht="15">
      <c r="A515"/>
      <c r="B515"/>
      <c r="C515"/>
      <c r="D515"/>
      <c r="E515"/>
      <c r="F515"/>
      <c r="G515"/>
      <c r="H515"/>
      <c r="I515"/>
    </row>
    <row r="516" spans="1:9" ht="15">
      <c r="A516"/>
      <c r="B516"/>
      <c r="C516"/>
      <c r="D516"/>
      <c r="E516"/>
      <c r="F516"/>
      <c r="G516"/>
      <c r="H516"/>
      <c r="I516"/>
    </row>
    <row r="517" spans="1:9" ht="15">
      <c r="A517"/>
      <c r="B517"/>
      <c r="C517"/>
      <c r="D517"/>
      <c r="E517"/>
      <c r="F517"/>
      <c r="G517"/>
      <c r="H517"/>
      <c r="I517"/>
    </row>
    <row r="518" spans="1:9" ht="15">
      <c r="A518"/>
      <c r="B518"/>
      <c r="C518"/>
      <c r="D518"/>
      <c r="E518"/>
      <c r="F518"/>
      <c r="G518"/>
      <c r="H518"/>
      <c r="I518"/>
    </row>
    <row r="519" spans="1:9" ht="15">
      <c r="A519"/>
      <c r="B519"/>
      <c r="C519"/>
      <c r="D519"/>
      <c r="E519"/>
      <c r="F519"/>
      <c r="G519"/>
      <c r="H519"/>
      <c r="I519"/>
    </row>
    <row r="520" spans="1:9" ht="15">
      <c r="A520"/>
      <c r="B520"/>
      <c r="C520"/>
      <c r="D520"/>
      <c r="E520"/>
      <c r="F520"/>
      <c r="G520"/>
      <c r="H520"/>
      <c r="I520"/>
    </row>
    <row r="521" spans="1:9" ht="15">
      <c r="A521"/>
      <c r="B521"/>
      <c r="C521"/>
      <c r="D521"/>
      <c r="E521"/>
      <c r="F521"/>
      <c r="G521"/>
      <c r="H521"/>
      <c r="I521"/>
    </row>
    <row r="522" spans="1:9" ht="15">
      <c r="A522"/>
      <c r="B522"/>
      <c r="C522"/>
      <c r="D522"/>
      <c r="E522"/>
      <c r="F522"/>
      <c r="G522"/>
      <c r="H522"/>
      <c r="I522"/>
    </row>
    <row r="523" spans="1:9" ht="15">
      <c r="A523"/>
      <c r="B523"/>
      <c r="C523"/>
      <c r="D523"/>
      <c r="E523"/>
      <c r="F523"/>
      <c r="G523"/>
      <c r="H523"/>
      <c r="I523"/>
    </row>
    <row r="524" spans="1:9" ht="15">
      <c r="A524"/>
      <c r="B524"/>
      <c r="C524"/>
      <c r="D524"/>
      <c r="E524"/>
      <c r="F524"/>
      <c r="G524"/>
      <c r="H524"/>
      <c r="I524"/>
    </row>
    <row r="525" spans="1:9" ht="15">
      <c r="A525"/>
      <c r="B525"/>
      <c r="C525"/>
      <c r="D525"/>
      <c r="E525"/>
      <c r="F525"/>
      <c r="G525"/>
      <c r="H525"/>
      <c r="I525"/>
    </row>
    <row r="526" spans="1:9" ht="15">
      <c r="A526"/>
      <c r="B526"/>
      <c r="C526"/>
      <c r="D526"/>
      <c r="E526"/>
      <c r="F526"/>
      <c r="G526"/>
      <c r="H526"/>
      <c r="I526"/>
    </row>
    <row r="527" spans="1:9" ht="15">
      <c r="A527"/>
      <c r="B527"/>
      <c r="C527"/>
      <c r="D527"/>
      <c r="E527"/>
      <c r="F527"/>
      <c r="G527"/>
      <c r="H527"/>
      <c r="I527"/>
    </row>
    <row r="528" spans="1:9" ht="15">
      <c r="A528"/>
      <c r="B528"/>
      <c r="C528"/>
      <c r="D528"/>
      <c r="E528"/>
      <c r="F528"/>
      <c r="G528"/>
      <c r="H528"/>
      <c r="I528"/>
    </row>
    <row r="529" spans="1:9" ht="15">
      <c r="A529"/>
      <c r="B529"/>
      <c r="C529"/>
      <c r="D529"/>
      <c r="E529"/>
      <c r="F529"/>
      <c r="G529"/>
      <c r="H529"/>
      <c r="I529"/>
    </row>
    <row r="530" spans="1:9" ht="15">
      <c r="A530"/>
      <c r="B530"/>
      <c r="C530"/>
      <c r="D530"/>
      <c r="E530"/>
      <c r="F530"/>
      <c r="G530"/>
      <c r="H530"/>
      <c r="I530"/>
    </row>
    <row r="531" spans="1:9" ht="15">
      <c r="A531"/>
      <c r="B531"/>
      <c r="C531"/>
      <c r="D531"/>
      <c r="E531"/>
      <c r="F531"/>
      <c r="G531"/>
      <c r="H531"/>
      <c r="I531"/>
    </row>
    <row r="532" spans="1:9" ht="15">
      <c r="A532"/>
      <c r="B532"/>
      <c r="C532"/>
      <c r="D532"/>
      <c r="E532"/>
      <c r="F532"/>
      <c r="G532"/>
      <c r="H532"/>
      <c r="I532"/>
    </row>
    <row r="533" spans="1:9" ht="15">
      <c r="A533"/>
      <c r="B533"/>
      <c r="C533"/>
      <c r="D533"/>
      <c r="E533"/>
      <c r="F533"/>
      <c r="G533"/>
      <c r="H533"/>
      <c r="I533"/>
    </row>
    <row r="534" spans="1:9" ht="15">
      <c r="A534"/>
      <c r="B534"/>
      <c r="C534"/>
      <c r="D534"/>
      <c r="E534"/>
      <c r="F534"/>
      <c r="G534"/>
      <c r="H534"/>
      <c r="I534"/>
    </row>
    <row r="535" spans="1:9" ht="15">
      <c r="A535"/>
      <c r="B535"/>
      <c r="C535"/>
      <c r="D535"/>
      <c r="E535"/>
      <c r="F535"/>
      <c r="G535"/>
      <c r="H535"/>
      <c r="I535"/>
    </row>
    <row r="536" spans="1:9" ht="15">
      <c r="A536"/>
      <c r="B536"/>
      <c r="C536"/>
      <c r="D536"/>
      <c r="E536"/>
      <c r="F536"/>
      <c r="G536"/>
      <c r="H536"/>
      <c r="I536"/>
    </row>
    <row r="537" spans="1:9" ht="15">
      <c r="A537"/>
      <c r="B537"/>
      <c r="C537"/>
      <c r="D537"/>
      <c r="E537"/>
      <c r="F537"/>
      <c r="G537"/>
      <c r="H537"/>
      <c r="I537"/>
    </row>
    <row r="538" spans="1:9" ht="15">
      <c r="A538"/>
      <c r="B538"/>
      <c r="C538"/>
      <c r="D538"/>
      <c r="E538"/>
      <c r="F538"/>
      <c r="G538"/>
      <c r="H538"/>
      <c r="I538"/>
    </row>
    <row r="539" spans="1:9" ht="15">
      <c r="A539"/>
      <c r="B539"/>
      <c r="C539"/>
      <c r="D539"/>
      <c r="E539"/>
      <c r="F539"/>
      <c r="G539"/>
      <c r="H539"/>
      <c r="I539"/>
    </row>
    <row r="540" spans="1:9" ht="15">
      <c r="A540"/>
      <c r="B540"/>
      <c r="C540"/>
      <c r="D540"/>
      <c r="E540"/>
      <c r="F540"/>
      <c r="G540"/>
      <c r="H540"/>
      <c r="I540"/>
    </row>
    <row r="541" spans="1:9" ht="15">
      <c r="A541"/>
      <c r="B541"/>
      <c r="C541"/>
      <c r="D541"/>
      <c r="E541"/>
      <c r="F541"/>
      <c r="G541"/>
      <c r="H541"/>
      <c r="I541"/>
    </row>
    <row r="542" spans="1:9" ht="15">
      <c r="A542"/>
      <c r="B542"/>
      <c r="C542"/>
      <c r="D542"/>
      <c r="E542"/>
      <c r="F542"/>
      <c r="G542"/>
      <c r="H542"/>
      <c r="I542"/>
    </row>
    <row r="543" spans="1:9" ht="15">
      <c r="A543"/>
      <c r="B543"/>
      <c r="C543"/>
      <c r="D543"/>
      <c r="E543"/>
      <c r="F543"/>
      <c r="G543"/>
      <c r="H543"/>
      <c r="I543"/>
    </row>
    <row r="544" spans="1:9" ht="15">
      <c r="A544"/>
      <c r="B544"/>
      <c r="C544"/>
      <c r="D544"/>
      <c r="E544"/>
      <c r="F544"/>
      <c r="G544"/>
      <c r="H544"/>
      <c r="I544"/>
    </row>
    <row r="545" spans="1:9" ht="15">
      <c r="A545"/>
      <c r="B545"/>
      <c r="C545"/>
      <c r="D545"/>
      <c r="E545"/>
      <c r="F545"/>
      <c r="G545"/>
      <c r="H545"/>
      <c r="I545"/>
    </row>
    <row r="546" spans="1:9" ht="15">
      <c r="A546"/>
      <c r="B546"/>
      <c r="C546"/>
      <c r="D546"/>
      <c r="E546"/>
      <c r="F546"/>
      <c r="G546"/>
      <c r="H546"/>
      <c r="I546"/>
    </row>
    <row r="547" spans="1:9" ht="15">
      <c r="A547"/>
      <c r="B547"/>
      <c r="C547"/>
      <c r="D547"/>
      <c r="E547"/>
      <c r="F547"/>
      <c r="G547"/>
      <c r="H547"/>
      <c r="I547"/>
    </row>
    <row r="548" spans="1:9" ht="15">
      <c r="A548"/>
      <c r="B548"/>
      <c r="C548"/>
      <c r="D548"/>
      <c r="E548"/>
      <c r="F548"/>
      <c r="G548"/>
      <c r="H548"/>
      <c r="I548"/>
    </row>
    <row r="549" spans="1:9" ht="15">
      <c r="A549"/>
      <c r="B549"/>
      <c r="C549"/>
      <c r="D549"/>
      <c r="E549"/>
      <c r="F549"/>
      <c r="G549"/>
      <c r="H549"/>
      <c r="I549"/>
    </row>
    <row r="550" spans="1:9" ht="15">
      <c r="A550"/>
      <c r="B550"/>
      <c r="C550"/>
      <c r="D550"/>
      <c r="E550"/>
      <c r="F550"/>
      <c r="G550"/>
      <c r="H550"/>
      <c r="I550"/>
    </row>
    <row r="551" spans="1:9" ht="15">
      <c r="A551"/>
      <c r="B551"/>
      <c r="C551"/>
      <c r="D551"/>
      <c r="E551"/>
      <c r="F551"/>
      <c r="G551"/>
      <c r="H551"/>
      <c r="I551"/>
    </row>
    <row r="552" spans="1:9" ht="15">
      <c r="A552"/>
      <c r="B552"/>
      <c r="C552"/>
      <c r="D552"/>
      <c r="E552"/>
      <c r="F552"/>
      <c r="G552"/>
      <c r="H552"/>
      <c r="I552"/>
    </row>
    <row r="553" spans="1:9" ht="15">
      <c r="A553"/>
      <c r="B553"/>
      <c r="C553"/>
      <c r="D553"/>
      <c r="E553"/>
      <c r="F553"/>
      <c r="G553"/>
      <c r="H553"/>
      <c r="I553"/>
    </row>
    <row r="554" spans="1:9" ht="15">
      <c r="A554"/>
      <c r="B554"/>
      <c r="C554"/>
      <c r="D554"/>
      <c r="E554"/>
      <c r="F554"/>
      <c r="G554"/>
      <c r="H554"/>
      <c r="I554"/>
    </row>
    <row r="555" spans="1:9" ht="15">
      <c r="A555"/>
      <c r="B555"/>
      <c r="C555"/>
      <c r="D555"/>
      <c r="E555"/>
      <c r="F555"/>
      <c r="G555"/>
      <c r="H555"/>
      <c r="I555"/>
    </row>
    <row r="556" spans="1:9" ht="15">
      <c r="A556"/>
      <c r="B556"/>
      <c r="C556"/>
      <c r="D556"/>
      <c r="E556"/>
      <c r="F556"/>
      <c r="G556"/>
      <c r="H556"/>
      <c r="I556"/>
    </row>
    <row r="557" spans="1:9" ht="15">
      <c r="A557"/>
      <c r="B557"/>
      <c r="C557"/>
      <c r="D557"/>
      <c r="E557"/>
      <c r="F557"/>
      <c r="G557"/>
      <c r="H557"/>
      <c r="I557"/>
    </row>
    <row r="558" spans="1:9" ht="15">
      <c r="A558"/>
      <c r="B558"/>
      <c r="C558"/>
      <c r="D558"/>
      <c r="E558"/>
      <c r="F558"/>
      <c r="G558"/>
      <c r="H558"/>
      <c r="I558"/>
    </row>
    <row r="559" spans="1:9" ht="15">
      <c r="A559"/>
      <c r="B559"/>
      <c r="C559"/>
      <c r="D559"/>
      <c r="E559"/>
      <c r="F559"/>
      <c r="G559"/>
      <c r="H559"/>
      <c r="I559"/>
    </row>
    <row r="560" spans="1:9" ht="15">
      <c r="A560"/>
      <c r="B560"/>
      <c r="C560"/>
      <c r="D560"/>
      <c r="E560"/>
      <c r="F560"/>
      <c r="G560"/>
      <c r="H560"/>
      <c r="I560"/>
    </row>
    <row r="561" spans="1:9" ht="15">
      <c r="A561"/>
      <c r="B561"/>
      <c r="C561"/>
      <c r="D561"/>
      <c r="E561"/>
      <c r="F561"/>
      <c r="G561"/>
      <c r="H561"/>
      <c r="I561"/>
    </row>
    <row r="562" spans="1:9" ht="15">
      <c r="A562"/>
      <c r="B562"/>
      <c r="C562"/>
      <c r="D562"/>
      <c r="E562"/>
      <c r="F562"/>
      <c r="G562"/>
      <c r="H562"/>
      <c r="I562"/>
    </row>
    <row r="563" spans="1:9" ht="15">
      <c r="A563"/>
      <c r="B563"/>
      <c r="C563"/>
      <c r="D563"/>
      <c r="E563"/>
      <c r="F563"/>
      <c r="G563"/>
      <c r="H563"/>
      <c r="I563"/>
    </row>
    <row r="564" spans="1:9" ht="15">
      <c r="A564"/>
      <c r="B564"/>
      <c r="C564"/>
      <c r="D564"/>
      <c r="E564"/>
      <c r="F564"/>
      <c r="G564"/>
      <c r="H564"/>
      <c r="I564"/>
    </row>
    <row r="565" spans="1:9" ht="15">
      <c r="A565"/>
      <c r="B565"/>
      <c r="C565"/>
      <c r="D565"/>
      <c r="E565"/>
      <c r="F565"/>
      <c r="G565"/>
      <c r="H565"/>
      <c r="I565"/>
    </row>
    <row r="566" spans="1:9" ht="15">
      <c r="A566"/>
      <c r="B566"/>
      <c r="C566"/>
      <c r="D566"/>
      <c r="E566"/>
      <c r="F566"/>
      <c r="G566"/>
      <c r="H566"/>
      <c r="I566"/>
    </row>
    <row r="567" spans="1:9" ht="15">
      <c r="A567"/>
      <c r="B567"/>
      <c r="C567"/>
      <c r="D567"/>
      <c r="E567"/>
      <c r="F567"/>
      <c r="G567"/>
      <c r="H567"/>
      <c r="I567"/>
    </row>
    <row r="568" spans="1:9" ht="15">
      <c r="A568"/>
      <c r="B568"/>
      <c r="C568"/>
      <c r="D568"/>
      <c r="E568"/>
      <c r="F568"/>
      <c r="G568"/>
      <c r="H568"/>
      <c r="I568"/>
    </row>
    <row r="569" spans="1:9" ht="15">
      <c r="A569"/>
      <c r="B569"/>
      <c r="C569"/>
      <c r="D569"/>
      <c r="E569"/>
      <c r="F569"/>
      <c r="G569"/>
      <c r="H569"/>
      <c r="I569"/>
    </row>
    <row r="570" spans="1:9" ht="15">
      <c r="A570"/>
      <c r="B570"/>
      <c r="C570"/>
      <c r="D570"/>
      <c r="E570"/>
      <c r="F570"/>
      <c r="G570"/>
      <c r="H570"/>
      <c r="I570"/>
    </row>
    <row r="571" spans="1:9" ht="15">
      <c r="A571"/>
      <c r="B571"/>
      <c r="C571"/>
      <c r="D571"/>
      <c r="E571"/>
      <c r="F571"/>
      <c r="G571"/>
      <c r="H571"/>
      <c r="I571"/>
    </row>
    <row r="572" spans="1:9" ht="15">
      <c r="A572"/>
      <c r="B572"/>
      <c r="C572"/>
      <c r="D572"/>
      <c r="E572"/>
      <c r="F572"/>
      <c r="G572"/>
      <c r="H572"/>
      <c r="I572"/>
    </row>
    <row r="573" spans="1:9" ht="15">
      <c r="A573"/>
      <c r="B573"/>
      <c r="C573"/>
      <c r="D573"/>
      <c r="E573"/>
      <c r="F573"/>
      <c r="G573"/>
      <c r="H573"/>
      <c r="I573"/>
    </row>
    <row r="574" spans="1:9" ht="15">
      <c r="A574"/>
      <c r="B574"/>
      <c r="C574"/>
      <c r="D574"/>
      <c r="E574"/>
      <c r="F574"/>
      <c r="G574"/>
      <c r="H574"/>
      <c r="I574"/>
    </row>
    <row r="575" spans="1:9" ht="15">
      <c r="A575"/>
      <c r="B575"/>
      <c r="C575"/>
      <c r="D575"/>
      <c r="E575"/>
      <c r="F575"/>
      <c r="G575"/>
      <c r="H575"/>
      <c r="I575"/>
    </row>
    <row r="576" spans="1:9" ht="15">
      <c r="A576"/>
      <c r="B576"/>
      <c r="C576"/>
      <c r="D576"/>
      <c r="E576"/>
      <c r="F576"/>
      <c r="G576"/>
      <c r="H576"/>
      <c r="I576"/>
    </row>
    <row r="577" spans="1:9" ht="15">
      <c r="A577"/>
      <c r="B577"/>
      <c r="C577"/>
      <c r="D577"/>
      <c r="E577"/>
      <c r="F577"/>
      <c r="G577"/>
      <c r="H577"/>
      <c r="I577"/>
    </row>
    <row r="578" spans="1:9" ht="15">
      <c r="A578"/>
      <c r="B578"/>
      <c r="C578"/>
      <c r="D578"/>
      <c r="E578"/>
      <c r="F578"/>
      <c r="G578"/>
      <c r="H578"/>
      <c r="I578"/>
    </row>
    <row r="579" spans="1:9" ht="15">
      <c r="A579"/>
      <c r="B579"/>
      <c r="C579"/>
      <c r="D579"/>
      <c r="E579"/>
      <c r="F579"/>
      <c r="G579"/>
      <c r="H579"/>
      <c r="I579"/>
    </row>
    <row r="580" spans="1:9" ht="15">
      <c r="A580"/>
      <c r="B580"/>
      <c r="C580"/>
      <c r="D580"/>
      <c r="E580"/>
      <c r="F580"/>
      <c r="G580"/>
      <c r="H580"/>
      <c r="I580"/>
    </row>
    <row r="581" spans="1:9" ht="15">
      <c r="A581"/>
      <c r="B581"/>
      <c r="C581"/>
      <c r="D581"/>
      <c r="E581"/>
      <c r="F581"/>
      <c r="G581"/>
      <c r="H581"/>
      <c r="I581"/>
    </row>
    <row r="582" spans="1:9" ht="15">
      <c r="A582"/>
      <c r="B582"/>
      <c r="C582"/>
      <c r="D582"/>
      <c r="E582"/>
      <c r="F582"/>
      <c r="G582"/>
      <c r="H582"/>
      <c r="I582"/>
    </row>
    <row r="583" spans="1:9" ht="15">
      <c r="A583"/>
      <c r="B583"/>
      <c r="C583"/>
      <c r="D583"/>
      <c r="E583"/>
      <c r="F583"/>
      <c r="G583"/>
      <c r="H583"/>
      <c r="I583"/>
    </row>
    <row r="584" spans="1:9" ht="15">
      <c r="A584"/>
      <c r="B584"/>
      <c r="C584"/>
      <c r="D584"/>
      <c r="E584"/>
      <c r="F584"/>
      <c r="G584"/>
      <c r="H584"/>
      <c r="I584"/>
    </row>
    <row r="585" spans="1:9" ht="15">
      <c r="A585"/>
      <c r="B585"/>
      <c r="C585"/>
      <c r="D585"/>
      <c r="E585"/>
      <c r="F585"/>
      <c r="G585"/>
      <c r="H585"/>
      <c r="I585"/>
    </row>
    <row r="586" spans="1:9" ht="15">
      <c r="A586"/>
      <c r="B586"/>
      <c r="C586"/>
      <c r="D586"/>
      <c r="E586"/>
      <c r="F586"/>
      <c r="G586"/>
      <c r="H586"/>
      <c r="I586"/>
    </row>
    <row r="587" spans="1:9" ht="15">
      <c r="A587"/>
      <c r="B587"/>
      <c r="C587"/>
      <c r="D587"/>
      <c r="E587"/>
      <c r="F587"/>
      <c r="G587"/>
      <c r="H587"/>
      <c r="I587"/>
    </row>
    <row r="588" spans="1:9" ht="15">
      <c r="A588"/>
      <c r="B588"/>
      <c r="C588"/>
      <c r="D588"/>
      <c r="E588"/>
      <c r="F588"/>
      <c r="G588"/>
      <c r="H588"/>
      <c r="I588"/>
    </row>
    <row r="589" spans="1:9" ht="15">
      <c r="A589"/>
      <c r="B589"/>
      <c r="C589"/>
      <c r="D589"/>
      <c r="E589"/>
      <c r="F589"/>
      <c r="G589"/>
      <c r="H589"/>
      <c r="I589"/>
    </row>
    <row r="590" spans="1:9" ht="15">
      <c r="A590"/>
      <c r="B590"/>
      <c r="C590"/>
      <c r="D590"/>
      <c r="E590"/>
      <c r="F590"/>
      <c r="G590"/>
      <c r="H590"/>
      <c r="I590"/>
    </row>
    <row r="591" spans="1:9" ht="15">
      <c r="A591"/>
      <c r="B591"/>
      <c r="C591"/>
      <c r="D591"/>
      <c r="E591"/>
      <c r="F591"/>
      <c r="G591"/>
      <c r="H591"/>
      <c r="I591"/>
    </row>
    <row r="592" spans="1:9" ht="15">
      <c r="A592"/>
      <c r="B592"/>
      <c r="C592"/>
      <c r="D592"/>
      <c r="E592"/>
      <c r="F592"/>
      <c r="G592"/>
      <c r="H592"/>
      <c r="I592"/>
    </row>
    <row r="593" spans="1:9" ht="15">
      <c r="A593"/>
      <c r="B593"/>
      <c r="C593"/>
      <c r="D593"/>
      <c r="E593"/>
      <c r="F593"/>
      <c r="G593"/>
      <c r="H593"/>
      <c r="I593"/>
    </row>
    <row r="594" spans="1:9" ht="15">
      <c r="A594"/>
      <c r="B594"/>
      <c r="C594"/>
      <c r="D594"/>
      <c r="E594"/>
      <c r="F594"/>
      <c r="G594"/>
      <c r="H594"/>
      <c r="I594"/>
    </row>
    <row r="595" spans="1:9" ht="15">
      <c r="A595"/>
      <c r="B595"/>
      <c r="C595"/>
      <c r="D595"/>
      <c r="E595"/>
      <c r="F595"/>
      <c r="G595"/>
      <c r="H595"/>
      <c r="I595"/>
    </row>
    <row r="596" spans="1:9" ht="15">
      <c r="A596"/>
      <c r="B596"/>
      <c r="C596"/>
      <c r="D596"/>
      <c r="E596"/>
      <c r="F596"/>
      <c r="G596"/>
      <c r="H596"/>
      <c r="I596"/>
    </row>
    <row r="597" spans="1:9" ht="15">
      <c r="A597"/>
      <c r="B597"/>
      <c r="C597"/>
      <c r="D597"/>
      <c r="E597"/>
      <c r="F597"/>
      <c r="G597"/>
      <c r="H597"/>
      <c r="I597"/>
    </row>
    <row r="598" spans="1:9" ht="15">
      <c r="A598"/>
      <c r="B598"/>
      <c r="C598"/>
      <c r="D598"/>
      <c r="E598"/>
      <c r="F598"/>
      <c r="G598"/>
      <c r="H598"/>
      <c r="I598"/>
    </row>
    <row r="599" spans="1:9" ht="15">
      <c r="A599"/>
      <c r="B599"/>
      <c r="C599"/>
      <c r="D599"/>
      <c r="E599"/>
      <c r="F599"/>
      <c r="G599"/>
      <c r="H599"/>
      <c r="I599"/>
    </row>
    <row r="600" spans="1:9" ht="15">
      <c r="A600"/>
      <c r="B600"/>
      <c r="C600"/>
      <c r="D600"/>
      <c r="E600"/>
      <c r="F600"/>
      <c r="G600"/>
      <c r="H600"/>
      <c r="I600"/>
    </row>
    <row r="601" spans="1:9" ht="15">
      <c r="A601"/>
      <c r="B601"/>
      <c r="C601"/>
      <c r="D601"/>
      <c r="E601"/>
      <c r="F601"/>
      <c r="G601"/>
      <c r="H601"/>
      <c r="I601"/>
    </row>
    <row r="602" spans="1:9" ht="15">
      <c r="A602"/>
      <c r="B602"/>
      <c r="C602"/>
      <c r="D602"/>
      <c r="E602"/>
      <c r="F602"/>
      <c r="G602"/>
      <c r="H602"/>
      <c r="I602"/>
    </row>
    <row r="603" spans="1:9" ht="15">
      <c r="A603"/>
      <c r="B603"/>
      <c r="C603"/>
      <c r="D603"/>
      <c r="E603"/>
      <c r="F603"/>
      <c r="G603"/>
      <c r="H603"/>
      <c r="I603"/>
    </row>
    <row r="604" spans="1:9" ht="15">
      <c r="A604"/>
      <c r="B604"/>
      <c r="C604"/>
      <c r="D604"/>
      <c r="E604"/>
      <c r="F604"/>
      <c r="G604"/>
      <c r="H604"/>
      <c r="I604"/>
    </row>
    <row r="605" spans="1:9" ht="15">
      <c r="A605"/>
      <c r="B605"/>
      <c r="C605"/>
      <c r="D605"/>
      <c r="E605"/>
      <c r="F605"/>
      <c r="G605"/>
      <c r="H605"/>
      <c r="I605"/>
    </row>
    <row r="606" spans="1:9" ht="15">
      <c r="A606"/>
      <c r="B606"/>
      <c r="C606"/>
      <c r="D606"/>
      <c r="E606"/>
      <c r="F606"/>
      <c r="G606"/>
      <c r="H606"/>
      <c r="I606"/>
    </row>
    <row r="607" spans="1:9" ht="15">
      <c r="A607"/>
      <c r="B607"/>
      <c r="C607"/>
      <c r="D607"/>
      <c r="E607"/>
      <c r="F607"/>
      <c r="G607"/>
      <c r="H607"/>
      <c r="I607"/>
    </row>
    <row r="608" spans="1:9" ht="15">
      <c r="A608"/>
      <c r="B608"/>
      <c r="C608"/>
      <c r="D608"/>
      <c r="E608"/>
      <c r="F608"/>
      <c r="G608"/>
      <c r="H608"/>
      <c r="I608"/>
    </row>
    <row r="609" spans="1:9" ht="15">
      <c r="A609"/>
      <c r="B609"/>
      <c r="C609"/>
      <c r="D609"/>
      <c r="E609"/>
      <c r="F609"/>
      <c r="G609"/>
      <c r="H609"/>
      <c r="I609"/>
    </row>
    <row r="610" spans="1:9" ht="15">
      <c r="A610"/>
      <c r="B610"/>
      <c r="C610"/>
      <c r="D610"/>
      <c r="E610"/>
      <c r="F610"/>
      <c r="G610"/>
      <c r="H610"/>
      <c r="I610"/>
    </row>
    <row r="611" spans="1:9" ht="15">
      <c r="A611"/>
      <c r="B611"/>
      <c r="C611"/>
      <c r="D611"/>
      <c r="E611"/>
      <c r="F611"/>
      <c r="G611"/>
      <c r="H611"/>
      <c r="I611"/>
    </row>
    <row r="612" spans="1:9" ht="15">
      <c r="A612"/>
      <c r="B612"/>
      <c r="C612"/>
      <c r="D612"/>
      <c r="E612"/>
      <c r="F612"/>
      <c r="G612"/>
      <c r="H612"/>
      <c r="I612"/>
    </row>
    <row r="613" spans="1:9" ht="15">
      <c r="A613"/>
      <c r="B613"/>
      <c r="C613"/>
      <c r="D613"/>
      <c r="E613"/>
      <c r="F613"/>
      <c r="G613"/>
      <c r="H613"/>
      <c r="I613"/>
    </row>
    <row r="614" spans="1:9" ht="15">
      <c r="A614"/>
      <c r="B614"/>
      <c r="C614"/>
      <c r="D614"/>
      <c r="E614"/>
      <c r="F614"/>
      <c r="G614"/>
      <c r="H614"/>
      <c r="I614"/>
    </row>
    <row r="615" spans="1:9" ht="15">
      <c r="A615"/>
      <c r="B615"/>
      <c r="C615"/>
      <c r="D615"/>
      <c r="E615"/>
      <c r="F615"/>
      <c r="G615"/>
      <c r="H615"/>
      <c r="I615"/>
    </row>
    <row r="616" spans="1:9" ht="15">
      <c r="A616"/>
      <c r="B616"/>
      <c r="C616"/>
      <c r="D616"/>
      <c r="E616"/>
      <c r="F616"/>
      <c r="G616"/>
      <c r="H616"/>
      <c r="I616"/>
    </row>
    <row r="617" spans="1:9" ht="15">
      <c r="A617"/>
      <c r="B617"/>
      <c r="C617"/>
      <c r="D617"/>
      <c r="E617"/>
      <c r="F617"/>
      <c r="G617"/>
      <c r="H617"/>
      <c r="I617"/>
    </row>
    <row r="618" spans="1:9" ht="15">
      <c r="A618"/>
      <c r="B618"/>
      <c r="C618"/>
      <c r="D618"/>
      <c r="E618"/>
      <c r="F618"/>
      <c r="G618"/>
      <c r="H618"/>
      <c r="I618"/>
    </row>
    <row r="619" spans="1:9" ht="15">
      <c r="A619"/>
      <c r="B619"/>
      <c r="C619"/>
      <c r="D619"/>
      <c r="E619"/>
      <c r="F619"/>
      <c r="G619"/>
      <c r="H619"/>
      <c r="I619"/>
    </row>
    <row r="620" spans="1:9" ht="15">
      <c r="A620"/>
      <c r="B620"/>
      <c r="C620"/>
      <c r="D620"/>
      <c r="E620"/>
      <c r="F620"/>
      <c r="G620"/>
      <c r="H620"/>
      <c r="I620"/>
    </row>
    <row r="621" spans="1:9" ht="15">
      <c r="A621"/>
      <c r="B621"/>
      <c r="C621"/>
      <c r="D621"/>
      <c r="E621"/>
      <c r="F621"/>
      <c r="G621"/>
      <c r="H621"/>
      <c r="I621"/>
    </row>
    <row r="622" spans="1:9" ht="15">
      <c r="A622"/>
      <c r="B622"/>
      <c r="C622"/>
      <c r="D622"/>
      <c r="E622"/>
      <c r="F622"/>
      <c r="G622"/>
      <c r="H622"/>
      <c r="I622"/>
    </row>
    <row r="623" spans="1:9" ht="15">
      <c r="A623"/>
      <c r="B623"/>
      <c r="C623"/>
      <c r="D623"/>
      <c r="E623"/>
      <c r="F623"/>
      <c r="G623"/>
      <c r="H623"/>
      <c r="I623"/>
    </row>
    <row r="624" spans="1:9" ht="15">
      <c r="A624"/>
      <c r="B624"/>
      <c r="C624"/>
      <c r="D624"/>
      <c r="E624"/>
      <c r="F624"/>
      <c r="G624"/>
      <c r="H624"/>
      <c r="I624"/>
    </row>
    <row r="625" spans="1:9" ht="15">
      <c r="A625"/>
      <c r="B625"/>
      <c r="C625"/>
      <c r="D625"/>
      <c r="E625"/>
      <c r="F625"/>
      <c r="G625"/>
      <c r="H625"/>
      <c r="I625"/>
    </row>
    <row r="626" spans="1:9" ht="15">
      <c r="A626"/>
      <c r="B626"/>
      <c r="C626"/>
      <c r="D626"/>
      <c r="E626"/>
      <c r="F626"/>
      <c r="G626"/>
      <c r="H626"/>
      <c r="I626"/>
    </row>
    <row r="627" spans="1:9" ht="15">
      <c r="A627"/>
      <c r="B627"/>
      <c r="C627"/>
      <c r="D627"/>
      <c r="E627"/>
      <c r="F627"/>
      <c r="G627"/>
      <c r="H627"/>
      <c r="I627"/>
    </row>
    <row r="628" spans="1:9" ht="15">
      <c r="A628"/>
      <c r="B628"/>
      <c r="C628"/>
      <c r="D628"/>
      <c r="E628"/>
      <c r="F628"/>
      <c r="G628"/>
      <c r="H628"/>
      <c r="I628"/>
    </row>
    <row r="629" spans="1:9" ht="15">
      <c r="A629"/>
      <c r="B629"/>
      <c r="C629"/>
      <c r="D629"/>
      <c r="E629"/>
      <c r="F629"/>
      <c r="G629"/>
      <c r="H629"/>
      <c r="I629"/>
    </row>
    <row r="630" spans="1:9" ht="15">
      <c r="A630"/>
      <c r="B630"/>
      <c r="C630"/>
      <c r="D630"/>
      <c r="E630"/>
      <c r="F630"/>
      <c r="G630"/>
      <c r="H630"/>
      <c r="I630"/>
    </row>
    <row r="631" spans="1:9" ht="15">
      <c r="A631"/>
      <c r="B631"/>
      <c r="C631"/>
      <c r="D631"/>
      <c r="E631"/>
      <c r="F631"/>
      <c r="G631"/>
      <c r="H631"/>
      <c r="I631"/>
    </row>
    <row r="632" spans="1:9" ht="15">
      <c r="A632"/>
      <c r="B632"/>
      <c r="C632"/>
      <c r="D632"/>
      <c r="E632"/>
      <c r="F632"/>
      <c r="G632"/>
      <c r="H632"/>
      <c r="I632"/>
    </row>
    <row r="633" spans="1:9" ht="15">
      <c r="A633"/>
      <c r="B633"/>
      <c r="C633"/>
      <c r="D633"/>
      <c r="E633"/>
      <c r="F633"/>
      <c r="G633"/>
      <c r="H633"/>
      <c r="I633"/>
    </row>
    <row r="634" spans="1:9" ht="15">
      <c r="A634"/>
      <c r="B634"/>
      <c r="C634"/>
      <c r="D634"/>
      <c r="E634"/>
      <c r="F634"/>
      <c r="G634"/>
      <c r="H634"/>
      <c r="I634"/>
    </row>
    <row r="635" spans="1:9" ht="15">
      <c r="A635"/>
      <c r="B635"/>
      <c r="C635"/>
      <c r="D635"/>
      <c r="E635"/>
      <c r="F635"/>
      <c r="G635"/>
      <c r="H635"/>
      <c r="I635"/>
    </row>
    <row r="636" spans="1:9" ht="15">
      <c r="A636"/>
      <c r="B636"/>
      <c r="C636"/>
      <c r="D636"/>
      <c r="E636"/>
      <c r="F636"/>
      <c r="G636"/>
      <c r="H636"/>
      <c r="I636"/>
    </row>
    <row r="637" spans="1:9" ht="15">
      <c r="A637"/>
      <c r="B637"/>
      <c r="C637"/>
      <c r="D637"/>
      <c r="E637"/>
      <c r="F637"/>
      <c r="G637"/>
      <c r="H637"/>
      <c r="I637"/>
    </row>
    <row r="638" spans="1:9" ht="15">
      <c r="A638"/>
      <c r="B638"/>
      <c r="C638"/>
      <c r="D638"/>
      <c r="E638"/>
      <c r="F638"/>
      <c r="G638"/>
      <c r="H638"/>
      <c r="I638"/>
    </row>
    <row r="639" spans="1:9" ht="15">
      <c r="A639"/>
      <c r="B639"/>
      <c r="C639"/>
      <c r="D639"/>
      <c r="E639"/>
      <c r="F639"/>
      <c r="G639"/>
      <c r="H639"/>
      <c r="I639"/>
    </row>
    <row r="640" spans="1:9" ht="15">
      <c r="A640"/>
      <c r="B640"/>
      <c r="C640"/>
      <c r="D640"/>
      <c r="E640"/>
      <c r="F640"/>
      <c r="G640"/>
      <c r="H640"/>
      <c r="I640"/>
    </row>
    <row r="641" spans="1:9" ht="15">
      <c r="A641"/>
      <c r="B641"/>
      <c r="C641"/>
      <c r="D641"/>
      <c r="E641"/>
      <c r="F641"/>
      <c r="G641"/>
      <c r="H641"/>
      <c r="I641"/>
    </row>
    <row r="642" spans="1:9" ht="15">
      <c r="A642"/>
      <c r="B642"/>
      <c r="C642"/>
      <c r="D642"/>
      <c r="E642"/>
      <c r="F642"/>
      <c r="G642"/>
      <c r="H642"/>
      <c r="I642"/>
    </row>
    <row r="643" spans="1:9" ht="15">
      <c r="A643"/>
      <c r="B643"/>
      <c r="C643"/>
      <c r="D643"/>
      <c r="E643"/>
      <c r="F643"/>
      <c r="G643"/>
      <c r="H643"/>
      <c r="I643"/>
    </row>
    <row r="644" spans="1:9" ht="15">
      <c r="A644"/>
      <c r="B644"/>
      <c r="C644"/>
      <c r="D644"/>
      <c r="E644"/>
      <c r="F644"/>
      <c r="G644"/>
      <c r="H644"/>
      <c r="I644"/>
    </row>
    <row r="645" spans="1:9" ht="15">
      <c r="A645"/>
      <c r="B645"/>
      <c r="C645"/>
      <c r="D645"/>
      <c r="E645"/>
      <c r="F645"/>
      <c r="G645"/>
      <c r="H645"/>
      <c r="I645"/>
    </row>
    <row r="646" spans="1:9" ht="15">
      <c r="A646"/>
      <c r="B646"/>
      <c r="C646"/>
      <c r="D646"/>
      <c r="E646"/>
      <c r="F646"/>
      <c r="G646"/>
      <c r="H646"/>
      <c r="I646"/>
    </row>
    <row r="647" spans="1:9" ht="15">
      <c r="A647"/>
      <c r="B647"/>
      <c r="C647"/>
      <c r="D647"/>
      <c r="E647"/>
      <c r="F647"/>
      <c r="G647"/>
      <c r="H647"/>
      <c r="I647"/>
    </row>
    <row r="648" spans="1:9" ht="15">
      <c r="A648"/>
      <c r="B648"/>
      <c r="C648"/>
      <c r="D648"/>
      <c r="E648"/>
      <c r="F648"/>
      <c r="G648"/>
      <c r="H648"/>
      <c r="I648"/>
    </row>
    <row r="649" spans="1:9" ht="15">
      <c r="A649"/>
      <c r="B649"/>
      <c r="C649"/>
      <c r="D649"/>
      <c r="E649"/>
      <c r="F649"/>
      <c r="G649"/>
      <c r="H649"/>
      <c r="I649"/>
    </row>
    <row r="650" spans="1:9" ht="15">
      <c r="A650"/>
      <c r="B650"/>
      <c r="C650"/>
      <c r="D650"/>
      <c r="E650"/>
      <c r="F650"/>
      <c r="G650"/>
      <c r="H650"/>
      <c r="I650"/>
    </row>
    <row r="651" spans="1:9" ht="15">
      <c r="A651"/>
      <c r="B651"/>
      <c r="C651"/>
      <c r="D651"/>
      <c r="E651"/>
      <c r="F651"/>
      <c r="G651"/>
      <c r="H651"/>
      <c r="I651"/>
    </row>
    <row r="652" spans="1:9" ht="15">
      <c r="A652"/>
      <c r="B652"/>
      <c r="C652"/>
      <c r="D652"/>
      <c r="E652"/>
      <c r="F652"/>
      <c r="G652"/>
      <c r="H652"/>
      <c r="I652"/>
    </row>
    <row r="653" spans="1:9" ht="15">
      <c r="A653"/>
      <c r="B653"/>
      <c r="C653"/>
      <c r="D653"/>
      <c r="E653"/>
      <c r="F653"/>
      <c r="G653"/>
      <c r="H653"/>
      <c r="I653"/>
    </row>
    <row r="654" spans="1:9" ht="15">
      <c r="A654"/>
      <c r="B654"/>
      <c r="C654"/>
      <c r="D654"/>
      <c r="E654"/>
      <c r="F654"/>
      <c r="G654"/>
      <c r="H654"/>
      <c r="I654"/>
    </row>
    <row r="655" spans="1:9" ht="15">
      <c r="A655"/>
      <c r="B655"/>
      <c r="C655"/>
      <c r="D655"/>
      <c r="E655"/>
      <c r="F655"/>
      <c r="G655"/>
      <c r="H655"/>
      <c r="I655"/>
    </row>
    <row r="656" spans="1:9" ht="15">
      <c r="A656"/>
      <c r="B656"/>
      <c r="C656"/>
      <c r="D656"/>
      <c r="E656"/>
      <c r="F656"/>
      <c r="G656"/>
      <c r="H656"/>
      <c r="I656"/>
    </row>
    <row r="657" spans="1:9" ht="15">
      <c r="A657"/>
      <c r="B657"/>
      <c r="C657"/>
      <c r="D657"/>
      <c r="E657"/>
      <c r="F657"/>
      <c r="G657"/>
      <c r="H657"/>
      <c r="I657"/>
    </row>
    <row r="658" spans="1:9" ht="15">
      <c r="A658"/>
      <c r="B658"/>
      <c r="C658"/>
      <c r="D658"/>
      <c r="E658"/>
      <c r="F658"/>
      <c r="G658"/>
      <c r="H658"/>
      <c r="I658"/>
    </row>
    <row r="659" spans="1:9" ht="15">
      <c r="A659"/>
      <c r="B659"/>
      <c r="C659"/>
      <c r="D659"/>
      <c r="E659"/>
      <c r="F659"/>
      <c r="G659"/>
      <c r="H659"/>
      <c r="I659"/>
    </row>
    <row r="660" spans="1:9" ht="15">
      <c r="A660"/>
      <c r="B660"/>
      <c r="C660"/>
      <c r="D660"/>
      <c r="E660"/>
      <c r="F660"/>
      <c r="G660"/>
      <c r="H660"/>
      <c r="I660"/>
    </row>
    <row r="661" spans="1:9" ht="15">
      <c r="A661"/>
      <c r="B661"/>
      <c r="C661"/>
      <c r="D661"/>
      <c r="E661"/>
      <c r="F661"/>
      <c r="G661"/>
      <c r="H661"/>
      <c r="I661"/>
    </row>
    <row r="662" spans="1:9" ht="15">
      <c r="A662"/>
      <c r="B662"/>
      <c r="C662"/>
      <c r="D662"/>
      <c r="E662"/>
      <c r="F662"/>
      <c r="G662"/>
      <c r="H662"/>
      <c r="I662"/>
    </row>
    <row r="663" spans="1:9" ht="15">
      <c r="A663"/>
      <c r="B663"/>
      <c r="C663"/>
      <c r="D663"/>
      <c r="E663"/>
      <c r="F663"/>
      <c r="G663"/>
      <c r="H663"/>
      <c r="I663"/>
    </row>
    <row r="664" spans="1:9" ht="15">
      <c r="A664"/>
      <c r="B664"/>
      <c r="C664"/>
      <c r="D664"/>
      <c r="E664"/>
      <c r="F664"/>
      <c r="G664"/>
      <c r="H664"/>
      <c r="I664"/>
    </row>
    <row r="665" spans="1:9" ht="15">
      <c r="A665"/>
      <c r="B665"/>
      <c r="C665"/>
      <c r="D665"/>
      <c r="E665"/>
      <c r="F665"/>
      <c r="G665"/>
      <c r="H665"/>
      <c r="I665"/>
    </row>
    <row r="666" spans="1:9" ht="15">
      <c r="A666"/>
      <c r="B666"/>
      <c r="C666"/>
      <c r="D666"/>
      <c r="E666"/>
      <c r="F666"/>
      <c r="G666"/>
      <c r="H666"/>
      <c r="I666"/>
    </row>
    <row r="667" spans="1:9" ht="15">
      <c r="A667"/>
      <c r="B667"/>
      <c r="C667"/>
      <c r="D667"/>
      <c r="E667"/>
      <c r="F667"/>
      <c r="G667"/>
      <c r="H667"/>
      <c r="I667"/>
    </row>
    <row r="668" spans="1:9" ht="15">
      <c r="A668"/>
      <c r="B668"/>
      <c r="C668"/>
      <c r="D668"/>
      <c r="E668"/>
      <c r="F668"/>
      <c r="G668"/>
      <c r="H668"/>
      <c r="I668"/>
    </row>
    <row r="669" spans="1:9" ht="15">
      <c r="A669"/>
      <c r="B669"/>
      <c r="C669"/>
      <c r="D669"/>
      <c r="E669"/>
      <c r="F669"/>
      <c r="G669"/>
      <c r="H669"/>
      <c r="I669"/>
    </row>
    <row r="670" spans="1:9" ht="15">
      <c r="A670"/>
      <c r="B670"/>
      <c r="C670"/>
      <c r="D670"/>
      <c r="E670"/>
      <c r="F670"/>
      <c r="G670"/>
      <c r="H670"/>
      <c r="I670"/>
    </row>
    <row r="671" spans="1:9" ht="15">
      <c r="A671"/>
      <c r="B671"/>
      <c r="C671"/>
      <c r="D671"/>
      <c r="E671"/>
      <c r="F671"/>
      <c r="G671"/>
      <c r="H671"/>
      <c r="I671"/>
    </row>
    <row r="672" spans="1:9" ht="15">
      <c r="A672"/>
      <c r="B672"/>
      <c r="C672"/>
      <c r="D672"/>
      <c r="E672"/>
      <c r="F672"/>
      <c r="G672"/>
      <c r="H672"/>
      <c r="I672"/>
    </row>
    <row r="673" spans="1:9" ht="15">
      <c r="A673"/>
      <c r="B673"/>
      <c r="C673"/>
      <c r="D673"/>
      <c r="E673"/>
      <c r="F673"/>
      <c r="G673"/>
      <c r="H673"/>
      <c r="I673"/>
    </row>
    <row r="674" spans="1:9" ht="15">
      <c r="A674"/>
      <c r="B674"/>
      <c r="C674"/>
      <c r="D674"/>
      <c r="E674"/>
      <c r="F674"/>
      <c r="G674"/>
      <c r="H674"/>
      <c r="I674"/>
    </row>
    <row r="675" spans="1:9" ht="15">
      <c r="A675"/>
      <c r="B675"/>
      <c r="C675"/>
      <c r="D675"/>
      <c r="E675"/>
      <c r="F675"/>
      <c r="G675"/>
      <c r="H675"/>
      <c r="I675"/>
    </row>
    <row r="676" spans="1:9" ht="15">
      <c r="A676"/>
      <c r="B676"/>
      <c r="C676"/>
      <c r="D676"/>
      <c r="E676"/>
      <c r="F676"/>
      <c r="G676"/>
      <c r="H676"/>
      <c r="I676"/>
    </row>
    <row r="677" spans="1:9" ht="15">
      <c r="A677"/>
      <c r="B677"/>
      <c r="C677"/>
      <c r="D677"/>
      <c r="E677"/>
      <c r="F677"/>
      <c r="G677"/>
      <c r="H677"/>
      <c r="I677"/>
    </row>
    <row r="678" spans="1:9" ht="15">
      <c r="A678"/>
      <c r="B678"/>
      <c r="C678"/>
      <c r="D678"/>
      <c r="E678"/>
      <c r="F678"/>
      <c r="G678"/>
      <c r="H678"/>
      <c r="I678"/>
    </row>
    <row r="679" spans="1:9" ht="15">
      <c r="A679"/>
      <c r="B679"/>
      <c r="C679"/>
      <c r="D679"/>
      <c r="E679"/>
      <c r="F679"/>
      <c r="G679"/>
      <c r="H679"/>
      <c r="I679"/>
    </row>
    <row r="680" spans="1:9" ht="15">
      <c r="A680"/>
      <c r="B680"/>
      <c r="C680"/>
      <c r="D680"/>
      <c r="E680"/>
      <c r="F680"/>
      <c r="G680"/>
      <c r="H680"/>
      <c r="I680"/>
    </row>
    <row r="681" spans="1:9" ht="15">
      <c r="A681"/>
      <c r="B681"/>
      <c r="C681"/>
      <c r="D681"/>
      <c r="E681"/>
      <c r="F681"/>
      <c r="G681"/>
      <c r="H681"/>
      <c r="I681"/>
    </row>
    <row r="682" spans="1:9" ht="15">
      <c r="A682"/>
      <c r="B682"/>
      <c r="C682"/>
      <c r="D682"/>
      <c r="E682"/>
      <c r="F682"/>
      <c r="G682"/>
      <c r="H682"/>
      <c r="I682"/>
    </row>
    <row r="683" spans="1:9" ht="15">
      <c r="A683"/>
      <c r="B683"/>
      <c r="C683"/>
      <c r="D683"/>
      <c r="E683"/>
      <c r="F683"/>
      <c r="G683"/>
      <c r="H683"/>
      <c r="I683"/>
    </row>
    <row r="684" spans="1:9" ht="15">
      <c r="A684"/>
      <c r="B684"/>
      <c r="C684"/>
      <c r="D684"/>
      <c r="E684"/>
      <c r="F684"/>
      <c r="G684"/>
      <c r="H684"/>
      <c r="I684"/>
    </row>
    <row r="685" spans="1:9" ht="15">
      <c r="A685"/>
      <c r="B685"/>
      <c r="C685"/>
      <c r="D685"/>
      <c r="E685"/>
      <c r="F685"/>
      <c r="G685"/>
      <c r="H685"/>
      <c r="I685"/>
    </row>
    <row r="686" spans="1:9" ht="15">
      <c r="A686"/>
      <c r="B686"/>
      <c r="C686"/>
      <c r="D686"/>
      <c r="E686"/>
      <c r="F686"/>
      <c r="G686"/>
      <c r="H686"/>
      <c r="I686"/>
    </row>
    <row r="687" spans="1:9" ht="15">
      <c r="A687"/>
      <c r="B687"/>
      <c r="C687"/>
      <c r="D687"/>
      <c r="E687"/>
      <c r="F687"/>
      <c r="G687"/>
      <c r="H687"/>
      <c r="I687"/>
    </row>
    <row r="688" spans="1:9" ht="15">
      <c r="A688"/>
      <c r="B688"/>
      <c r="C688"/>
      <c r="D688"/>
      <c r="E688"/>
      <c r="F688"/>
      <c r="G688"/>
      <c r="H688"/>
      <c r="I688"/>
    </row>
    <row r="689" spans="1:9" ht="15">
      <c r="A689"/>
      <c r="B689"/>
      <c r="C689"/>
      <c r="D689"/>
      <c r="E689"/>
      <c r="F689"/>
      <c r="G689"/>
      <c r="H689"/>
      <c r="I689"/>
    </row>
    <row r="690" spans="1:9" ht="15">
      <c r="A690"/>
      <c r="B690"/>
      <c r="C690"/>
      <c r="D690"/>
      <c r="E690"/>
      <c r="F690"/>
      <c r="G690"/>
      <c r="H690"/>
      <c r="I690"/>
    </row>
    <row r="691" spans="1:9" ht="15">
      <c r="A691"/>
      <c r="B691"/>
      <c r="C691"/>
      <c r="D691"/>
      <c r="E691"/>
      <c r="F691"/>
      <c r="G691"/>
      <c r="H691"/>
      <c r="I691"/>
    </row>
    <row r="692" spans="1:9" ht="15">
      <c r="A692"/>
      <c r="B692"/>
      <c r="C692"/>
      <c r="D692"/>
      <c r="E692"/>
      <c r="F692"/>
      <c r="G692"/>
      <c r="H692"/>
      <c r="I692"/>
    </row>
    <row r="693" spans="1:9" ht="15">
      <c r="A693"/>
      <c r="B693"/>
      <c r="C693"/>
      <c r="D693"/>
      <c r="E693"/>
      <c r="F693"/>
      <c r="G693"/>
      <c r="H693"/>
      <c r="I693"/>
    </row>
    <row r="694" spans="1:9" ht="15">
      <c r="A694"/>
      <c r="B694"/>
      <c r="C694"/>
      <c r="D694"/>
      <c r="E694"/>
      <c r="F694"/>
      <c r="G694"/>
      <c r="H694"/>
      <c r="I694"/>
    </row>
    <row r="695" spans="1:9" ht="15">
      <c r="A695"/>
      <c r="B695"/>
      <c r="C695"/>
      <c r="D695"/>
      <c r="E695"/>
      <c r="F695"/>
      <c r="G695"/>
      <c r="H695"/>
      <c r="I695"/>
    </row>
    <row r="696" spans="1:9" ht="15">
      <c r="A696"/>
      <c r="B696"/>
      <c r="C696"/>
      <c r="D696"/>
      <c r="E696"/>
      <c r="F696"/>
      <c r="G696"/>
      <c r="H696"/>
      <c r="I696"/>
    </row>
    <row r="697" spans="1:9" ht="15">
      <c r="A697"/>
      <c r="B697"/>
      <c r="C697"/>
      <c r="D697"/>
      <c r="E697"/>
      <c r="F697"/>
      <c r="G697"/>
      <c r="H697"/>
      <c r="I697"/>
    </row>
    <row r="698" spans="1:9" ht="15">
      <c r="A698"/>
      <c r="B698"/>
      <c r="C698"/>
      <c r="D698"/>
      <c r="E698"/>
      <c r="F698"/>
      <c r="G698"/>
      <c r="H698"/>
      <c r="I698"/>
    </row>
    <row r="699" spans="1:9" ht="15">
      <c r="A699"/>
      <c r="B699"/>
      <c r="C699"/>
      <c r="D699"/>
      <c r="E699"/>
      <c r="F699"/>
      <c r="G699"/>
      <c r="H699"/>
      <c r="I699"/>
    </row>
    <row r="700" spans="1:9" ht="15">
      <c r="A700"/>
      <c r="B700"/>
      <c r="C700"/>
      <c r="D700"/>
      <c r="E700"/>
      <c r="F700"/>
      <c r="G700"/>
      <c r="H700"/>
      <c r="I700"/>
    </row>
    <row r="701" spans="1:9" ht="15">
      <c r="A701"/>
      <c r="B701"/>
      <c r="C701"/>
      <c r="D701"/>
      <c r="E701"/>
      <c r="F701"/>
      <c r="G701"/>
      <c r="H701"/>
      <c r="I701"/>
    </row>
    <row r="702" spans="1:9" ht="15">
      <c r="A702"/>
      <c r="B702"/>
      <c r="C702"/>
      <c r="D702"/>
      <c r="E702"/>
      <c r="F702"/>
      <c r="G702"/>
      <c r="H702"/>
      <c r="I702"/>
    </row>
    <row r="703" spans="1:9" ht="15">
      <c r="A703"/>
      <c r="B703"/>
      <c r="C703"/>
      <c r="D703"/>
      <c r="E703"/>
      <c r="F703"/>
      <c r="G703"/>
      <c r="H703"/>
      <c r="I703"/>
    </row>
    <row r="704" spans="1:9" ht="15">
      <c r="A704"/>
      <c r="B704"/>
      <c r="C704"/>
      <c r="D704"/>
      <c r="E704"/>
      <c r="F704"/>
      <c r="G704"/>
      <c r="H704"/>
      <c r="I704"/>
    </row>
    <row r="705" spans="1:9" ht="15">
      <c r="A705"/>
      <c r="B705"/>
      <c r="C705"/>
      <c r="D705"/>
      <c r="E705"/>
      <c r="F705"/>
      <c r="G705"/>
      <c r="H705"/>
      <c r="I705"/>
    </row>
    <row r="706" spans="1:9" ht="15">
      <c r="A706"/>
      <c r="B706"/>
      <c r="C706"/>
      <c r="D706"/>
      <c r="E706"/>
      <c r="F706"/>
      <c r="G706"/>
      <c r="H706"/>
      <c r="I706"/>
    </row>
    <row r="707" spans="1:9" ht="15">
      <c r="A707"/>
      <c r="B707"/>
      <c r="C707"/>
      <c r="D707"/>
      <c r="E707"/>
      <c r="F707"/>
      <c r="G707"/>
      <c r="H707"/>
      <c r="I707"/>
    </row>
    <row r="708" spans="1:9" ht="15">
      <c r="A708"/>
      <c r="B708"/>
      <c r="C708"/>
      <c r="D708"/>
      <c r="E708"/>
      <c r="F708"/>
      <c r="G708"/>
      <c r="H708"/>
      <c r="I708"/>
    </row>
    <row r="709" spans="1:9" ht="15">
      <c r="A709"/>
      <c r="B709"/>
      <c r="C709"/>
      <c r="D709"/>
      <c r="E709"/>
      <c r="F709"/>
      <c r="G709"/>
      <c r="H709"/>
      <c r="I709"/>
    </row>
    <row r="710" spans="1:9" ht="15">
      <c r="A710"/>
      <c r="B710"/>
      <c r="C710"/>
      <c r="D710"/>
      <c r="E710"/>
      <c r="F710"/>
      <c r="G710"/>
      <c r="H710"/>
      <c r="I710"/>
    </row>
    <row r="711" spans="1:9" ht="15">
      <c r="A711"/>
      <c r="B711"/>
      <c r="C711"/>
      <c r="D711"/>
      <c r="E711"/>
      <c r="F711"/>
      <c r="G711"/>
      <c r="H711"/>
      <c r="I711"/>
    </row>
    <row r="712" spans="1:9" ht="15">
      <c r="A712"/>
      <c r="B712"/>
      <c r="C712"/>
      <c r="D712"/>
      <c r="E712"/>
      <c r="F712"/>
      <c r="G712"/>
      <c r="H712"/>
      <c r="I712"/>
    </row>
    <row r="713" spans="1:9" ht="15">
      <c r="A713"/>
      <c r="B713"/>
      <c r="C713"/>
      <c r="D713"/>
      <c r="E713"/>
      <c r="F713"/>
      <c r="G713"/>
      <c r="H713"/>
      <c r="I713"/>
    </row>
    <row r="714" spans="1:9" ht="15">
      <c r="A714"/>
      <c r="B714"/>
      <c r="C714"/>
      <c r="D714"/>
      <c r="E714"/>
      <c r="F714"/>
      <c r="G714"/>
      <c r="H714"/>
      <c r="I714"/>
    </row>
    <row r="715" spans="1:9" ht="15">
      <c r="A715"/>
      <c r="B715"/>
      <c r="C715"/>
      <c r="D715"/>
      <c r="E715"/>
      <c r="F715"/>
      <c r="G715"/>
      <c r="H715"/>
      <c r="I715"/>
    </row>
    <row r="716" spans="1:9" ht="15">
      <c r="A716"/>
      <c r="B716"/>
      <c r="C716"/>
      <c r="D716"/>
      <c r="E716"/>
      <c r="F716"/>
      <c r="G716"/>
      <c r="H716"/>
      <c r="I716"/>
    </row>
    <row r="717" spans="1:9" ht="15">
      <c r="A717"/>
      <c r="B717"/>
      <c r="C717"/>
      <c r="D717"/>
      <c r="E717"/>
      <c r="F717"/>
      <c r="G717"/>
      <c r="H717"/>
      <c r="I717"/>
    </row>
    <row r="718" spans="1:9" ht="15">
      <c r="A718"/>
      <c r="B718"/>
      <c r="C718"/>
      <c r="D718"/>
      <c r="E718"/>
      <c r="F718"/>
      <c r="G718"/>
      <c r="H718"/>
      <c r="I718"/>
    </row>
    <row r="719" spans="1:9" ht="15">
      <c r="A719"/>
      <c r="B719"/>
      <c r="C719"/>
      <c r="D719"/>
      <c r="E719"/>
      <c r="F719"/>
      <c r="G719"/>
      <c r="H719"/>
      <c r="I719"/>
    </row>
    <row r="720" spans="1:9" ht="15">
      <c r="A720"/>
      <c r="B720"/>
      <c r="C720"/>
      <c r="D720"/>
      <c r="E720"/>
      <c r="F720"/>
      <c r="G720"/>
      <c r="H720"/>
      <c r="I720"/>
    </row>
    <row r="721" spans="1:9" ht="15">
      <c r="A721"/>
      <c r="B721"/>
      <c r="C721"/>
      <c r="D721"/>
      <c r="E721"/>
      <c r="F721"/>
      <c r="G721"/>
      <c r="H721"/>
      <c r="I721"/>
    </row>
    <row r="722" spans="1:9" ht="15">
      <c r="A722"/>
      <c r="B722"/>
      <c r="C722"/>
      <c r="D722"/>
      <c r="E722"/>
      <c r="F722"/>
      <c r="G722"/>
      <c r="H722"/>
      <c r="I722"/>
    </row>
    <row r="723" spans="1:9" ht="15">
      <c r="A723"/>
      <c r="B723"/>
      <c r="C723"/>
      <c r="D723"/>
      <c r="E723"/>
      <c r="F723"/>
      <c r="G723"/>
      <c r="H723"/>
      <c r="I723"/>
    </row>
    <row r="724" spans="1:9" ht="15">
      <c r="A724"/>
      <c r="B724"/>
      <c r="C724"/>
      <c r="D724"/>
      <c r="E724"/>
      <c r="F724"/>
      <c r="G724"/>
      <c r="H724"/>
      <c r="I724"/>
    </row>
    <row r="725" spans="1:9" ht="15">
      <c r="A725"/>
      <c r="B725"/>
      <c r="C725"/>
      <c r="D725"/>
      <c r="E725"/>
      <c r="F725"/>
      <c r="G725"/>
      <c r="H725"/>
      <c r="I725"/>
    </row>
    <row r="726" spans="1:9" ht="15">
      <c r="A726"/>
      <c r="B726"/>
      <c r="C726"/>
      <c r="D726"/>
      <c r="E726"/>
      <c r="F726"/>
      <c r="G726"/>
      <c r="H726"/>
      <c r="I726"/>
    </row>
    <row r="727" spans="1:9" ht="15">
      <c r="A727"/>
      <c r="B727"/>
      <c r="C727"/>
      <c r="D727"/>
      <c r="E727"/>
      <c r="F727"/>
      <c r="G727"/>
      <c r="H727"/>
      <c r="I727"/>
    </row>
    <row r="728" spans="1:9" ht="15">
      <c r="A728"/>
      <c r="B728"/>
      <c r="C728"/>
      <c r="D728"/>
      <c r="E728"/>
      <c r="F728"/>
      <c r="G728"/>
      <c r="H728"/>
      <c r="I728"/>
    </row>
    <row r="729" spans="1:9" ht="15">
      <c r="A729"/>
      <c r="B729"/>
      <c r="C729"/>
      <c r="D729"/>
      <c r="E729"/>
      <c r="F729"/>
      <c r="G729"/>
      <c r="H729"/>
      <c r="I729"/>
    </row>
    <row r="730" spans="1:9" ht="15">
      <c r="A730"/>
      <c r="B730"/>
      <c r="C730"/>
      <c r="D730"/>
      <c r="E730"/>
      <c r="F730"/>
      <c r="G730"/>
      <c r="H730"/>
      <c r="I730"/>
    </row>
    <row r="731" spans="1:9" ht="15">
      <c r="A731"/>
      <c r="B731"/>
      <c r="C731"/>
      <c r="D731"/>
      <c r="E731"/>
      <c r="F731"/>
      <c r="G731"/>
      <c r="H731"/>
      <c r="I731"/>
    </row>
    <row r="732" spans="1:9" ht="15">
      <c r="A732"/>
      <c r="B732"/>
      <c r="C732"/>
      <c r="D732"/>
      <c r="E732"/>
      <c r="F732"/>
      <c r="G732"/>
      <c r="H732"/>
      <c r="I732"/>
    </row>
    <row r="733" spans="1:9" ht="15">
      <c r="A733"/>
      <c r="B733"/>
      <c r="C733"/>
      <c r="D733"/>
      <c r="E733"/>
      <c r="F733"/>
      <c r="G733"/>
      <c r="H733"/>
      <c r="I733"/>
    </row>
    <row r="734" spans="1:9" ht="15">
      <c r="A734"/>
      <c r="B734"/>
      <c r="C734"/>
      <c r="D734"/>
      <c r="E734"/>
      <c r="F734"/>
      <c r="G734"/>
      <c r="H734"/>
      <c r="I734"/>
    </row>
    <row r="735" spans="1:9" ht="15">
      <c r="A735"/>
      <c r="B735"/>
      <c r="C735"/>
      <c r="D735"/>
      <c r="E735"/>
      <c r="F735"/>
      <c r="G735"/>
      <c r="H735"/>
      <c r="I735"/>
    </row>
    <row r="736" spans="1:9" ht="15">
      <c r="A736"/>
      <c r="B736"/>
      <c r="C736"/>
      <c r="D736"/>
      <c r="E736"/>
      <c r="F736"/>
      <c r="G736"/>
      <c r="H736"/>
      <c r="I736"/>
    </row>
    <row r="737" spans="1:9" ht="15">
      <c r="A737"/>
      <c r="B737"/>
      <c r="C737"/>
      <c r="D737"/>
      <c r="E737"/>
      <c r="F737"/>
      <c r="G737"/>
      <c r="H737"/>
      <c r="I737"/>
    </row>
    <row r="738" spans="1:9" ht="15">
      <c r="A738"/>
      <c r="B738"/>
      <c r="C738"/>
      <c r="D738"/>
      <c r="E738"/>
      <c r="F738"/>
      <c r="G738"/>
      <c r="H738"/>
      <c r="I738"/>
    </row>
    <row r="739" spans="1:9" ht="15">
      <c r="A739"/>
      <c r="B739"/>
      <c r="C739"/>
      <c r="D739"/>
      <c r="E739"/>
      <c r="F739"/>
      <c r="G739"/>
      <c r="H739"/>
      <c r="I739"/>
    </row>
    <row r="740" spans="1:9" ht="15">
      <c r="A740"/>
      <c r="B740"/>
      <c r="C740"/>
      <c r="D740"/>
      <c r="E740"/>
      <c r="F740"/>
      <c r="G740"/>
      <c r="H740"/>
      <c r="I740"/>
    </row>
    <row r="741" spans="1:9" ht="15">
      <c r="A741"/>
      <c r="B741"/>
      <c r="C741"/>
      <c r="D741"/>
      <c r="E741"/>
      <c r="F741"/>
      <c r="G741"/>
      <c r="H741"/>
      <c r="I741"/>
    </row>
    <row r="742" spans="1:9" ht="15">
      <c r="A742"/>
      <c r="B742"/>
      <c r="C742"/>
      <c r="D742"/>
      <c r="E742"/>
      <c r="F742"/>
      <c r="G742"/>
      <c r="H742"/>
      <c r="I742"/>
    </row>
    <row r="743" spans="1:9" ht="15">
      <c r="A743"/>
      <c r="B743"/>
      <c r="C743"/>
      <c r="D743"/>
      <c r="E743"/>
      <c r="F743"/>
      <c r="G743"/>
      <c r="H743"/>
      <c r="I743"/>
    </row>
    <row r="744" spans="1:9" ht="15">
      <c r="A744"/>
      <c r="B744"/>
      <c r="C744"/>
      <c r="D744"/>
      <c r="E744"/>
      <c r="F744"/>
      <c r="G744"/>
      <c r="H744"/>
      <c r="I744"/>
    </row>
    <row r="745" spans="1:9" ht="15">
      <c r="A745"/>
      <c r="B745"/>
      <c r="C745"/>
      <c r="D745"/>
      <c r="E745"/>
      <c r="F745"/>
      <c r="G745"/>
      <c r="H745"/>
      <c r="I745"/>
    </row>
    <row r="746" spans="1:9" ht="15">
      <c r="A746"/>
      <c r="B746"/>
      <c r="C746"/>
      <c r="D746"/>
      <c r="E746"/>
      <c r="F746"/>
      <c r="G746"/>
      <c r="H746"/>
      <c r="I746"/>
    </row>
    <row r="747" spans="1:9" ht="15">
      <c r="A747"/>
      <c r="B747"/>
      <c r="C747"/>
      <c r="D747"/>
      <c r="E747"/>
      <c r="F747"/>
      <c r="G747"/>
      <c r="H747"/>
      <c r="I747"/>
    </row>
    <row r="748" spans="1:9" ht="15">
      <c r="A748"/>
      <c r="B748"/>
      <c r="C748"/>
      <c r="D748"/>
      <c r="E748"/>
      <c r="F748"/>
      <c r="G748"/>
      <c r="H748"/>
      <c r="I748"/>
    </row>
    <row r="749" spans="1:9" ht="15">
      <c r="A749"/>
      <c r="B749"/>
      <c r="C749"/>
      <c r="D749"/>
      <c r="E749"/>
      <c r="F749"/>
      <c r="G749"/>
      <c r="H749"/>
      <c r="I749"/>
    </row>
    <row r="750" spans="1:9" ht="15">
      <c r="A750"/>
      <c r="B750"/>
      <c r="C750"/>
      <c r="D750"/>
      <c r="E750"/>
      <c r="F750"/>
      <c r="G750"/>
      <c r="H750"/>
      <c r="I750"/>
    </row>
    <row r="751" spans="1:9" ht="15">
      <c r="A751"/>
      <c r="B751"/>
      <c r="C751"/>
      <c r="D751"/>
      <c r="E751"/>
      <c r="F751"/>
      <c r="G751"/>
      <c r="H751"/>
      <c r="I751"/>
    </row>
    <row r="752" spans="1:9" ht="15">
      <c r="A752"/>
      <c r="B752"/>
      <c r="C752"/>
      <c r="D752"/>
      <c r="E752"/>
      <c r="F752"/>
      <c r="G752"/>
      <c r="H752"/>
      <c r="I752"/>
    </row>
    <row r="753" spans="1:9" ht="15">
      <c r="A753"/>
      <c r="B753"/>
      <c r="C753"/>
      <c r="D753"/>
      <c r="E753"/>
      <c r="F753"/>
      <c r="G753"/>
      <c r="H753"/>
      <c r="I753"/>
    </row>
    <row r="754" spans="1:9" ht="15">
      <c r="A754"/>
      <c r="B754"/>
      <c r="C754"/>
      <c r="D754"/>
      <c r="E754"/>
      <c r="F754"/>
      <c r="G754"/>
      <c r="H754"/>
      <c r="I754"/>
    </row>
    <row r="755" spans="1:9" ht="15">
      <c r="A755"/>
      <c r="B755"/>
      <c r="C755"/>
      <c r="D755"/>
      <c r="E755"/>
      <c r="F755"/>
      <c r="G755"/>
      <c r="H755"/>
      <c r="I755"/>
    </row>
    <row r="756" spans="1:9" ht="15">
      <c r="A756"/>
      <c r="B756"/>
      <c r="C756"/>
      <c r="D756"/>
      <c r="E756"/>
      <c r="F756"/>
      <c r="G756"/>
      <c r="H756"/>
      <c r="I756"/>
    </row>
    <row r="757" spans="1:9" ht="15">
      <c r="A757"/>
      <c r="B757"/>
      <c r="C757"/>
      <c r="D757"/>
      <c r="E757"/>
      <c r="F757"/>
      <c r="G757"/>
      <c r="H757"/>
      <c r="I757"/>
    </row>
    <row r="758" spans="1:9" ht="15">
      <c r="A758"/>
      <c r="B758"/>
      <c r="C758"/>
      <c r="D758"/>
      <c r="E758"/>
      <c r="F758"/>
      <c r="G758"/>
      <c r="H758"/>
      <c r="I758"/>
    </row>
    <row r="759" spans="1:9" ht="15">
      <c r="A759"/>
      <c r="B759"/>
      <c r="C759"/>
      <c r="D759"/>
      <c r="E759"/>
      <c r="F759"/>
      <c r="G759"/>
      <c r="H759"/>
      <c r="I759"/>
    </row>
    <row r="760" spans="1:9" ht="15">
      <c r="A760"/>
      <c r="B760"/>
      <c r="C760"/>
      <c r="D760"/>
      <c r="E760"/>
      <c r="F760"/>
      <c r="G760"/>
      <c r="H760"/>
      <c r="I760"/>
    </row>
    <row r="761" spans="1:9" ht="15">
      <c r="A761"/>
      <c r="B761"/>
      <c r="C761"/>
      <c r="D761"/>
      <c r="E761"/>
      <c r="F761"/>
      <c r="G761"/>
      <c r="H761"/>
      <c r="I761"/>
    </row>
    <row r="762" spans="1:9" ht="15">
      <c r="A762"/>
      <c r="B762"/>
      <c r="C762"/>
      <c r="D762"/>
      <c r="E762"/>
      <c r="F762"/>
      <c r="G762"/>
      <c r="H762"/>
      <c r="I762"/>
    </row>
    <row r="763" spans="1:9" ht="15">
      <c r="A763"/>
      <c r="B763"/>
      <c r="C763"/>
      <c r="D763"/>
      <c r="E763"/>
      <c r="F763"/>
      <c r="G763"/>
      <c r="H763"/>
      <c r="I763"/>
    </row>
    <row r="764" spans="1:9" ht="15">
      <c r="A764"/>
      <c r="B764"/>
      <c r="C764"/>
      <c r="D764"/>
      <c r="E764"/>
      <c r="F764"/>
      <c r="G764"/>
      <c r="H764"/>
      <c r="I764"/>
    </row>
    <row r="765" spans="1:9" ht="15">
      <c r="A765"/>
      <c r="B765"/>
      <c r="C765"/>
      <c r="D765"/>
      <c r="E765"/>
      <c r="F765"/>
      <c r="G765"/>
      <c r="H765"/>
      <c r="I765"/>
    </row>
    <row r="766" spans="1:9" ht="15">
      <c r="A766"/>
      <c r="B766"/>
      <c r="C766"/>
      <c r="D766"/>
      <c r="E766"/>
      <c r="F766"/>
      <c r="G766"/>
      <c r="H766"/>
      <c r="I766"/>
    </row>
    <row r="767" spans="1:9" ht="15">
      <c r="A767"/>
      <c r="B767"/>
      <c r="C767"/>
      <c r="D767"/>
      <c r="E767"/>
      <c r="F767"/>
      <c r="G767"/>
      <c r="H767"/>
      <c r="I767"/>
    </row>
    <row r="768" spans="1:9" ht="15">
      <c r="A768"/>
      <c r="B768"/>
      <c r="C768"/>
      <c r="D768"/>
      <c r="E768"/>
      <c r="F768"/>
      <c r="G768"/>
      <c r="H768"/>
      <c r="I768"/>
    </row>
    <row r="769" spans="1:9" ht="15">
      <c r="A769"/>
      <c r="B769"/>
      <c r="C769"/>
      <c r="D769"/>
      <c r="E769"/>
      <c r="F769"/>
      <c r="G769"/>
      <c r="H769"/>
      <c r="I769"/>
    </row>
    <row r="770" spans="1:9" ht="15">
      <c r="A770"/>
      <c r="B770"/>
      <c r="C770"/>
      <c r="D770"/>
      <c r="E770"/>
      <c r="F770"/>
      <c r="G770"/>
      <c r="H770"/>
      <c r="I770"/>
    </row>
    <row r="771" spans="1:9" ht="15">
      <c r="A771"/>
      <c r="B771"/>
      <c r="C771"/>
      <c r="D771"/>
      <c r="E771"/>
      <c r="F771"/>
      <c r="G771"/>
      <c r="H771"/>
      <c r="I771"/>
    </row>
    <row r="772" spans="1:9" ht="15">
      <c r="A772"/>
      <c r="B772"/>
      <c r="C772"/>
      <c r="D772"/>
      <c r="E772"/>
      <c r="F772"/>
      <c r="G772"/>
      <c r="H772"/>
      <c r="I772"/>
    </row>
    <row r="773" spans="1:9" ht="15">
      <c r="A773"/>
      <c r="B773"/>
      <c r="C773"/>
      <c r="D773"/>
      <c r="E773"/>
      <c r="F773"/>
      <c r="G773"/>
      <c r="H773"/>
      <c r="I773"/>
    </row>
    <row r="774" spans="1:9" ht="15">
      <c r="A774"/>
      <c r="B774"/>
      <c r="C774"/>
      <c r="D774"/>
      <c r="E774"/>
      <c r="F774"/>
      <c r="G774"/>
      <c r="H774"/>
      <c r="I774"/>
    </row>
    <row r="775" spans="1:9" ht="15">
      <c r="A775"/>
      <c r="B775"/>
      <c r="C775"/>
      <c r="D775"/>
      <c r="E775"/>
      <c r="F775"/>
      <c r="G775"/>
      <c r="H775"/>
      <c r="I775"/>
    </row>
    <row r="776" spans="1:9" ht="15">
      <c r="A776"/>
      <c r="B776"/>
      <c r="C776"/>
      <c r="D776"/>
      <c r="E776"/>
      <c r="F776"/>
      <c r="G776"/>
      <c r="H776"/>
      <c r="I776"/>
    </row>
    <row r="777" spans="1:9" ht="15">
      <c r="A777"/>
      <c r="B777"/>
      <c r="C777"/>
      <c r="D777"/>
      <c r="E777"/>
      <c r="F777"/>
      <c r="G777"/>
      <c r="H777"/>
      <c r="I777"/>
    </row>
    <row r="778" spans="1:9" ht="15">
      <c r="A778"/>
      <c r="B778"/>
      <c r="C778"/>
      <c r="D778"/>
      <c r="E778"/>
      <c r="F778"/>
      <c r="G778"/>
      <c r="H778"/>
      <c r="I778"/>
    </row>
    <row r="779" spans="1:9" ht="15">
      <c r="A779"/>
      <c r="B779"/>
      <c r="C779"/>
      <c r="D779"/>
      <c r="E779"/>
      <c r="F779"/>
      <c r="G779"/>
      <c r="H779"/>
      <c r="I779"/>
    </row>
    <row r="780" spans="1:9" ht="15">
      <c r="A780"/>
      <c r="B780"/>
      <c r="C780"/>
      <c r="D780"/>
      <c r="E780"/>
      <c r="F780"/>
      <c r="G780"/>
      <c r="H780"/>
      <c r="I780"/>
    </row>
    <row r="781" spans="1:9" ht="15">
      <c r="A781"/>
      <c r="B781"/>
      <c r="C781"/>
      <c r="D781"/>
      <c r="E781"/>
      <c r="F781"/>
      <c r="G781"/>
      <c r="H781"/>
      <c r="I781"/>
    </row>
    <row r="782" spans="1:9" ht="15">
      <c r="A782"/>
      <c r="B782"/>
      <c r="C782"/>
      <c r="D782"/>
      <c r="E782"/>
      <c r="F782"/>
      <c r="G782"/>
      <c r="H782"/>
      <c r="I782"/>
    </row>
    <row r="783" spans="1:9" ht="15">
      <c r="A783"/>
      <c r="B783"/>
      <c r="C783"/>
      <c r="D783"/>
      <c r="E783"/>
      <c r="F783"/>
      <c r="G783"/>
      <c r="H783"/>
      <c r="I783"/>
    </row>
    <row r="784" spans="1:9" ht="15">
      <c r="A784"/>
      <c r="B784"/>
      <c r="C784"/>
      <c r="D784"/>
      <c r="E784"/>
      <c r="F784"/>
      <c r="G784"/>
      <c r="H784"/>
      <c r="I784"/>
    </row>
    <row r="785" spans="1:9" ht="15">
      <c r="A785"/>
      <c r="B785"/>
      <c r="C785"/>
      <c r="D785"/>
      <c r="E785"/>
      <c r="F785"/>
      <c r="G785"/>
      <c r="H785"/>
      <c r="I785"/>
    </row>
    <row r="786" spans="1:9" ht="15">
      <c r="A786"/>
      <c r="B786"/>
      <c r="C786"/>
      <c r="D786"/>
      <c r="E786"/>
      <c r="F786"/>
      <c r="G786"/>
      <c r="H786"/>
      <c r="I786"/>
    </row>
    <row r="787" spans="1:9" ht="15">
      <c r="A787"/>
      <c r="B787"/>
      <c r="C787"/>
      <c r="D787"/>
      <c r="E787"/>
      <c r="F787"/>
      <c r="G787"/>
      <c r="H787"/>
      <c r="I787"/>
    </row>
    <row r="788" spans="1:9" ht="15">
      <c r="A788"/>
      <c r="B788"/>
      <c r="C788"/>
      <c r="D788"/>
      <c r="E788"/>
      <c r="F788"/>
      <c r="G788"/>
      <c r="H788"/>
      <c r="I788"/>
    </row>
    <row r="789" spans="1:9" ht="15">
      <c r="A789"/>
      <c r="B789"/>
      <c r="C789"/>
      <c r="D789"/>
      <c r="E789"/>
      <c r="F789"/>
      <c r="G789"/>
      <c r="H789"/>
      <c r="I789"/>
    </row>
    <row r="790" spans="1:9" ht="15">
      <c r="A790"/>
      <c r="B790"/>
      <c r="C790"/>
      <c r="D790"/>
      <c r="E790"/>
      <c r="F790"/>
      <c r="G790"/>
      <c r="H790"/>
      <c r="I790"/>
    </row>
    <row r="791" spans="1:9" ht="15">
      <c r="A791"/>
      <c r="B791"/>
      <c r="C791"/>
      <c r="D791"/>
      <c r="E791"/>
      <c r="F791"/>
      <c r="G791"/>
      <c r="H791"/>
      <c r="I791"/>
    </row>
    <row r="792" spans="1:9" ht="15">
      <c r="A792"/>
      <c r="B792"/>
      <c r="C792"/>
      <c r="D792"/>
      <c r="E792"/>
      <c r="F792"/>
      <c r="G792"/>
      <c r="H792"/>
      <c r="I792"/>
    </row>
    <row r="793" spans="1:9" ht="15">
      <c r="A793"/>
      <c r="B793"/>
      <c r="C793"/>
      <c r="D793"/>
      <c r="E793"/>
      <c r="F793"/>
      <c r="G793"/>
      <c r="H793"/>
      <c r="I793"/>
    </row>
    <row r="794" spans="1:9" ht="15">
      <c r="A794"/>
      <c r="B794"/>
      <c r="C794"/>
      <c r="D794"/>
      <c r="E794"/>
      <c r="F794"/>
      <c r="G794"/>
      <c r="H794"/>
      <c r="I794"/>
    </row>
    <row r="795" spans="1:9" ht="15">
      <c r="A795"/>
      <c r="B795"/>
      <c r="C795"/>
      <c r="D795"/>
      <c r="E795"/>
      <c r="F795"/>
      <c r="G795"/>
      <c r="H795"/>
      <c r="I795"/>
    </row>
    <row r="796" spans="1:9" ht="15">
      <c r="A796"/>
      <c r="B796"/>
      <c r="C796"/>
      <c r="D796"/>
      <c r="E796"/>
      <c r="F796"/>
      <c r="G796"/>
      <c r="H796"/>
      <c r="I796"/>
    </row>
    <row r="797" spans="1:9" ht="15">
      <c r="A797"/>
      <c r="B797"/>
      <c r="C797"/>
      <c r="D797"/>
      <c r="E797"/>
      <c r="F797"/>
      <c r="G797"/>
      <c r="H797"/>
      <c r="I797"/>
    </row>
    <row r="798" spans="1:9" ht="15">
      <c r="A798"/>
      <c r="B798"/>
      <c r="C798"/>
      <c r="D798"/>
      <c r="E798"/>
      <c r="F798"/>
      <c r="G798"/>
      <c r="H798"/>
      <c r="I798"/>
    </row>
    <row r="799" spans="1:9" ht="15">
      <c r="A799"/>
      <c r="B799"/>
      <c r="C799"/>
      <c r="D799"/>
      <c r="E799"/>
      <c r="F799"/>
      <c r="G799"/>
      <c r="H799"/>
      <c r="I799"/>
    </row>
    <row r="800" spans="1:9" ht="15">
      <c r="A800"/>
      <c r="B800"/>
      <c r="C800"/>
      <c r="D800"/>
      <c r="E800"/>
      <c r="F800"/>
      <c r="G800"/>
      <c r="H800"/>
      <c r="I800"/>
    </row>
    <row r="801" spans="1:9" ht="15">
      <c r="A801"/>
      <c r="B801"/>
      <c r="C801"/>
      <c r="D801"/>
      <c r="E801"/>
      <c r="F801"/>
      <c r="G801"/>
      <c r="H801"/>
      <c r="I801"/>
    </row>
    <row r="802" spans="1:9" ht="15">
      <c r="A802"/>
      <c r="B802"/>
      <c r="C802"/>
      <c r="D802"/>
      <c r="E802"/>
      <c r="F802"/>
      <c r="G802"/>
      <c r="H802"/>
      <c r="I802"/>
    </row>
    <row r="803" spans="1:9" ht="15">
      <c r="A803"/>
      <c r="B803"/>
      <c r="C803"/>
      <c r="D803"/>
      <c r="E803"/>
      <c r="F803"/>
      <c r="G803"/>
      <c r="H803"/>
      <c r="I803"/>
    </row>
    <row r="804" spans="1:9" ht="15">
      <c r="A804"/>
      <c r="B804"/>
      <c r="C804"/>
      <c r="D804"/>
      <c r="E804"/>
      <c r="F804"/>
      <c r="G804"/>
      <c r="H804"/>
      <c r="I804"/>
    </row>
    <row r="805" spans="1:9" ht="15">
      <c r="A805"/>
      <c r="B805"/>
      <c r="C805"/>
      <c r="D805"/>
      <c r="E805"/>
      <c r="F805"/>
      <c r="G805"/>
      <c r="H805"/>
      <c r="I805"/>
    </row>
    <row r="806" spans="1:9" ht="15">
      <c r="A806"/>
      <c r="B806"/>
      <c r="C806"/>
      <c r="D806"/>
      <c r="E806"/>
      <c r="F806"/>
      <c r="G806"/>
      <c r="H806"/>
      <c r="I806"/>
    </row>
    <row r="807" spans="1:9" ht="15">
      <c r="A807"/>
      <c r="B807"/>
      <c r="C807"/>
      <c r="D807"/>
      <c r="E807"/>
      <c r="F807"/>
      <c r="G807"/>
      <c r="H807"/>
      <c r="I807"/>
    </row>
    <row r="808" spans="1:9" ht="15">
      <c r="A808"/>
      <c r="B808"/>
      <c r="C808"/>
      <c r="D808"/>
      <c r="E808"/>
      <c r="F808"/>
      <c r="G808"/>
      <c r="H808"/>
      <c r="I808"/>
    </row>
    <row r="809" spans="1:9" ht="15">
      <c r="A809"/>
      <c r="B809"/>
      <c r="C809"/>
      <c r="D809"/>
      <c r="E809"/>
      <c r="F809"/>
      <c r="G809"/>
      <c r="H809"/>
      <c r="I809"/>
    </row>
    <row r="810" spans="1:9" ht="15">
      <c r="A810"/>
      <c r="B810"/>
      <c r="C810"/>
      <c r="D810"/>
      <c r="E810"/>
      <c r="F810"/>
      <c r="G810"/>
      <c r="H810"/>
      <c r="I810"/>
    </row>
    <row r="811" spans="1:9" ht="15">
      <c r="A811"/>
      <c r="B811"/>
      <c r="C811"/>
      <c r="D811"/>
      <c r="E811"/>
      <c r="F811"/>
      <c r="G811"/>
      <c r="H811"/>
      <c r="I811"/>
    </row>
    <row r="812" spans="1:9" ht="15">
      <c r="A812"/>
      <c r="B812"/>
      <c r="C812"/>
      <c r="D812"/>
      <c r="E812"/>
      <c r="F812"/>
      <c r="G812"/>
      <c r="H812"/>
      <c r="I812"/>
    </row>
    <row r="813" spans="1:9" ht="15">
      <c r="A813"/>
      <c r="B813"/>
      <c r="C813"/>
      <c r="D813"/>
      <c r="E813"/>
      <c r="F813"/>
      <c r="G813"/>
      <c r="H813"/>
      <c r="I813"/>
    </row>
    <row r="814" spans="1:9" ht="15">
      <c r="A814"/>
      <c r="B814"/>
      <c r="C814"/>
      <c r="D814"/>
      <c r="E814"/>
      <c r="F814"/>
      <c r="G814"/>
      <c r="H814"/>
      <c r="I814"/>
    </row>
    <row r="815" spans="1:9" ht="15">
      <c r="A815"/>
      <c r="B815"/>
      <c r="C815"/>
      <c r="D815"/>
      <c r="E815"/>
      <c r="F815"/>
      <c r="G815"/>
      <c r="H815"/>
      <c r="I815"/>
    </row>
    <row r="816" spans="1:9" ht="15">
      <c r="A816"/>
      <c r="B816"/>
      <c r="C816"/>
      <c r="D816"/>
      <c r="E816"/>
      <c r="F816"/>
      <c r="G816"/>
      <c r="H816"/>
      <c r="I816"/>
    </row>
    <row r="817" spans="1:9" ht="15">
      <c r="A817"/>
      <c r="B817"/>
      <c r="C817"/>
      <c r="D817"/>
      <c r="E817"/>
      <c r="F817"/>
      <c r="G817"/>
      <c r="H817"/>
      <c r="I817"/>
    </row>
    <row r="818" spans="1:9" ht="15">
      <c r="A818"/>
      <c r="B818"/>
      <c r="C818"/>
      <c r="D818"/>
      <c r="E818"/>
      <c r="F818"/>
      <c r="G818"/>
      <c r="H818"/>
      <c r="I818"/>
    </row>
    <row r="819" spans="1:9" ht="15">
      <c r="A819"/>
      <c r="B819"/>
      <c r="C819"/>
      <c r="D819"/>
      <c r="E819"/>
      <c r="F819"/>
      <c r="G819"/>
      <c r="H819"/>
      <c r="I819"/>
    </row>
    <row r="820" spans="1:9" ht="15">
      <c r="A820"/>
      <c r="B820"/>
      <c r="C820"/>
      <c r="D820"/>
      <c r="E820"/>
      <c r="F820"/>
      <c r="G820"/>
      <c r="H820"/>
      <c r="I820"/>
    </row>
    <row r="821" spans="1:9" ht="15">
      <c r="A821"/>
      <c r="B821"/>
      <c r="C821"/>
      <c r="D821"/>
      <c r="E821"/>
      <c r="F821"/>
      <c r="G821"/>
      <c r="H821"/>
      <c r="I821"/>
    </row>
    <row r="822" spans="1:9" ht="15">
      <c r="A822"/>
      <c r="B822"/>
      <c r="C822"/>
      <c r="D822"/>
      <c r="E822"/>
      <c r="F822"/>
      <c r="G822"/>
      <c r="H822"/>
      <c r="I822"/>
    </row>
    <row r="823" spans="1:9" ht="15">
      <c r="A823"/>
      <c r="B823"/>
      <c r="C823"/>
      <c r="D823"/>
      <c r="E823"/>
      <c r="F823"/>
      <c r="G823"/>
      <c r="H823"/>
      <c r="I823"/>
    </row>
    <row r="824" spans="1:9" ht="15">
      <c r="A824"/>
      <c r="B824"/>
      <c r="C824"/>
      <c r="D824"/>
      <c r="E824"/>
      <c r="F824"/>
      <c r="G824"/>
      <c r="H824"/>
      <c r="I824"/>
    </row>
    <row r="825" spans="1:9" ht="15">
      <c r="A825"/>
      <c r="B825"/>
      <c r="C825"/>
      <c r="D825"/>
      <c r="E825"/>
      <c r="F825"/>
      <c r="G825"/>
      <c r="H825"/>
      <c r="I825"/>
    </row>
    <row r="826" spans="1:9" ht="15">
      <c r="A826"/>
      <c r="B826"/>
      <c r="C826"/>
      <c r="D826"/>
      <c r="E826"/>
      <c r="F826"/>
      <c r="G826"/>
      <c r="H826"/>
      <c r="I826"/>
    </row>
    <row r="827" spans="1:9" ht="15">
      <c r="A827"/>
      <c r="B827"/>
      <c r="C827"/>
      <c r="D827"/>
      <c r="E827"/>
      <c r="F827"/>
      <c r="G827"/>
      <c r="H827"/>
      <c r="I827"/>
    </row>
    <row r="828" spans="1:9" ht="15">
      <c r="A828"/>
      <c r="B828"/>
      <c r="C828"/>
      <c r="D828"/>
      <c r="E828"/>
      <c r="F828"/>
      <c r="G828"/>
      <c r="H828"/>
      <c r="I828"/>
    </row>
    <row r="829" spans="1:9" ht="15">
      <c r="A829"/>
      <c r="B829"/>
      <c r="C829"/>
      <c r="D829"/>
      <c r="E829"/>
      <c r="F829"/>
      <c r="G829"/>
      <c r="H829"/>
      <c r="I829"/>
    </row>
    <row r="830" spans="1:9" ht="15">
      <c r="A830"/>
      <c r="B830"/>
      <c r="C830"/>
      <c r="D830"/>
      <c r="E830"/>
      <c r="F830"/>
      <c r="G830"/>
      <c r="H830"/>
      <c r="I830"/>
    </row>
    <row r="831" spans="1:9" ht="15">
      <c r="A831"/>
      <c r="B831"/>
      <c r="C831"/>
      <c r="D831"/>
      <c r="E831"/>
      <c r="F831"/>
      <c r="G831"/>
      <c r="H831"/>
      <c r="I831"/>
    </row>
    <row r="832" spans="1:9" ht="15">
      <c r="A832"/>
      <c r="B832"/>
      <c r="C832"/>
      <c r="D832"/>
      <c r="E832"/>
      <c r="F832"/>
      <c r="G832"/>
      <c r="H832"/>
      <c r="I832"/>
    </row>
    <row r="833" spans="1:9" ht="15">
      <c r="A833"/>
      <c r="B833"/>
      <c r="C833"/>
      <c r="D833"/>
      <c r="E833"/>
      <c r="F833"/>
      <c r="G833"/>
      <c r="H833"/>
      <c r="I833"/>
    </row>
    <row r="834" spans="1:9" ht="15">
      <c r="A834"/>
      <c r="B834"/>
      <c r="C834"/>
      <c r="D834"/>
      <c r="E834"/>
      <c r="F834"/>
      <c r="G834"/>
      <c r="H834"/>
      <c r="I834"/>
    </row>
    <row r="835" spans="1:9" ht="15">
      <c r="A835"/>
      <c r="B835"/>
      <c r="C835"/>
      <c r="D835"/>
      <c r="E835"/>
      <c r="F835"/>
      <c r="G835"/>
      <c r="H835"/>
      <c r="I835"/>
    </row>
    <row r="836" spans="1:9" ht="15">
      <c r="A836"/>
      <c r="B836"/>
      <c r="C836"/>
      <c r="D836"/>
      <c r="E836"/>
      <c r="F836"/>
      <c r="G836"/>
      <c r="H836"/>
      <c r="I836"/>
    </row>
    <row r="837" spans="1:9" ht="15">
      <c r="A837"/>
      <c r="B837"/>
      <c r="C837"/>
      <c r="D837"/>
      <c r="E837"/>
      <c r="F837"/>
      <c r="G837"/>
      <c r="H837"/>
      <c r="I837"/>
    </row>
    <row r="838" spans="1:9" ht="15">
      <c r="A838"/>
      <c r="B838"/>
      <c r="C838"/>
      <c r="D838"/>
      <c r="E838"/>
      <c r="F838"/>
      <c r="G838"/>
      <c r="H838"/>
      <c r="I838"/>
    </row>
    <row r="839" spans="1:9" ht="15">
      <c r="A839"/>
      <c r="B839"/>
      <c r="C839"/>
      <c r="D839"/>
      <c r="E839"/>
      <c r="F839"/>
      <c r="G839"/>
      <c r="H839"/>
      <c r="I839"/>
    </row>
    <row r="840" spans="1:9" ht="15">
      <c r="A840"/>
      <c r="B840"/>
      <c r="C840"/>
      <c r="D840"/>
      <c r="E840"/>
      <c r="F840"/>
      <c r="G840"/>
      <c r="H840"/>
      <c r="I840"/>
    </row>
    <row r="841" spans="1:9" ht="15">
      <c r="A841"/>
      <c r="B841"/>
      <c r="C841"/>
      <c r="D841"/>
      <c r="E841"/>
      <c r="F841"/>
      <c r="G841"/>
      <c r="H841"/>
      <c r="I841"/>
    </row>
    <row r="842" spans="1:9" ht="15">
      <c r="A842"/>
      <c r="B842"/>
      <c r="C842"/>
      <c r="D842"/>
      <c r="E842"/>
      <c r="F842"/>
      <c r="G842"/>
      <c r="H842"/>
      <c r="I842"/>
    </row>
    <row r="843" spans="1:9" ht="15">
      <c r="A843"/>
      <c r="B843"/>
      <c r="C843"/>
      <c r="D843"/>
      <c r="E843"/>
      <c r="F843"/>
      <c r="G843"/>
      <c r="H843"/>
      <c r="I843"/>
    </row>
    <row r="844" spans="1:9" ht="15">
      <c r="A844"/>
      <c r="B844"/>
      <c r="C844"/>
      <c r="D844"/>
      <c r="E844"/>
      <c r="F844"/>
      <c r="G844"/>
      <c r="H844"/>
      <c r="I844"/>
    </row>
    <row r="845" spans="1:9" ht="15">
      <c r="A845"/>
      <c r="B845"/>
      <c r="C845"/>
      <c r="D845"/>
      <c r="E845"/>
      <c r="F845"/>
      <c r="G845"/>
      <c r="H845"/>
      <c r="I845"/>
    </row>
    <row r="846" spans="1:9" ht="15">
      <c r="A846"/>
      <c r="B846"/>
      <c r="C846"/>
      <c r="D846"/>
      <c r="E846"/>
      <c r="F846"/>
      <c r="G846"/>
      <c r="H846"/>
      <c r="I846"/>
    </row>
    <row r="847" spans="1:9" ht="15">
      <c r="A847"/>
      <c r="B847"/>
      <c r="C847"/>
      <c r="D847"/>
      <c r="E847"/>
      <c r="F847"/>
      <c r="G847"/>
      <c r="H847"/>
      <c r="I847"/>
    </row>
    <row r="848" spans="1:9" ht="15">
      <c r="A848"/>
      <c r="B848"/>
      <c r="C848"/>
      <c r="D848"/>
      <c r="E848"/>
      <c r="F848"/>
      <c r="G848"/>
      <c r="H848"/>
      <c r="I848"/>
    </row>
    <row r="849" spans="1:9" ht="15">
      <c r="A849"/>
      <c r="B849"/>
      <c r="C849"/>
      <c r="D849"/>
      <c r="E849"/>
      <c r="F849"/>
      <c r="G849"/>
      <c r="H849"/>
      <c r="I849"/>
    </row>
    <row r="850" spans="1:9" ht="15">
      <c r="A850"/>
      <c r="B850"/>
      <c r="C850"/>
      <c r="D850"/>
      <c r="E850"/>
      <c r="F850"/>
      <c r="G850"/>
      <c r="H850"/>
      <c r="I850"/>
    </row>
    <row r="851" spans="1:9" ht="15">
      <c r="A851"/>
      <c r="B851"/>
      <c r="C851"/>
      <c r="D851"/>
      <c r="E851"/>
      <c r="F851"/>
      <c r="G851"/>
      <c r="H851"/>
      <c r="I851"/>
    </row>
    <row r="852" spans="1:9" ht="15">
      <c r="A852"/>
      <c r="B852"/>
      <c r="C852"/>
      <c r="D852"/>
      <c r="E852"/>
      <c r="F852"/>
      <c r="G852"/>
      <c r="H852"/>
      <c r="I852"/>
    </row>
    <row r="853" spans="1:9" ht="15">
      <c r="A853"/>
      <c r="B853"/>
      <c r="C853"/>
      <c r="D853"/>
      <c r="E853"/>
      <c r="F853"/>
      <c r="G853"/>
      <c r="H853"/>
      <c r="I853"/>
    </row>
    <row r="854" spans="1:9" ht="15">
      <c r="A854"/>
      <c r="B854"/>
      <c r="C854"/>
      <c r="D854"/>
      <c r="E854"/>
      <c r="F854"/>
      <c r="G854"/>
      <c r="H854"/>
      <c r="I854"/>
    </row>
    <row r="855" spans="1:9" ht="15">
      <c r="A855"/>
      <c r="B855"/>
      <c r="C855"/>
      <c r="D855"/>
      <c r="E855"/>
      <c r="F855"/>
      <c r="G855"/>
      <c r="H855"/>
      <c r="I855"/>
    </row>
    <row r="856" spans="1:9" ht="15">
      <c r="A856"/>
      <c r="B856"/>
      <c r="C856"/>
      <c r="D856"/>
      <c r="E856"/>
      <c r="F856"/>
      <c r="G856"/>
      <c r="H856"/>
      <c r="I856"/>
    </row>
    <row r="857" spans="1:9" ht="15">
      <c r="A857"/>
      <c r="B857"/>
      <c r="C857"/>
      <c r="D857"/>
      <c r="E857"/>
      <c r="F857"/>
      <c r="G857"/>
      <c r="H857"/>
      <c r="I857"/>
    </row>
    <row r="858" spans="1:9" ht="15">
      <c r="A858"/>
      <c r="B858"/>
      <c r="C858"/>
      <c r="D858"/>
      <c r="E858"/>
      <c r="F858"/>
      <c r="G858"/>
      <c r="H858"/>
      <c r="I858"/>
    </row>
    <row r="859" spans="1:9" ht="15">
      <c r="A859"/>
      <c r="B859"/>
      <c r="C859"/>
      <c r="D859"/>
      <c r="E859"/>
      <c r="F859"/>
      <c r="G859"/>
      <c r="H859"/>
      <c r="I859"/>
    </row>
    <row r="860" spans="1:9" ht="15">
      <c r="A860"/>
      <c r="B860"/>
      <c r="C860"/>
      <c r="D860"/>
      <c r="E860"/>
      <c r="F860"/>
      <c r="G860"/>
      <c r="H860"/>
      <c r="I860"/>
    </row>
    <row r="861" spans="1:9" ht="15">
      <c r="A861"/>
      <c r="B861"/>
      <c r="C861"/>
      <c r="D861"/>
      <c r="E861"/>
      <c r="F861"/>
      <c r="G861"/>
      <c r="H861"/>
      <c r="I861"/>
    </row>
    <row r="862" spans="1:9" ht="15">
      <c r="A862"/>
      <c r="B862"/>
      <c r="C862"/>
      <c r="D862"/>
      <c r="E862"/>
      <c r="F862"/>
      <c r="G862"/>
      <c r="H862"/>
      <c r="I862"/>
    </row>
    <row r="863" spans="1:9" ht="15">
      <c r="A863"/>
      <c r="B863"/>
      <c r="C863"/>
      <c r="D863"/>
      <c r="E863"/>
      <c r="F863"/>
      <c r="G863"/>
      <c r="H863"/>
      <c r="I863"/>
    </row>
    <row r="864" spans="1:9" ht="15">
      <c r="A864"/>
      <c r="B864"/>
      <c r="C864"/>
      <c r="D864"/>
      <c r="E864"/>
      <c r="F864"/>
      <c r="G864"/>
      <c r="H864"/>
      <c r="I864"/>
    </row>
    <row r="865" spans="1:9" ht="15">
      <c r="A865"/>
      <c r="B865"/>
      <c r="C865"/>
      <c r="D865"/>
      <c r="E865"/>
      <c r="F865"/>
      <c r="G865"/>
      <c r="H865"/>
      <c r="I865"/>
    </row>
    <row r="866" spans="1:9" ht="15">
      <c r="A866"/>
      <c r="B866"/>
      <c r="C866"/>
      <c r="D866"/>
      <c r="E866"/>
      <c r="F866"/>
      <c r="G866"/>
      <c r="H866"/>
      <c r="I866"/>
    </row>
    <row r="867" spans="1:9" ht="15">
      <c r="A867"/>
      <c r="B867"/>
      <c r="C867"/>
      <c r="D867"/>
      <c r="E867"/>
      <c r="F867"/>
      <c r="G867"/>
      <c r="H867"/>
      <c r="I867"/>
    </row>
    <row r="868" spans="1:9" ht="15">
      <c r="A868"/>
      <c r="B868"/>
      <c r="C868"/>
      <c r="D868"/>
      <c r="E868"/>
      <c r="F868"/>
      <c r="G868"/>
      <c r="H868"/>
      <c r="I868"/>
    </row>
    <row r="869" spans="1:9" ht="15">
      <c r="A869"/>
      <c r="B869"/>
      <c r="C869"/>
      <c r="D869"/>
      <c r="E869"/>
      <c r="F869"/>
      <c r="G869"/>
      <c r="H869"/>
      <c r="I869"/>
    </row>
    <row r="870" spans="1:9" ht="15">
      <c r="A870"/>
      <c r="B870"/>
      <c r="C870"/>
      <c r="D870"/>
      <c r="E870"/>
      <c r="F870"/>
      <c r="G870"/>
      <c r="H870"/>
      <c r="I870"/>
    </row>
    <row r="871" spans="1:9" ht="15">
      <c r="A871"/>
      <c r="B871"/>
      <c r="C871"/>
      <c r="D871"/>
      <c r="E871"/>
      <c r="F871"/>
      <c r="G871"/>
      <c r="H871"/>
      <c r="I871"/>
    </row>
    <row r="872" spans="1:9" ht="15">
      <c r="A872"/>
      <c r="B872"/>
      <c r="C872"/>
      <c r="D872"/>
      <c r="E872"/>
      <c r="F872"/>
      <c r="G872"/>
      <c r="H872"/>
      <c r="I872"/>
    </row>
    <row r="873" spans="1:9" ht="15">
      <c r="A873"/>
      <c r="B873"/>
      <c r="C873"/>
      <c r="D873"/>
      <c r="E873"/>
      <c r="F873"/>
      <c r="G873"/>
      <c r="H873"/>
      <c r="I873"/>
    </row>
    <row r="874" spans="1:9" ht="15">
      <c r="A874"/>
      <c r="B874"/>
      <c r="C874"/>
      <c r="D874"/>
      <c r="E874"/>
      <c r="F874"/>
      <c r="G874"/>
      <c r="H874"/>
      <c r="I874"/>
    </row>
    <row r="875" spans="1:9" ht="15">
      <c r="A875"/>
      <c r="B875"/>
      <c r="C875"/>
      <c r="D875"/>
      <c r="E875"/>
      <c r="F875"/>
      <c r="G875"/>
      <c r="H875"/>
      <c r="I875"/>
    </row>
    <row r="876" spans="1:9" ht="15">
      <c r="A876"/>
      <c r="B876"/>
      <c r="C876"/>
      <c r="D876"/>
      <c r="E876"/>
      <c r="F876"/>
      <c r="G876"/>
      <c r="H876"/>
      <c r="I876"/>
    </row>
    <row r="877" spans="1:9" ht="15">
      <c r="A877"/>
      <c r="B877"/>
      <c r="C877"/>
      <c r="D877"/>
      <c r="E877"/>
      <c r="F877"/>
      <c r="G877"/>
      <c r="H877"/>
      <c r="I877"/>
    </row>
    <row r="878" spans="1:9" ht="15">
      <c r="A878"/>
      <c r="B878"/>
      <c r="C878"/>
      <c r="D878"/>
      <c r="E878"/>
      <c r="F878"/>
      <c r="G878"/>
      <c r="H878"/>
    </row>
    <row r="879" spans="1:9" ht="15">
      <c r="A879"/>
      <c r="B879"/>
      <c r="C879"/>
      <c r="D879"/>
      <c r="E879"/>
      <c r="F879"/>
      <c r="G879"/>
      <c r="H879"/>
    </row>
    <row r="880" spans="1:9" ht="15">
      <c r="A880"/>
      <c r="B880"/>
      <c r="C880"/>
      <c r="D880"/>
      <c r="E880"/>
      <c r="F880"/>
      <c r="G880"/>
      <c r="H880"/>
    </row>
    <row r="881" spans="1:8" ht="15">
      <c r="A881"/>
      <c r="B881"/>
      <c r="C881"/>
      <c r="D881"/>
      <c r="E881"/>
      <c r="F881"/>
      <c r="G881"/>
      <c r="H881"/>
    </row>
    <row r="882" spans="1:8" ht="15">
      <c r="A882"/>
      <c r="B882"/>
      <c r="C882"/>
      <c r="D882"/>
      <c r="E882"/>
      <c r="F882"/>
      <c r="G882"/>
      <c r="H882"/>
    </row>
    <row r="883" spans="1:8" ht="15">
      <c r="A883"/>
      <c r="B883"/>
      <c r="C883"/>
      <c r="D883"/>
      <c r="E883"/>
      <c r="F883"/>
      <c r="G883"/>
      <c r="H883"/>
    </row>
    <row r="884" spans="1:8" ht="15">
      <c r="A884"/>
      <c r="B884"/>
      <c r="C884"/>
      <c r="D884"/>
      <c r="E884"/>
      <c r="F884"/>
      <c r="G884"/>
      <c r="H884"/>
    </row>
    <row r="885" spans="1:8" ht="15">
      <c r="A885"/>
      <c r="B885"/>
      <c r="C885"/>
      <c r="D885"/>
      <c r="E885"/>
      <c r="F885"/>
      <c r="G885"/>
      <c r="H885"/>
    </row>
    <row r="886" spans="1:8" ht="15">
      <c r="A886"/>
      <c r="B886"/>
      <c r="C886"/>
      <c r="D886"/>
      <c r="E886"/>
      <c r="F886"/>
      <c r="G886"/>
      <c r="H886"/>
    </row>
    <row r="887" spans="1:8" ht="15">
      <c r="A887"/>
      <c r="B887"/>
      <c r="C887"/>
      <c r="D887"/>
      <c r="E887"/>
      <c r="F887"/>
      <c r="G887"/>
      <c r="H887"/>
    </row>
    <row r="888" spans="1:8" ht="15">
      <c r="A888"/>
      <c r="B888"/>
      <c r="C888"/>
      <c r="D888"/>
      <c r="E888"/>
      <c r="F888"/>
      <c r="G888"/>
      <c r="H888"/>
    </row>
    <row r="889" spans="1:8" ht="15">
      <c r="A889"/>
      <c r="B889"/>
      <c r="C889"/>
      <c r="D889"/>
      <c r="E889"/>
      <c r="F889"/>
      <c r="G889"/>
      <c r="H889"/>
    </row>
    <row r="890" spans="1:8" ht="15">
      <c r="A890"/>
      <c r="B890"/>
      <c r="C890"/>
      <c r="D890"/>
      <c r="E890"/>
      <c r="F890"/>
      <c r="G890"/>
      <c r="H890"/>
    </row>
    <row r="891" spans="1:8" ht="15">
      <c r="A891"/>
      <c r="B891"/>
      <c r="C891"/>
      <c r="D891"/>
      <c r="E891"/>
      <c r="F891"/>
      <c r="G891"/>
      <c r="H891"/>
    </row>
    <row r="892" spans="1:8" ht="15">
      <c r="A892"/>
      <c r="B892"/>
      <c r="C892"/>
      <c r="D892"/>
      <c r="E892"/>
      <c r="F892"/>
      <c r="G892"/>
      <c r="H892"/>
    </row>
    <row r="893" spans="1:8" ht="15">
      <c r="A893"/>
      <c r="B893"/>
      <c r="C893"/>
      <c r="D893"/>
      <c r="E893"/>
      <c r="F893"/>
      <c r="G893"/>
      <c r="H893"/>
    </row>
    <row r="894" spans="1:8" ht="15">
      <c r="A894"/>
      <c r="B894"/>
      <c r="C894"/>
      <c r="D894"/>
      <c r="E894"/>
      <c r="F894"/>
      <c r="G894"/>
      <c r="H894"/>
    </row>
    <row r="895" spans="1:8" ht="15">
      <c r="A895"/>
      <c r="B895"/>
      <c r="C895"/>
      <c r="D895"/>
      <c r="E895"/>
      <c r="F895"/>
      <c r="G895"/>
      <c r="H895"/>
    </row>
    <row r="896" spans="1:8" ht="15">
      <c r="A896"/>
      <c r="B896"/>
      <c r="C896"/>
      <c r="D896"/>
      <c r="E896"/>
      <c r="F896"/>
      <c r="G896"/>
      <c r="H896"/>
    </row>
    <row r="897" spans="1:8" ht="15">
      <c r="A897"/>
      <c r="B897"/>
      <c r="C897"/>
      <c r="D897"/>
      <c r="E897"/>
      <c r="F897"/>
      <c r="G897"/>
      <c r="H897"/>
    </row>
    <row r="898" spans="1:8" ht="15">
      <c r="A898"/>
      <c r="B898"/>
      <c r="C898"/>
      <c r="D898"/>
      <c r="E898"/>
      <c r="F898"/>
      <c r="G898"/>
      <c r="H898"/>
    </row>
    <row r="899" spans="1:8" ht="15">
      <c r="A899"/>
      <c r="B899"/>
      <c r="C899"/>
      <c r="D899"/>
      <c r="E899"/>
      <c r="F899"/>
      <c r="G899"/>
      <c r="H899"/>
    </row>
    <row r="900" spans="1:8" ht="15">
      <c r="A900"/>
      <c r="B900"/>
      <c r="C900"/>
      <c r="D900"/>
      <c r="E900"/>
      <c r="F900"/>
      <c r="G900"/>
      <c r="H900"/>
    </row>
    <row r="901" spans="1:8" ht="15">
      <c r="A901"/>
      <c r="B901"/>
      <c r="C901"/>
      <c r="D901"/>
      <c r="E901"/>
      <c r="F901"/>
      <c r="G901"/>
      <c r="H901"/>
    </row>
    <row r="902" spans="1:8" ht="15">
      <c r="A902"/>
      <c r="B902"/>
      <c r="C902"/>
      <c r="D902"/>
      <c r="E902"/>
      <c r="F902"/>
      <c r="G902"/>
      <c r="H902"/>
    </row>
    <row r="903" spans="1:8" ht="15">
      <c r="A903"/>
      <c r="B903"/>
      <c r="C903"/>
      <c r="D903"/>
      <c r="E903"/>
      <c r="F903"/>
      <c r="G903"/>
      <c r="H903"/>
    </row>
    <row r="904" spans="1:8" ht="15">
      <c r="A904"/>
      <c r="B904"/>
      <c r="C904"/>
      <c r="D904"/>
      <c r="E904"/>
      <c r="F904"/>
      <c r="G904"/>
      <c r="H904"/>
    </row>
    <row r="905" spans="1:8" ht="15">
      <c r="A905"/>
      <c r="B905"/>
      <c r="C905"/>
      <c r="D905"/>
      <c r="E905"/>
      <c r="F905"/>
      <c r="G905"/>
      <c r="H905"/>
    </row>
    <row r="906" spans="1:8" ht="15">
      <c r="A906"/>
      <c r="B906"/>
      <c r="C906"/>
      <c r="D906"/>
      <c r="E906"/>
      <c r="F906"/>
      <c r="G906"/>
      <c r="H906"/>
    </row>
    <row r="907" spans="1:8" ht="15">
      <c r="A907"/>
      <c r="B907"/>
      <c r="C907"/>
      <c r="D907"/>
      <c r="E907"/>
      <c r="F907"/>
      <c r="G907"/>
      <c r="H907"/>
    </row>
    <row r="908" spans="1:8" ht="15">
      <c r="A908"/>
      <c r="B908"/>
      <c r="C908"/>
      <c r="D908"/>
      <c r="E908"/>
      <c r="F908"/>
      <c r="G908"/>
      <c r="H908"/>
    </row>
    <row r="909" spans="1:8" ht="15">
      <c r="A909"/>
      <c r="B909"/>
      <c r="C909"/>
      <c r="D909"/>
      <c r="E909"/>
      <c r="F909"/>
      <c r="G909"/>
      <c r="H909"/>
    </row>
    <row r="910" spans="1:8" ht="15">
      <c r="A910"/>
      <c r="B910"/>
      <c r="C910"/>
      <c r="D910"/>
      <c r="E910"/>
      <c r="F910"/>
      <c r="G910"/>
      <c r="H910"/>
    </row>
    <row r="911" spans="1:8" ht="15">
      <c r="A911"/>
      <c r="B911"/>
      <c r="C911"/>
      <c r="D911"/>
      <c r="E911"/>
      <c r="F911"/>
      <c r="G911"/>
      <c r="H911"/>
    </row>
    <row r="912" spans="1:8" ht="15">
      <c r="A912"/>
      <c r="B912"/>
      <c r="C912"/>
      <c r="D912"/>
      <c r="E912"/>
      <c r="F912"/>
      <c r="G912"/>
      <c r="H912"/>
    </row>
    <row r="913" spans="1:8" ht="15">
      <c r="A913"/>
      <c r="B913"/>
      <c r="C913"/>
      <c r="D913"/>
      <c r="E913"/>
      <c r="F913"/>
      <c r="G913"/>
      <c r="H913"/>
    </row>
    <row r="914" spans="1:8" ht="15">
      <c r="A914"/>
      <c r="B914"/>
      <c r="C914"/>
      <c r="D914"/>
      <c r="E914"/>
      <c r="F914"/>
      <c r="G914"/>
      <c r="H914"/>
    </row>
    <row r="915" spans="1:8" ht="15">
      <c r="A915"/>
      <c r="B915"/>
      <c r="C915"/>
      <c r="D915"/>
      <c r="E915"/>
      <c r="F915"/>
      <c r="G915"/>
      <c r="H915"/>
    </row>
    <row r="916" spans="1:8" ht="15">
      <c r="A916"/>
      <c r="B916"/>
      <c r="C916"/>
      <c r="D916"/>
      <c r="E916"/>
      <c r="F916"/>
      <c r="G916"/>
      <c r="H916"/>
    </row>
    <row r="917" spans="1:8" ht="15">
      <c r="A917"/>
      <c r="B917"/>
      <c r="C917"/>
      <c r="D917"/>
      <c r="E917"/>
      <c r="F917"/>
      <c r="G917"/>
      <c r="H917"/>
    </row>
    <row r="918" spans="1:8" ht="15">
      <c r="A918"/>
      <c r="B918"/>
      <c r="C918"/>
      <c r="D918"/>
      <c r="E918"/>
      <c r="F918"/>
      <c r="G918"/>
      <c r="H918"/>
    </row>
    <row r="919" spans="1:8" ht="15">
      <c r="A919"/>
      <c r="B919"/>
      <c r="C919"/>
      <c r="D919"/>
      <c r="E919"/>
      <c r="F919"/>
      <c r="G919"/>
      <c r="H919"/>
    </row>
    <row r="920" spans="1:8" ht="15">
      <c r="A920"/>
      <c r="B920"/>
      <c r="C920"/>
      <c r="D920"/>
      <c r="E920"/>
      <c r="F920"/>
      <c r="G920"/>
      <c r="H920"/>
    </row>
    <row r="921" spans="1:8" ht="15">
      <c r="A921"/>
      <c r="B921"/>
      <c r="C921"/>
      <c r="D921"/>
      <c r="E921"/>
      <c r="F921"/>
      <c r="G921"/>
      <c r="H921"/>
    </row>
    <row r="922" spans="1:8" ht="15">
      <c r="A922"/>
      <c r="B922"/>
      <c r="C922"/>
      <c r="D922"/>
      <c r="E922"/>
      <c r="F922"/>
      <c r="G922"/>
      <c r="H922"/>
    </row>
    <row r="923" spans="1:8" ht="15">
      <c r="A923"/>
      <c r="B923"/>
      <c r="C923"/>
      <c r="D923"/>
      <c r="E923"/>
      <c r="F923"/>
      <c r="G923"/>
      <c r="H923"/>
    </row>
    <row r="924" spans="1:8" ht="15">
      <c r="A924"/>
      <c r="B924"/>
      <c r="C924"/>
      <c r="D924"/>
      <c r="E924"/>
      <c r="F924"/>
      <c r="G924"/>
      <c r="H924"/>
    </row>
    <row r="925" spans="1:8" ht="15">
      <c r="A925"/>
      <c r="B925"/>
      <c r="C925"/>
      <c r="D925"/>
      <c r="E925"/>
      <c r="F925"/>
      <c r="G925"/>
      <c r="H925"/>
    </row>
    <row r="926" spans="1:8" ht="15">
      <c r="A926"/>
      <c r="B926"/>
      <c r="C926"/>
      <c r="D926"/>
      <c r="E926"/>
      <c r="F926"/>
      <c r="G926"/>
      <c r="H926"/>
    </row>
    <row r="927" spans="1:8" ht="15">
      <c r="A927"/>
      <c r="B927"/>
      <c r="C927"/>
      <c r="D927"/>
      <c r="E927"/>
      <c r="F927"/>
      <c r="G927"/>
      <c r="H927"/>
    </row>
    <row r="928" spans="1:8" ht="15">
      <c r="A928"/>
      <c r="B928"/>
      <c r="C928"/>
      <c r="D928"/>
      <c r="E928"/>
      <c r="F928"/>
      <c r="G928"/>
      <c r="H928"/>
    </row>
    <row r="929" spans="1:8" ht="15">
      <c r="A929"/>
      <c r="B929"/>
      <c r="C929"/>
      <c r="D929"/>
      <c r="E929"/>
      <c r="F929"/>
      <c r="G929"/>
      <c r="H929"/>
    </row>
    <row r="930" spans="1:8" ht="15">
      <c r="A930"/>
      <c r="B930"/>
      <c r="C930"/>
      <c r="D930"/>
      <c r="E930"/>
      <c r="F930"/>
      <c r="G930"/>
      <c r="H930"/>
    </row>
    <row r="931" spans="1:8" ht="15">
      <c r="A931"/>
      <c r="B931"/>
      <c r="C931"/>
      <c r="D931"/>
      <c r="E931"/>
      <c r="F931"/>
      <c r="G931"/>
      <c r="H931"/>
    </row>
    <row r="932" spans="1:8" ht="15">
      <c r="A932"/>
      <c r="B932"/>
      <c r="C932"/>
      <c r="D932"/>
      <c r="E932"/>
      <c r="F932"/>
      <c r="G932"/>
      <c r="H932"/>
    </row>
    <row r="933" spans="1:8" ht="15">
      <c r="A933"/>
      <c r="B933"/>
      <c r="C933"/>
      <c r="D933"/>
      <c r="E933"/>
      <c r="F933"/>
      <c r="G933"/>
      <c r="H933"/>
    </row>
    <row r="934" spans="1:8" ht="15">
      <c r="A934"/>
      <c r="B934"/>
      <c r="C934"/>
      <c r="D934"/>
      <c r="E934"/>
      <c r="F934"/>
      <c r="G934"/>
      <c r="H934"/>
    </row>
    <row r="935" spans="1:8" ht="15">
      <c r="A935"/>
      <c r="B935"/>
      <c r="C935"/>
      <c r="D935"/>
      <c r="E935"/>
      <c r="F935"/>
      <c r="G935"/>
      <c r="H935"/>
    </row>
    <row r="936" spans="1:8" ht="15">
      <c r="A936"/>
      <c r="B936"/>
      <c r="C936"/>
      <c r="D936"/>
      <c r="E936"/>
      <c r="F936"/>
      <c r="G936"/>
      <c r="H936"/>
    </row>
    <row r="937" spans="1:8" ht="15">
      <c r="A937"/>
      <c r="B937"/>
      <c r="C937"/>
      <c r="D937"/>
      <c r="E937"/>
      <c r="F937"/>
      <c r="G937"/>
      <c r="H937"/>
    </row>
    <row r="938" spans="1:8" ht="15">
      <c r="A938"/>
      <c r="B938"/>
      <c r="C938"/>
      <c r="D938"/>
      <c r="E938"/>
      <c r="F938"/>
      <c r="G938"/>
      <c r="H938"/>
    </row>
    <row r="939" spans="1:8" ht="15">
      <c r="A939"/>
      <c r="B939"/>
      <c r="C939"/>
      <c r="D939"/>
      <c r="E939"/>
      <c r="F939"/>
      <c r="G939"/>
      <c r="H939"/>
    </row>
    <row r="940" spans="1:8" ht="15">
      <c r="A940"/>
      <c r="B940"/>
      <c r="C940"/>
      <c r="D940"/>
      <c r="E940"/>
      <c r="F940"/>
      <c r="G940"/>
      <c r="H940"/>
    </row>
    <row r="941" spans="1:8" ht="15">
      <c r="A941"/>
      <c r="B941"/>
      <c r="C941"/>
      <c r="D941"/>
      <c r="E941"/>
      <c r="F941"/>
      <c r="G941"/>
      <c r="H941"/>
    </row>
    <row r="942" spans="1:8" ht="15">
      <c r="A942"/>
      <c r="B942"/>
      <c r="C942"/>
      <c r="D942"/>
      <c r="E942"/>
      <c r="F942"/>
      <c r="G942"/>
      <c r="H942"/>
    </row>
    <row r="943" spans="1:8" ht="15">
      <c r="A943"/>
      <c r="B943"/>
      <c r="C943"/>
      <c r="D943"/>
      <c r="E943"/>
      <c r="F943"/>
      <c r="G943"/>
      <c r="H943"/>
    </row>
    <row r="944" spans="1:8" ht="15">
      <c r="A944"/>
      <c r="B944"/>
      <c r="C944"/>
      <c r="D944"/>
      <c r="E944"/>
      <c r="F944"/>
      <c r="G944"/>
      <c r="H944"/>
    </row>
    <row r="945" spans="1:8" ht="15">
      <c r="A945"/>
      <c r="B945"/>
      <c r="C945"/>
      <c r="D945"/>
      <c r="E945"/>
      <c r="F945"/>
      <c r="G945"/>
      <c r="H945"/>
    </row>
    <row r="946" spans="1:8" ht="15">
      <c r="A946"/>
      <c r="B946"/>
      <c r="C946"/>
      <c r="D946"/>
      <c r="E946"/>
      <c r="F946"/>
      <c r="G946"/>
      <c r="H946"/>
    </row>
    <row r="947" spans="1:8" ht="15">
      <c r="A947"/>
      <c r="B947"/>
      <c r="C947"/>
      <c r="D947"/>
      <c r="E947"/>
      <c r="F947"/>
      <c r="G947"/>
      <c r="H947"/>
    </row>
    <row r="948" spans="1:8" ht="15">
      <c r="A948"/>
      <c r="B948"/>
      <c r="C948"/>
      <c r="D948"/>
      <c r="E948"/>
      <c r="F948"/>
      <c r="G948"/>
      <c r="H948"/>
    </row>
    <row r="949" spans="1:8" ht="15">
      <c r="A949"/>
      <c r="B949"/>
      <c r="C949"/>
      <c r="D949"/>
      <c r="E949"/>
      <c r="F949"/>
      <c r="G949"/>
      <c r="H949"/>
    </row>
    <row r="950" spans="1:8" ht="15">
      <c r="A950"/>
      <c r="B950"/>
      <c r="C950"/>
      <c r="D950"/>
      <c r="E950"/>
      <c r="F950"/>
      <c r="G950"/>
      <c r="H950"/>
    </row>
    <row r="951" spans="1:8" ht="15">
      <c r="A951"/>
      <c r="B951"/>
      <c r="C951"/>
      <c r="D951"/>
      <c r="E951"/>
      <c r="F951"/>
      <c r="G951"/>
      <c r="H951"/>
    </row>
    <row r="952" spans="1:8" ht="15">
      <c r="A952"/>
      <c r="B952"/>
      <c r="C952"/>
      <c r="D952"/>
      <c r="E952"/>
      <c r="F952"/>
      <c r="G952"/>
      <c r="H952"/>
    </row>
    <row r="953" spans="1:8" ht="15">
      <c r="A953"/>
      <c r="B953"/>
      <c r="C953"/>
      <c r="D953"/>
      <c r="E953"/>
      <c r="F953"/>
      <c r="G953"/>
      <c r="H953"/>
    </row>
    <row r="954" spans="1:8" ht="15">
      <c r="A954"/>
      <c r="B954"/>
      <c r="C954"/>
      <c r="D954"/>
      <c r="E954"/>
      <c r="F954"/>
      <c r="G954"/>
      <c r="H954"/>
    </row>
    <row r="955" spans="1:8" ht="15">
      <c r="A955"/>
      <c r="B955"/>
      <c r="C955"/>
      <c r="D955"/>
      <c r="E955"/>
      <c r="F955"/>
      <c r="G955"/>
      <c r="H955"/>
    </row>
    <row r="956" spans="1:8" ht="15">
      <c r="A956"/>
      <c r="B956"/>
      <c r="C956"/>
      <c r="D956"/>
      <c r="E956"/>
      <c r="F956"/>
      <c r="G956"/>
      <c r="H956"/>
    </row>
    <row r="957" spans="1:8" ht="15">
      <c r="A957"/>
      <c r="B957"/>
      <c r="C957"/>
      <c r="D957"/>
      <c r="E957"/>
      <c r="F957"/>
      <c r="G957"/>
      <c r="H957"/>
    </row>
    <row r="958" spans="1:8" ht="15">
      <c r="A958"/>
      <c r="B958"/>
      <c r="C958"/>
      <c r="D958"/>
      <c r="E958"/>
      <c r="F958"/>
      <c r="G958"/>
      <c r="H958"/>
    </row>
    <row r="959" spans="1:8" ht="15">
      <c r="A959"/>
      <c r="B959"/>
      <c r="C959"/>
      <c r="D959"/>
      <c r="E959"/>
      <c r="F959"/>
      <c r="G959"/>
      <c r="H959"/>
    </row>
    <row r="960" spans="1:8" ht="15">
      <c r="A960"/>
      <c r="B960"/>
      <c r="C960"/>
      <c r="D960"/>
      <c r="E960"/>
      <c r="F960"/>
      <c r="G960"/>
      <c r="H960"/>
    </row>
    <row r="961" spans="1:8" ht="15">
      <c r="A961"/>
      <c r="B961"/>
      <c r="C961"/>
      <c r="D961"/>
      <c r="E961"/>
      <c r="F961"/>
      <c r="G961"/>
      <c r="H961"/>
    </row>
    <row r="962" spans="1:8" ht="15">
      <c r="A962"/>
      <c r="B962"/>
      <c r="C962"/>
      <c r="D962"/>
      <c r="E962"/>
      <c r="F962"/>
      <c r="G962"/>
      <c r="H962"/>
    </row>
    <row r="963" spans="1:8" ht="15">
      <c r="A963"/>
      <c r="B963"/>
      <c r="C963"/>
      <c r="D963"/>
      <c r="E963"/>
      <c r="F963"/>
      <c r="G963"/>
      <c r="H963"/>
    </row>
    <row r="964" spans="1:8" ht="15">
      <c r="A964"/>
      <c r="B964"/>
      <c r="C964"/>
      <c r="D964"/>
      <c r="E964"/>
      <c r="F964"/>
      <c r="G964"/>
      <c r="H964"/>
    </row>
    <row r="965" spans="1:8" ht="15">
      <c r="A965"/>
      <c r="B965"/>
      <c r="C965"/>
      <c r="D965"/>
      <c r="E965"/>
      <c r="F965"/>
      <c r="G965"/>
      <c r="H965"/>
    </row>
    <row r="966" spans="1:8" ht="15">
      <c r="A966"/>
      <c r="B966"/>
      <c r="C966"/>
      <c r="D966"/>
      <c r="E966"/>
      <c r="F966"/>
      <c r="G966"/>
      <c r="H966"/>
    </row>
    <row r="967" spans="1:8" ht="15">
      <c r="A967"/>
      <c r="B967"/>
      <c r="C967"/>
      <c r="D967"/>
      <c r="E967"/>
      <c r="F967"/>
      <c r="G967"/>
      <c r="H967"/>
    </row>
    <row r="968" spans="1:8" ht="15">
      <c r="A968"/>
      <c r="B968"/>
      <c r="C968"/>
      <c r="D968"/>
      <c r="E968"/>
      <c r="F968"/>
      <c r="G968"/>
      <c r="H968"/>
    </row>
    <row r="969" spans="1:8" ht="15">
      <c r="A969"/>
      <c r="B969"/>
      <c r="C969"/>
      <c r="D969"/>
      <c r="E969"/>
      <c r="F969"/>
      <c r="G969"/>
      <c r="H969"/>
    </row>
    <row r="970" spans="1:8" ht="15">
      <c r="A970"/>
      <c r="B970"/>
      <c r="C970"/>
      <c r="D970"/>
      <c r="E970"/>
      <c r="F970"/>
      <c r="G970"/>
      <c r="H970"/>
    </row>
    <row r="971" spans="1:8" ht="15">
      <c r="A971"/>
      <c r="B971"/>
      <c r="C971"/>
      <c r="D971"/>
      <c r="E971"/>
      <c r="F971"/>
      <c r="G971"/>
      <c r="H971"/>
    </row>
    <row r="972" spans="1:8" ht="15">
      <c r="A972"/>
      <c r="B972"/>
      <c r="C972"/>
      <c r="D972"/>
      <c r="E972"/>
      <c r="F972"/>
      <c r="G972"/>
      <c r="H972"/>
    </row>
    <row r="973" spans="1:8" ht="15">
      <c r="A973"/>
      <c r="B973"/>
      <c r="C973"/>
      <c r="D973"/>
      <c r="E973"/>
      <c r="F973"/>
      <c r="G973"/>
      <c r="H973"/>
    </row>
    <row r="974" spans="1:8" ht="15">
      <c r="A974"/>
      <c r="B974"/>
      <c r="C974"/>
      <c r="D974"/>
      <c r="E974"/>
      <c r="F974"/>
      <c r="G974"/>
      <c r="H974"/>
    </row>
    <row r="975" spans="1:8" ht="15">
      <c r="A975"/>
      <c r="B975"/>
      <c r="C975"/>
      <c r="D975"/>
      <c r="E975"/>
      <c r="F975"/>
      <c r="G975"/>
      <c r="H975"/>
    </row>
    <row r="976" spans="1:8" ht="15">
      <c r="A976"/>
      <c r="B976"/>
      <c r="C976"/>
      <c r="D976"/>
      <c r="E976"/>
      <c r="F976"/>
      <c r="G976"/>
      <c r="H976"/>
    </row>
    <row r="977" spans="1:8" ht="15">
      <c r="A977"/>
      <c r="B977"/>
      <c r="C977"/>
      <c r="D977"/>
      <c r="E977"/>
      <c r="F977"/>
      <c r="G977"/>
      <c r="H977"/>
    </row>
    <row r="978" spans="1:8" ht="15">
      <c r="A978"/>
      <c r="B978"/>
      <c r="C978"/>
      <c r="D978"/>
      <c r="E978"/>
      <c r="F978"/>
      <c r="G978"/>
      <c r="H978"/>
    </row>
    <row r="979" spans="1:8" ht="15">
      <c r="A979"/>
      <c r="B979"/>
      <c r="C979"/>
      <c r="D979"/>
      <c r="E979"/>
      <c r="F979"/>
      <c r="G979"/>
      <c r="H979"/>
    </row>
    <row r="980" spans="1:8" ht="15">
      <c r="A980"/>
      <c r="B980"/>
      <c r="C980"/>
      <c r="D980"/>
      <c r="E980"/>
      <c r="F980"/>
      <c r="G980"/>
      <c r="H980"/>
    </row>
    <row r="981" spans="1:8" ht="15">
      <c r="A981"/>
      <c r="B981"/>
      <c r="C981"/>
      <c r="D981"/>
      <c r="E981"/>
      <c r="F981"/>
      <c r="G981"/>
      <c r="H981"/>
    </row>
    <row r="982" spans="1:8" ht="15">
      <c r="A982"/>
      <c r="B982"/>
      <c r="C982"/>
      <c r="D982"/>
      <c r="E982"/>
      <c r="F982"/>
      <c r="G982"/>
      <c r="H982"/>
    </row>
    <row r="983" spans="1:8" ht="15">
      <c r="A983"/>
      <c r="B983"/>
      <c r="C983"/>
      <c r="D983"/>
      <c r="E983"/>
      <c r="F983"/>
      <c r="G983"/>
      <c r="H983"/>
    </row>
    <row r="984" spans="1:8" ht="15">
      <c r="A984"/>
      <c r="B984"/>
      <c r="C984"/>
      <c r="D984"/>
      <c r="E984"/>
      <c r="F984"/>
      <c r="G984"/>
      <c r="H984"/>
    </row>
    <row r="985" spans="1:8" ht="15">
      <c r="A985"/>
      <c r="B985"/>
      <c r="C985"/>
      <c r="D985"/>
      <c r="E985"/>
      <c r="F985"/>
      <c r="G985"/>
      <c r="H985"/>
    </row>
    <row r="986" spans="1:8" ht="15">
      <c r="A986"/>
      <c r="B986"/>
      <c r="C986"/>
      <c r="D986"/>
      <c r="E986"/>
      <c r="F986"/>
      <c r="G986"/>
      <c r="H986"/>
    </row>
    <row r="987" spans="1:8" ht="15">
      <c r="A987"/>
      <c r="B987"/>
      <c r="C987"/>
      <c r="D987"/>
      <c r="E987"/>
      <c r="F987"/>
      <c r="G987"/>
      <c r="H987"/>
    </row>
    <row r="988" spans="1:8" ht="15">
      <c r="A988"/>
      <c r="B988"/>
      <c r="C988"/>
      <c r="D988"/>
      <c r="E988"/>
      <c r="F988"/>
      <c r="G988"/>
      <c r="H988"/>
    </row>
    <row r="989" spans="1:8" ht="15">
      <c r="A989"/>
      <c r="B989"/>
      <c r="C989"/>
      <c r="D989"/>
      <c r="E989"/>
      <c r="F989"/>
      <c r="G989"/>
      <c r="H989"/>
    </row>
    <row r="990" spans="1:8" ht="15">
      <c r="A990"/>
      <c r="B990"/>
      <c r="C990"/>
      <c r="D990"/>
      <c r="E990"/>
      <c r="F990"/>
      <c r="G990"/>
      <c r="H990"/>
    </row>
    <row r="991" spans="1:8" ht="15">
      <c r="A991"/>
      <c r="B991"/>
      <c r="C991"/>
      <c r="D991"/>
      <c r="E991"/>
      <c r="F991"/>
      <c r="G991"/>
      <c r="H991"/>
    </row>
    <row r="992" spans="1:8" ht="15">
      <c r="A992"/>
      <c r="B992"/>
      <c r="C992"/>
      <c r="D992"/>
      <c r="E992"/>
      <c r="F992"/>
      <c r="G992"/>
      <c r="H992"/>
    </row>
    <row r="993" spans="1:8" ht="15">
      <c r="A993"/>
      <c r="B993"/>
      <c r="C993"/>
      <c r="D993"/>
      <c r="E993"/>
      <c r="F993"/>
      <c r="G993"/>
      <c r="H993"/>
    </row>
    <row r="994" spans="1:8" ht="15">
      <c r="A994"/>
      <c r="B994"/>
      <c r="C994"/>
      <c r="D994"/>
      <c r="E994"/>
      <c r="F994"/>
      <c r="G994"/>
      <c r="H994"/>
    </row>
    <row r="995" spans="1:8" ht="15">
      <c r="A995"/>
      <c r="B995"/>
      <c r="C995"/>
      <c r="D995"/>
      <c r="E995"/>
      <c r="F995"/>
      <c r="G995"/>
      <c r="H995"/>
    </row>
    <row r="996" spans="1:8" ht="15">
      <c r="A996"/>
      <c r="B996"/>
      <c r="C996"/>
      <c r="D996"/>
      <c r="E996"/>
      <c r="F996"/>
      <c r="G996"/>
      <c r="H996"/>
    </row>
    <row r="997" spans="1:8" ht="15">
      <c r="A997"/>
      <c r="B997"/>
      <c r="C997"/>
      <c r="D997"/>
      <c r="E997"/>
      <c r="F997"/>
      <c r="G997"/>
      <c r="H997"/>
    </row>
    <row r="998" spans="1:8" ht="15">
      <c r="A998"/>
      <c r="B998"/>
      <c r="C998"/>
      <c r="D998"/>
      <c r="E998"/>
      <c r="F998"/>
      <c r="G998"/>
      <c r="H998"/>
    </row>
    <row r="999" spans="1:8" ht="15">
      <c r="A999"/>
      <c r="B999"/>
      <c r="C999"/>
      <c r="D999"/>
      <c r="E999"/>
      <c r="F999"/>
      <c r="G999"/>
      <c r="H999"/>
    </row>
    <row r="1000" spans="1:8" ht="15">
      <c r="A1000"/>
      <c r="B1000"/>
      <c r="C1000"/>
      <c r="D1000"/>
      <c r="E1000"/>
      <c r="F1000"/>
      <c r="G1000"/>
      <c r="H1000"/>
    </row>
    <row r="1001" spans="1:8" ht="15">
      <c r="A1001"/>
      <c r="B1001"/>
      <c r="C1001"/>
      <c r="D1001"/>
      <c r="E1001"/>
      <c r="F1001"/>
      <c r="G1001"/>
      <c r="H1001"/>
    </row>
    <row r="1002" spans="1:8" ht="15">
      <c r="A1002"/>
      <c r="B1002"/>
      <c r="C1002"/>
      <c r="D1002"/>
      <c r="E1002"/>
      <c r="F1002"/>
      <c r="G1002"/>
      <c r="H1002"/>
    </row>
    <row r="1003" spans="1:8" ht="15">
      <c r="A1003"/>
      <c r="B1003"/>
      <c r="C1003"/>
      <c r="D1003"/>
      <c r="E1003"/>
      <c r="F1003"/>
      <c r="G1003"/>
      <c r="H1003"/>
    </row>
    <row r="1004" spans="1:8" ht="15">
      <c r="A1004"/>
      <c r="B1004"/>
      <c r="C1004"/>
      <c r="D1004"/>
      <c r="E1004"/>
      <c r="F1004"/>
      <c r="G1004"/>
      <c r="H1004"/>
    </row>
    <row r="1005" spans="1:8" ht="15">
      <c r="A1005"/>
      <c r="B1005"/>
      <c r="C1005"/>
      <c r="D1005"/>
      <c r="E1005"/>
      <c r="F1005"/>
      <c r="G1005"/>
      <c r="H1005"/>
    </row>
    <row r="1006" spans="1:8" ht="15">
      <c r="A1006"/>
      <c r="B1006"/>
      <c r="C1006"/>
      <c r="D1006"/>
      <c r="E1006"/>
      <c r="F1006"/>
      <c r="G1006"/>
      <c r="H1006"/>
    </row>
    <row r="1007" spans="1:8" ht="15">
      <c r="A1007"/>
      <c r="B1007"/>
      <c r="C1007"/>
      <c r="D1007"/>
      <c r="E1007"/>
      <c r="F1007"/>
      <c r="G1007"/>
      <c r="H1007"/>
    </row>
    <row r="1008" spans="1:8" ht="15">
      <c r="A1008"/>
      <c r="B1008"/>
      <c r="C1008"/>
      <c r="D1008"/>
      <c r="E1008"/>
      <c r="F1008"/>
      <c r="G1008"/>
      <c r="H1008"/>
    </row>
    <row r="1009" spans="1:8" ht="15">
      <c r="A1009"/>
      <c r="B1009"/>
      <c r="C1009"/>
      <c r="D1009"/>
      <c r="E1009"/>
      <c r="F1009"/>
      <c r="G1009"/>
      <c r="H1009"/>
    </row>
    <row r="1010" spans="1:8" ht="15">
      <c r="A1010"/>
      <c r="B1010"/>
      <c r="C1010"/>
      <c r="D1010"/>
      <c r="E1010"/>
      <c r="F1010"/>
      <c r="G1010"/>
      <c r="H1010"/>
    </row>
    <row r="1011" spans="1:8" ht="15">
      <c r="A1011"/>
      <c r="B1011"/>
      <c r="C1011"/>
      <c r="D1011"/>
      <c r="E1011"/>
      <c r="F1011"/>
      <c r="G1011"/>
      <c r="H1011"/>
    </row>
    <row r="1012" spans="1:8" ht="15">
      <c r="A1012"/>
      <c r="B1012"/>
      <c r="C1012"/>
      <c r="D1012"/>
      <c r="E1012"/>
      <c r="F1012"/>
      <c r="G1012"/>
      <c r="H1012"/>
    </row>
    <row r="1013" spans="1:8" ht="15">
      <c r="A1013"/>
      <c r="B1013"/>
      <c r="C1013"/>
      <c r="D1013"/>
      <c r="E1013"/>
      <c r="F1013"/>
      <c r="G1013"/>
      <c r="H1013"/>
    </row>
    <row r="1014" spans="1:8" ht="15">
      <c r="A1014"/>
      <c r="B1014"/>
      <c r="C1014"/>
      <c r="D1014"/>
      <c r="E1014"/>
      <c r="F1014"/>
      <c r="G1014"/>
      <c r="H1014"/>
    </row>
    <row r="1015" spans="1:8" ht="15">
      <c r="A1015"/>
      <c r="B1015"/>
      <c r="C1015"/>
      <c r="D1015"/>
      <c r="E1015"/>
      <c r="F1015"/>
      <c r="G1015"/>
      <c r="H1015"/>
    </row>
    <row r="1016" spans="1:8" ht="15">
      <c r="A1016"/>
      <c r="B1016"/>
      <c r="C1016"/>
      <c r="D1016"/>
      <c r="E1016"/>
      <c r="F1016"/>
      <c r="G1016"/>
      <c r="H1016"/>
    </row>
    <row r="1017" spans="1:8" ht="15">
      <c r="A1017"/>
      <c r="B1017"/>
      <c r="C1017"/>
      <c r="D1017"/>
      <c r="E1017"/>
      <c r="F1017"/>
      <c r="G1017"/>
      <c r="H1017"/>
    </row>
    <row r="1018" spans="1:8" ht="15">
      <c r="A1018"/>
      <c r="B1018"/>
      <c r="C1018"/>
      <c r="D1018"/>
      <c r="E1018"/>
      <c r="F1018"/>
      <c r="G1018"/>
      <c r="H1018"/>
    </row>
    <row r="1019" spans="1:8" ht="15">
      <c r="A1019"/>
      <c r="B1019"/>
      <c r="C1019"/>
      <c r="D1019"/>
      <c r="E1019"/>
      <c r="F1019"/>
      <c r="G1019"/>
      <c r="H1019"/>
    </row>
    <row r="1020" spans="1:8" ht="15">
      <c r="A1020"/>
      <c r="B1020"/>
      <c r="C1020"/>
      <c r="D1020"/>
      <c r="E1020"/>
      <c r="F1020"/>
      <c r="G1020"/>
      <c r="H1020"/>
    </row>
    <row r="1021" spans="1:8" ht="15">
      <c r="A1021"/>
      <c r="B1021"/>
      <c r="C1021"/>
      <c r="D1021"/>
      <c r="E1021"/>
      <c r="F1021"/>
      <c r="G1021"/>
      <c r="H1021"/>
    </row>
    <row r="1022" spans="1:8" ht="15">
      <c r="A1022"/>
      <c r="B1022"/>
      <c r="C1022"/>
      <c r="D1022"/>
      <c r="E1022"/>
      <c r="F1022"/>
      <c r="G1022"/>
      <c r="H1022"/>
    </row>
    <row r="1023" spans="1:8" ht="15">
      <c r="A1023"/>
      <c r="B1023"/>
      <c r="C1023"/>
      <c r="D1023"/>
      <c r="E1023"/>
      <c r="F1023"/>
      <c r="G1023"/>
      <c r="H1023"/>
    </row>
    <row r="1024" spans="1:8" ht="15">
      <c r="A1024"/>
      <c r="B1024"/>
      <c r="C1024"/>
      <c r="D1024"/>
      <c r="E1024"/>
      <c r="F1024"/>
      <c r="G1024"/>
      <c r="H1024"/>
    </row>
    <row r="1025" spans="1:8" ht="15">
      <c r="A1025"/>
      <c r="B1025"/>
      <c r="C1025"/>
      <c r="D1025"/>
      <c r="E1025"/>
      <c r="F1025"/>
      <c r="G1025"/>
      <c r="H1025"/>
    </row>
    <row r="1026" spans="1:8" ht="15">
      <c r="A1026"/>
      <c r="B1026"/>
      <c r="C1026"/>
      <c r="D1026"/>
      <c r="E1026"/>
      <c r="F1026"/>
      <c r="G1026"/>
      <c r="H1026"/>
    </row>
    <row r="1027" spans="1:8" ht="15">
      <c r="A1027"/>
      <c r="B1027"/>
      <c r="C1027"/>
      <c r="D1027"/>
      <c r="E1027"/>
      <c r="F1027"/>
      <c r="G1027"/>
      <c r="H1027"/>
    </row>
    <row r="1028" spans="1:8" ht="15">
      <c r="A1028"/>
      <c r="B1028"/>
      <c r="C1028"/>
      <c r="D1028"/>
      <c r="E1028"/>
      <c r="F1028"/>
      <c r="G1028"/>
      <c r="H1028"/>
    </row>
    <row r="1029" spans="1:8" ht="15">
      <c r="A1029"/>
      <c r="B1029"/>
      <c r="C1029"/>
      <c r="D1029"/>
      <c r="E1029"/>
      <c r="F1029"/>
      <c r="G1029"/>
      <c r="H1029"/>
    </row>
    <row r="1030" spans="1:8" ht="15">
      <c r="A1030"/>
      <c r="B1030"/>
      <c r="C1030"/>
      <c r="D1030"/>
      <c r="E1030"/>
      <c r="F1030"/>
      <c r="G1030"/>
      <c r="H1030"/>
    </row>
    <row r="1031" spans="1:8" ht="15">
      <c r="A1031"/>
      <c r="B1031"/>
      <c r="C1031"/>
      <c r="D1031"/>
      <c r="E1031"/>
      <c r="F1031"/>
      <c r="G1031"/>
      <c r="H1031"/>
    </row>
    <row r="1032" spans="1:8" ht="15">
      <c r="A1032"/>
      <c r="B1032"/>
      <c r="C1032"/>
      <c r="D1032"/>
      <c r="E1032"/>
      <c r="F1032"/>
      <c r="G1032"/>
      <c r="H1032"/>
    </row>
    <row r="1033" spans="1:8" ht="15">
      <c r="A1033"/>
      <c r="B1033"/>
      <c r="C1033"/>
      <c r="D1033"/>
      <c r="E1033"/>
      <c r="F1033"/>
      <c r="G1033"/>
      <c r="H1033"/>
    </row>
    <row r="1034" spans="1:8" ht="15">
      <c r="A1034"/>
      <c r="B1034"/>
      <c r="C1034"/>
      <c r="D1034"/>
      <c r="E1034"/>
      <c r="F1034"/>
      <c r="G1034"/>
      <c r="H1034"/>
    </row>
    <row r="1035" spans="1:8" ht="15">
      <c r="A1035"/>
      <c r="B1035"/>
      <c r="C1035"/>
      <c r="D1035"/>
      <c r="E1035"/>
      <c r="F1035"/>
      <c r="G1035"/>
      <c r="H1035"/>
    </row>
    <row r="1036" spans="1:8" ht="15">
      <c r="A1036"/>
      <c r="B1036"/>
      <c r="C1036"/>
      <c r="D1036"/>
      <c r="E1036"/>
      <c r="F1036"/>
      <c r="G1036"/>
      <c r="H1036"/>
    </row>
    <row r="1037" spans="1:8" ht="15">
      <c r="A1037"/>
      <c r="B1037"/>
      <c r="C1037"/>
      <c r="D1037"/>
      <c r="E1037"/>
      <c r="F1037"/>
      <c r="G1037"/>
      <c r="H1037"/>
    </row>
    <row r="1038" spans="1:8" ht="15">
      <c r="A1038"/>
      <c r="B1038"/>
      <c r="C1038"/>
      <c r="D1038"/>
      <c r="E1038"/>
      <c r="F1038"/>
      <c r="G1038"/>
      <c r="H1038"/>
    </row>
    <row r="1039" spans="1:8" ht="15">
      <c r="A1039"/>
      <c r="B1039"/>
      <c r="C1039"/>
      <c r="D1039"/>
      <c r="E1039"/>
      <c r="F1039"/>
      <c r="G1039"/>
      <c r="H1039"/>
    </row>
    <row r="1040" spans="1:8" ht="15">
      <c r="A1040"/>
      <c r="B1040"/>
      <c r="C1040"/>
      <c r="D1040"/>
      <c r="E1040"/>
      <c r="F1040"/>
      <c r="G1040"/>
      <c r="H1040"/>
    </row>
    <row r="1041" spans="1:8" ht="15">
      <c r="A1041"/>
      <c r="B1041"/>
      <c r="C1041"/>
      <c r="D1041"/>
      <c r="E1041"/>
      <c r="F1041"/>
      <c r="G1041"/>
      <c r="H1041"/>
    </row>
    <row r="1042" spans="1:8" ht="15">
      <c r="A1042"/>
      <c r="B1042"/>
      <c r="C1042"/>
      <c r="D1042"/>
      <c r="E1042"/>
      <c r="F1042"/>
      <c r="G1042"/>
      <c r="H1042"/>
    </row>
    <row r="1043" spans="1:8" ht="15">
      <c r="A1043"/>
      <c r="B1043"/>
      <c r="C1043"/>
      <c r="D1043"/>
      <c r="E1043"/>
      <c r="F1043"/>
      <c r="G1043"/>
      <c r="H1043"/>
    </row>
    <row r="1044" spans="1:8" ht="15">
      <c r="A1044"/>
      <c r="B1044"/>
      <c r="C1044"/>
      <c r="D1044"/>
      <c r="E1044"/>
      <c r="F1044"/>
      <c r="G1044"/>
      <c r="H1044"/>
    </row>
    <row r="1045" spans="1:8" ht="15">
      <c r="A1045"/>
      <c r="B1045"/>
      <c r="C1045"/>
      <c r="D1045"/>
      <c r="E1045"/>
      <c r="F1045"/>
      <c r="G1045"/>
      <c r="H1045"/>
    </row>
    <row r="1046" spans="1:8" ht="15">
      <c r="A1046"/>
      <c r="B1046"/>
      <c r="C1046"/>
      <c r="D1046"/>
      <c r="E1046"/>
      <c r="F1046"/>
      <c r="G1046"/>
      <c r="H1046"/>
    </row>
    <row r="1047" spans="1:8" ht="15">
      <c r="A1047"/>
      <c r="B1047"/>
      <c r="C1047"/>
      <c r="D1047"/>
      <c r="E1047"/>
      <c r="F1047"/>
      <c r="G1047"/>
      <c r="H1047"/>
    </row>
    <row r="1048" spans="1:8" ht="15">
      <c r="A1048"/>
      <c r="B1048"/>
      <c r="C1048"/>
      <c r="D1048"/>
      <c r="E1048"/>
      <c r="F1048"/>
      <c r="G1048"/>
      <c r="H1048"/>
    </row>
    <row r="1049" spans="1:8" ht="15">
      <c r="A1049"/>
      <c r="B1049"/>
      <c r="C1049"/>
      <c r="D1049"/>
      <c r="E1049"/>
      <c r="F1049"/>
      <c r="G1049"/>
      <c r="H1049"/>
    </row>
    <row r="1050" spans="1:8" ht="15">
      <c r="A1050"/>
      <c r="B1050"/>
      <c r="C1050"/>
      <c r="D1050"/>
      <c r="E1050"/>
      <c r="F1050"/>
      <c r="G1050"/>
      <c r="H1050"/>
    </row>
    <row r="1051" spans="1:8" ht="15">
      <c r="A1051"/>
      <c r="B1051"/>
      <c r="C1051"/>
      <c r="D1051"/>
      <c r="E1051"/>
      <c r="F1051"/>
      <c r="G1051"/>
      <c r="H1051"/>
    </row>
    <row r="1052" spans="1:8" ht="15">
      <c r="A1052"/>
      <c r="B1052"/>
      <c r="C1052"/>
      <c r="D1052"/>
      <c r="E1052"/>
      <c r="F1052"/>
      <c r="G1052"/>
      <c r="H1052"/>
    </row>
    <row r="1053" spans="1:8" ht="15">
      <c r="A1053"/>
      <c r="B1053"/>
      <c r="C1053"/>
      <c r="D1053"/>
      <c r="E1053"/>
      <c r="F1053"/>
      <c r="G1053"/>
      <c r="H1053"/>
    </row>
    <row r="1054" spans="1:8" ht="15">
      <c r="A1054"/>
      <c r="B1054"/>
      <c r="C1054"/>
      <c r="D1054"/>
      <c r="E1054"/>
      <c r="F1054"/>
      <c r="G1054"/>
      <c r="H1054"/>
    </row>
    <row r="1055" spans="1:8" ht="15">
      <c r="A1055"/>
      <c r="B1055"/>
      <c r="C1055"/>
      <c r="D1055"/>
      <c r="E1055"/>
      <c r="F1055"/>
      <c r="G1055"/>
      <c r="H1055"/>
    </row>
    <row r="1056" spans="1:8" ht="15">
      <c r="A1056"/>
      <c r="B1056"/>
      <c r="C1056"/>
      <c r="D1056"/>
      <c r="E1056"/>
      <c r="F1056"/>
      <c r="G1056"/>
      <c r="H1056"/>
    </row>
    <row r="1057" spans="1:8" ht="15">
      <c r="A1057"/>
      <c r="B1057"/>
      <c r="C1057"/>
      <c r="D1057"/>
      <c r="E1057"/>
      <c r="F1057"/>
      <c r="G1057"/>
      <c r="H1057"/>
    </row>
    <row r="1058" spans="1:8" ht="15">
      <c r="A1058"/>
      <c r="B1058"/>
      <c r="C1058"/>
      <c r="D1058"/>
      <c r="E1058"/>
      <c r="F1058"/>
      <c r="G1058"/>
      <c r="H1058"/>
    </row>
    <row r="1059" spans="1:8" ht="15">
      <c r="A1059"/>
      <c r="B1059"/>
      <c r="C1059"/>
      <c r="D1059"/>
      <c r="E1059"/>
      <c r="F1059"/>
      <c r="G1059"/>
      <c r="H1059"/>
    </row>
    <row r="1060" spans="1:8" ht="15">
      <c r="A1060"/>
      <c r="B1060"/>
      <c r="C1060"/>
      <c r="D1060"/>
      <c r="E1060"/>
      <c r="F1060"/>
      <c r="G1060"/>
      <c r="H1060"/>
    </row>
    <row r="1061" spans="1:8" ht="15">
      <c r="A1061"/>
      <c r="B1061"/>
      <c r="C1061"/>
      <c r="D1061"/>
      <c r="E1061"/>
      <c r="F1061"/>
      <c r="G1061"/>
      <c r="H1061"/>
    </row>
    <row r="1062" spans="1:8" ht="15">
      <c r="A1062"/>
      <c r="B1062"/>
      <c r="C1062"/>
      <c r="D1062"/>
      <c r="E1062"/>
      <c r="F1062"/>
      <c r="G1062"/>
      <c r="H1062"/>
    </row>
    <row r="1063" spans="1:8" ht="15">
      <c r="A1063"/>
      <c r="B1063"/>
      <c r="C1063"/>
      <c r="D1063"/>
      <c r="E1063"/>
      <c r="F1063"/>
      <c r="G1063"/>
      <c r="H1063"/>
    </row>
    <row r="1064" spans="1:8" ht="15">
      <c r="A1064"/>
      <c r="B1064"/>
      <c r="C1064"/>
      <c r="D1064"/>
      <c r="E1064"/>
      <c r="F1064"/>
      <c r="G1064"/>
      <c r="H1064"/>
    </row>
    <row r="1065" spans="1:8" ht="15">
      <c r="A1065"/>
      <c r="B1065"/>
      <c r="C1065"/>
      <c r="D1065"/>
      <c r="E1065"/>
      <c r="F1065"/>
      <c r="G1065"/>
      <c r="H1065"/>
    </row>
    <row r="1066" spans="1:8" ht="15">
      <c r="A1066"/>
      <c r="B1066"/>
      <c r="C1066"/>
      <c r="D1066"/>
      <c r="E1066"/>
      <c r="F1066"/>
      <c r="G1066"/>
      <c r="H1066"/>
    </row>
    <row r="1067" spans="1:8" ht="15">
      <c r="A1067"/>
      <c r="B1067"/>
      <c r="C1067"/>
      <c r="D1067"/>
      <c r="E1067"/>
      <c r="F1067"/>
      <c r="G1067"/>
      <c r="H1067"/>
    </row>
    <row r="1068" spans="1:8" ht="15">
      <c r="A1068"/>
      <c r="B1068"/>
      <c r="C1068"/>
      <c r="D1068"/>
      <c r="E1068"/>
      <c r="F1068"/>
      <c r="G1068"/>
      <c r="H1068"/>
    </row>
    <row r="1069" spans="1:8" ht="15">
      <c r="A1069"/>
      <c r="B1069"/>
      <c r="C1069"/>
      <c r="D1069"/>
      <c r="E1069"/>
      <c r="F1069"/>
      <c r="G1069"/>
      <c r="H1069"/>
    </row>
    <row r="1070" spans="1:8" ht="15">
      <c r="A1070"/>
      <c r="B1070"/>
      <c r="C1070"/>
      <c r="D1070"/>
      <c r="E1070"/>
      <c r="F1070"/>
      <c r="G1070"/>
      <c r="H1070"/>
    </row>
    <row r="1071" spans="1:8" ht="15">
      <c r="A1071"/>
      <c r="B1071"/>
      <c r="C1071"/>
      <c r="D1071"/>
      <c r="E1071"/>
      <c r="F1071"/>
      <c r="G1071"/>
      <c r="H1071"/>
    </row>
    <row r="1072" spans="1:8" ht="15">
      <c r="A1072"/>
      <c r="B1072"/>
      <c r="C1072"/>
      <c r="D1072"/>
      <c r="E1072"/>
      <c r="F1072"/>
      <c r="G1072"/>
      <c r="H1072"/>
    </row>
    <row r="1073" spans="1:8" ht="15">
      <c r="A1073"/>
      <c r="B1073"/>
      <c r="C1073"/>
      <c r="D1073"/>
      <c r="E1073"/>
      <c r="F1073"/>
      <c r="G1073"/>
      <c r="H1073"/>
    </row>
    <row r="1074" spans="1:8" ht="15">
      <c r="A1074"/>
      <c r="B1074"/>
      <c r="C1074"/>
      <c r="D1074"/>
      <c r="E1074"/>
      <c r="F1074"/>
      <c r="G1074"/>
      <c r="H1074"/>
    </row>
    <row r="1075" spans="1:8" ht="15">
      <c r="A1075"/>
      <c r="B1075"/>
      <c r="C1075"/>
      <c r="D1075"/>
      <c r="E1075"/>
      <c r="F1075"/>
      <c r="G1075"/>
      <c r="H1075"/>
    </row>
    <row r="1076" spans="1:8" ht="15">
      <c r="A1076"/>
      <c r="B1076"/>
      <c r="C1076"/>
      <c r="D1076"/>
      <c r="E1076"/>
      <c r="F1076"/>
      <c r="G1076"/>
      <c r="H1076"/>
    </row>
    <row r="1077" spans="1:8" ht="15">
      <c r="A1077"/>
      <c r="B1077"/>
      <c r="C1077"/>
      <c r="D1077"/>
      <c r="E1077"/>
      <c r="F1077"/>
      <c r="G1077"/>
      <c r="H1077"/>
    </row>
    <row r="1078" spans="1:8" ht="15">
      <c r="A1078"/>
      <c r="B1078"/>
      <c r="C1078"/>
      <c r="D1078"/>
      <c r="E1078"/>
      <c r="F1078"/>
      <c r="G1078"/>
      <c r="H1078"/>
    </row>
    <row r="1079" spans="1:8" ht="15">
      <c r="A1079"/>
      <c r="B1079"/>
      <c r="C1079"/>
      <c r="D1079"/>
      <c r="E1079"/>
      <c r="F1079"/>
      <c r="G1079"/>
      <c r="H1079"/>
    </row>
    <row r="1080" spans="1:8" ht="15">
      <c r="A1080"/>
      <c r="B1080"/>
      <c r="C1080"/>
      <c r="D1080"/>
      <c r="E1080"/>
      <c r="F1080"/>
      <c r="G1080"/>
      <c r="H1080"/>
    </row>
    <row r="1081" spans="1:8" ht="15">
      <c r="A1081"/>
      <c r="B1081"/>
      <c r="C1081"/>
      <c r="D1081"/>
      <c r="E1081"/>
      <c r="F1081"/>
      <c r="G1081"/>
      <c r="H1081"/>
    </row>
    <row r="1082" spans="1:8" ht="15">
      <c r="A1082"/>
      <c r="B1082"/>
      <c r="C1082"/>
      <c r="D1082"/>
      <c r="E1082"/>
      <c r="F1082"/>
      <c r="G1082"/>
      <c r="H1082"/>
    </row>
    <row r="1083" spans="1:8" ht="15">
      <c r="A1083"/>
      <c r="B1083"/>
      <c r="C1083"/>
      <c r="D1083"/>
      <c r="E1083"/>
      <c r="F1083"/>
      <c r="G1083"/>
      <c r="H1083"/>
    </row>
    <row r="1084" spans="1:8" ht="15">
      <c r="A1084"/>
      <c r="B1084"/>
      <c r="C1084"/>
      <c r="D1084"/>
      <c r="E1084"/>
      <c r="F1084"/>
      <c r="G1084"/>
      <c r="H1084"/>
    </row>
    <row r="1085" spans="1:8" ht="15">
      <c r="A1085"/>
      <c r="B1085"/>
      <c r="C1085"/>
      <c r="D1085"/>
      <c r="E1085"/>
      <c r="F1085"/>
      <c r="G1085"/>
      <c r="H1085"/>
    </row>
    <row r="1086" spans="1:8" ht="15">
      <c r="A1086"/>
      <c r="B1086"/>
      <c r="C1086"/>
      <c r="D1086"/>
      <c r="E1086"/>
      <c r="F1086"/>
      <c r="G1086"/>
      <c r="H1086"/>
    </row>
    <row r="1087" spans="1:8" ht="15">
      <c r="A1087"/>
      <c r="B1087"/>
      <c r="C1087"/>
      <c r="D1087"/>
      <c r="E1087"/>
      <c r="F1087"/>
      <c r="G1087"/>
      <c r="H1087"/>
    </row>
    <row r="1088" spans="1:8" ht="15">
      <c r="A1088"/>
      <c r="B1088"/>
      <c r="C1088"/>
      <c r="D1088"/>
      <c r="E1088"/>
      <c r="F1088"/>
      <c r="G1088"/>
      <c r="H1088"/>
    </row>
    <row r="1089" spans="1:8" ht="15">
      <c r="A1089"/>
      <c r="B1089"/>
      <c r="C1089"/>
      <c r="D1089"/>
      <c r="E1089"/>
      <c r="F1089"/>
      <c r="G1089"/>
      <c r="H1089"/>
    </row>
    <row r="1090" spans="1:8" ht="15">
      <c r="A1090"/>
      <c r="B1090"/>
      <c r="C1090"/>
      <c r="D1090"/>
      <c r="E1090"/>
      <c r="F1090"/>
      <c r="G1090"/>
      <c r="H1090"/>
    </row>
    <row r="1091" spans="1:8" ht="15">
      <c r="A1091"/>
      <c r="B1091"/>
      <c r="C1091"/>
      <c r="D1091"/>
      <c r="E1091"/>
      <c r="F1091"/>
      <c r="G1091"/>
      <c r="H1091"/>
    </row>
    <row r="1092" spans="1:8" ht="15">
      <c r="A1092"/>
      <c r="B1092"/>
      <c r="C1092"/>
      <c r="D1092"/>
      <c r="E1092"/>
      <c r="F1092"/>
      <c r="G1092"/>
      <c r="H1092"/>
    </row>
    <row r="1093" spans="1:8" ht="15">
      <c r="A1093"/>
      <c r="B1093"/>
      <c r="C1093"/>
      <c r="D1093"/>
      <c r="E1093"/>
      <c r="F1093"/>
      <c r="G1093"/>
      <c r="H1093"/>
    </row>
    <row r="1094" spans="1:8" ht="15">
      <c r="A1094"/>
      <c r="B1094"/>
      <c r="C1094"/>
      <c r="D1094"/>
      <c r="E1094"/>
      <c r="F1094"/>
      <c r="G1094"/>
      <c r="H1094"/>
    </row>
    <row r="1095" spans="1:8" ht="15">
      <c r="A1095"/>
      <c r="B1095"/>
      <c r="C1095"/>
      <c r="D1095"/>
      <c r="E1095"/>
      <c r="F1095"/>
      <c r="G1095"/>
      <c r="H1095"/>
    </row>
    <row r="1096" spans="1:8" ht="15">
      <c r="A1096"/>
      <c r="B1096"/>
      <c r="C1096"/>
      <c r="D1096"/>
      <c r="E1096"/>
      <c r="F1096"/>
      <c r="G1096"/>
      <c r="H1096"/>
    </row>
    <row r="1097" spans="1:8" ht="15">
      <c r="A1097"/>
      <c r="B1097"/>
      <c r="C1097"/>
      <c r="D1097"/>
      <c r="E1097"/>
      <c r="F1097"/>
      <c r="G1097"/>
      <c r="H1097"/>
    </row>
    <row r="1098" spans="1:8" ht="15">
      <c r="A1098"/>
      <c r="B1098"/>
      <c r="C1098"/>
      <c r="D1098"/>
      <c r="E1098"/>
      <c r="F1098"/>
      <c r="G1098"/>
      <c r="H1098"/>
    </row>
    <row r="1099" spans="1:8" ht="15">
      <c r="A1099"/>
      <c r="B1099"/>
      <c r="C1099"/>
      <c r="D1099"/>
      <c r="E1099"/>
      <c r="F1099"/>
      <c r="G1099"/>
      <c r="H1099"/>
    </row>
    <row r="1100" spans="1:8" ht="15">
      <c r="A1100"/>
      <c r="B1100"/>
      <c r="C1100"/>
      <c r="D1100"/>
      <c r="E1100"/>
      <c r="F1100"/>
      <c r="G1100"/>
      <c r="H1100"/>
    </row>
    <row r="1101" spans="1:8" ht="15">
      <c r="A1101"/>
      <c r="B1101"/>
      <c r="C1101"/>
      <c r="D1101"/>
      <c r="E1101"/>
      <c r="F1101"/>
      <c r="G1101"/>
      <c r="H1101"/>
    </row>
    <row r="1102" spans="1:8" ht="15">
      <c r="A1102"/>
      <c r="B1102"/>
      <c r="C1102"/>
      <c r="D1102"/>
      <c r="E1102"/>
      <c r="F1102"/>
      <c r="G1102"/>
      <c r="H1102"/>
    </row>
    <row r="1103" spans="1:8" ht="15">
      <c r="A1103"/>
      <c r="B1103"/>
      <c r="C1103"/>
      <c r="D1103"/>
      <c r="E1103"/>
      <c r="F1103"/>
      <c r="G1103"/>
      <c r="H1103"/>
    </row>
    <row r="1104" spans="1:8" ht="15">
      <c r="A1104"/>
      <c r="B1104"/>
      <c r="C1104"/>
      <c r="D1104"/>
      <c r="E1104"/>
      <c r="F1104"/>
      <c r="G1104"/>
      <c r="H1104"/>
    </row>
    <row r="1105" spans="1:8" ht="15">
      <c r="A1105"/>
      <c r="B1105"/>
      <c r="C1105"/>
      <c r="D1105"/>
      <c r="E1105"/>
      <c r="F1105"/>
      <c r="G1105"/>
      <c r="H1105"/>
    </row>
    <row r="1106" spans="1:8" ht="15">
      <c r="A1106"/>
      <c r="B1106"/>
      <c r="C1106"/>
      <c r="D1106"/>
      <c r="E1106"/>
      <c r="F1106"/>
      <c r="G1106"/>
      <c r="H1106"/>
    </row>
    <row r="1107" spans="1:8" ht="15">
      <c r="A1107"/>
      <c r="B1107"/>
      <c r="C1107"/>
      <c r="D1107"/>
      <c r="E1107"/>
      <c r="F1107"/>
      <c r="G1107"/>
      <c r="H1107"/>
    </row>
    <row r="1108" spans="1:8" ht="15">
      <c r="A1108"/>
      <c r="B1108"/>
      <c r="C1108"/>
      <c r="D1108"/>
      <c r="E1108"/>
      <c r="F1108"/>
      <c r="G1108"/>
      <c r="H1108"/>
    </row>
    <row r="1109" spans="1:8" ht="15">
      <c r="A1109"/>
      <c r="B1109"/>
      <c r="C1109"/>
      <c r="D1109"/>
      <c r="E1109"/>
      <c r="F1109"/>
      <c r="G1109"/>
      <c r="H1109"/>
    </row>
    <row r="1110" spans="1:8" ht="15">
      <c r="A1110"/>
      <c r="B1110"/>
      <c r="C1110"/>
      <c r="D1110"/>
      <c r="E1110"/>
      <c r="F1110"/>
      <c r="G1110"/>
      <c r="H1110"/>
    </row>
    <row r="1111" spans="1:8" ht="15">
      <c r="A1111"/>
      <c r="B1111"/>
      <c r="C1111"/>
      <c r="D1111"/>
      <c r="E1111"/>
      <c r="F1111"/>
      <c r="G1111"/>
      <c r="H1111"/>
    </row>
    <row r="1112" spans="1:8" ht="15">
      <c r="A1112"/>
      <c r="B1112"/>
      <c r="C1112"/>
      <c r="D1112"/>
      <c r="E1112"/>
      <c r="F1112"/>
      <c r="G1112"/>
      <c r="H1112"/>
    </row>
    <row r="1113" spans="1:8" ht="15">
      <c r="A1113"/>
      <c r="B1113"/>
      <c r="C1113"/>
      <c r="D1113"/>
      <c r="E1113"/>
      <c r="F1113"/>
      <c r="G1113"/>
      <c r="H1113"/>
    </row>
    <row r="1114" spans="1:8" ht="15">
      <c r="A1114"/>
      <c r="B1114"/>
      <c r="C1114"/>
      <c r="D1114"/>
      <c r="E1114"/>
      <c r="F1114"/>
      <c r="G1114"/>
      <c r="H1114"/>
    </row>
    <row r="1115" spans="1:8" ht="15">
      <c r="A1115"/>
      <c r="B1115"/>
      <c r="C1115"/>
      <c r="D1115"/>
      <c r="E1115"/>
      <c r="F1115"/>
      <c r="G1115"/>
      <c r="H1115"/>
    </row>
    <row r="1116" spans="1:8" ht="15">
      <c r="A1116"/>
      <c r="B1116"/>
      <c r="C1116"/>
      <c r="D1116"/>
      <c r="E1116"/>
      <c r="F1116"/>
      <c r="G1116"/>
      <c r="H1116"/>
    </row>
    <row r="1117" spans="1:8" ht="15">
      <c r="A1117"/>
      <c r="B1117"/>
      <c r="C1117"/>
      <c r="D1117"/>
      <c r="E1117"/>
      <c r="F1117"/>
      <c r="G1117"/>
      <c r="H1117"/>
    </row>
    <row r="1118" spans="1:8" ht="15">
      <c r="A1118"/>
      <c r="B1118"/>
      <c r="C1118"/>
      <c r="D1118"/>
      <c r="E1118"/>
      <c r="F1118"/>
      <c r="G1118"/>
      <c r="H1118"/>
    </row>
    <row r="1119" spans="1:8" ht="15">
      <c r="A1119"/>
      <c r="B1119"/>
      <c r="C1119"/>
      <c r="D1119"/>
      <c r="E1119"/>
      <c r="F1119"/>
      <c r="G1119"/>
      <c r="H1119"/>
    </row>
    <row r="1120" spans="1:8" ht="15">
      <c r="A1120"/>
      <c r="B1120"/>
      <c r="C1120"/>
      <c r="D1120"/>
      <c r="E1120"/>
      <c r="F1120"/>
      <c r="G1120"/>
      <c r="H1120"/>
    </row>
    <row r="1121" spans="1:8" ht="15">
      <c r="A1121"/>
      <c r="B1121"/>
      <c r="C1121"/>
      <c r="D1121"/>
      <c r="E1121"/>
      <c r="F1121"/>
      <c r="G1121"/>
      <c r="H1121"/>
    </row>
    <row r="1122" spans="1:8" ht="15">
      <c r="A1122"/>
      <c r="B1122"/>
      <c r="C1122"/>
      <c r="D1122"/>
      <c r="E1122"/>
      <c r="F1122"/>
      <c r="G1122"/>
      <c r="H1122"/>
    </row>
    <row r="1123" spans="1:8" ht="15">
      <c r="A1123"/>
      <c r="B1123"/>
      <c r="C1123"/>
      <c r="D1123"/>
      <c r="E1123"/>
      <c r="F1123"/>
      <c r="G1123"/>
      <c r="H1123"/>
    </row>
    <row r="1124" spans="1:8" ht="15">
      <c r="A1124"/>
      <c r="B1124"/>
      <c r="C1124"/>
      <c r="D1124"/>
      <c r="E1124"/>
      <c r="F1124"/>
      <c r="G1124"/>
      <c r="H1124"/>
    </row>
    <row r="1125" spans="1:8" ht="15">
      <c r="A1125"/>
      <c r="B1125"/>
      <c r="C1125"/>
      <c r="D1125"/>
      <c r="E1125"/>
      <c r="F1125"/>
      <c r="G1125"/>
      <c r="H1125"/>
    </row>
    <row r="1126" spans="1:8" ht="15">
      <c r="A1126"/>
      <c r="B1126"/>
      <c r="C1126"/>
      <c r="D1126"/>
      <c r="E1126"/>
      <c r="F1126"/>
      <c r="G1126"/>
      <c r="H1126"/>
    </row>
    <row r="1127" spans="1:8" ht="15">
      <c r="A1127"/>
      <c r="B1127"/>
      <c r="C1127"/>
      <c r="D1127"/>
      <c r="E1127"/>
      <c r="F1127"/>
      <c r="G1127"/>
      <c r="H1127"/>
    </row>
    <row r="1128" spans="1:8" ht="15">
      <c r="A1128"/>
      <c r="B1128"/>
      <c r="C1128"/>
      <c r="D1128"/>
      <c r="E1128"/>
      <c r="F1128"/>
      <c r="G1128"/>
      <c r="H1128"/>
    </row>
    <row r="1129" spans="1:8" ht="15">
      <c r="A1129"/>
      <c r="B1129"/>
      <c r="C1129"/>
      <c r="D1129"/>
      <c r="E1129"/>
      <c r="F1129"/>
      <c r="G1129"/>
      <c r="H1129"/>
    </row>
    <row r="1130" spans="1:8" ht="15">
      <c r="A1130"/>
      <c r="B1130"/>
      <c r="C1130"/>
      <c r="D1130"/>
      <c r="E1130"/>
      <c r="F1130"/>
      <c r="G1130"/>
      <c r="H1130"/>
    </row>
    <row r="1131" spans="1:8" ht="15">
      <c r="A1131"/>
      <c r="B1131"/>
      <c r="C1131"/>
      <c r="D1131"/>
      <c r="E1131"/>
      <c r="F1131"/>
      <c r="G1131"/>
      <c r="H1131"/>
    </row>
    <row r="1132" spans="1:8" ht="15">
      <c r="A1132"/>
      <c r="B1132"/>
      <c r="C1132"/>
      <c r="D1132"/>
      <c r="E1132"/>
      <c r="F1132"/>
      <c r="G1132"/>
      <c r="H1132"/>
    </row>
    <row r="1133" spans="1:8" ht="15">
      <c r="A1133"/>
      <c r="B1133"/>
      <c r="C1133"/>
      <c r="D1133"/>
      <c r="E1133"/>
      <c r="F1133"/>
      <c r="G1133"/>
      <c r="H1133"/>
    </row>
    <row r="1134" spans="1:8" ht="15">
      <c r="A1134"/>
      <c r="B1134"/>
      <c r="C1134"/>
      <c r="D1134"/>
      <c r="E1134"/>
      <c r="F1134"/>
      <c r="G1134"/>
      <c r="H1134"/>
    </row>
    <row r="1135" spans="1:8" ht="15">
      <c r="A1135"/>
      <c r="B1135"/>
      <c r="C1135"/>
      <c r="D1135"/>
      <c r="E1135"/>
      <c r="F1135"/>
      <c r="G1135"/>
      <c r="H1135"/>
    </row>
    <row r="1136" spans="1:8" ht="15">
      <c r="A1136"/>
      <c r="B1136"/>
      <c r="C1136"/>
      <c r="D1136"/>
      <c r="E1136"/>
      <c r="F1136"/>
      <c r="G1136"/>
      <c r="H1136"/>
    </row>
    <row r="1137" spans="1:8" ht="15">
      <c r="A1137"/>
      <c r="B1137"/>
      <c r="C1137"/>
      <c r="D1137"/>
      <c r="E1137"/>
      <c r="F1137"/>
      <c r="G1137"/>
      <c r="H1137"/>
    </row>
    <row r="1138" spans="1:8" ht="15">
      <c r="A1138"/>
      <c r="B1138"/>
      <c r="C1138"/>
      <c r="D1138"/>
      <c r="E1138"/>
      <c r="F1138"/>
      <c r="G1138"/>
      <c r="H1138"/>
    </row>
    <row r="1139" spans="1:8" ht="15">
      <c r="A1139"/>
      <c r="B1139"/>
      <c r="C1139"/>
      <c r="D1139"/>
      <c r="E1139"/>
      <c r="F1139"/>
      <c r="G1139"/>
      <c r="H1139"/>
    </row>
    <row r="1140" spans="1:8" ht="15">
      <c r="A1140"/>
      <c r="B1140"/>
      <c r="C1140"/>
      <c r="D1140"/>
      <c r="E1140"/>
      <c r="F1140"/>
      <c r="G1140"/>
      <c r="H1140"/>
    </row>
    <row r="1141" spans="1:8" ht="15">
      <c r="A1141"/>
      <c r="B1141"/>
      <c r="C1141"/>
      <c r="D1141"/>
      <c r="E1141"/>
      <c r="F1141"/>
      <c r="G1141"/>
      <c r="H1141"/>
    </row>
    <row r="1142" spans="1:8" ht="15">
      <c r="A1142"/>
      <c r="B1142"/>
      <c r="C1142"/>
      <c r="D1142"/>
      <c r="E1142"/>
      <c r="F1142"/>
      <c r="G1142"/>
      <c r="H1142"/>
    </row>
    <row r="1143" spans="1:8" ht="15">
      <c r="A1143"/>
      <c r="B1143"/>
      <c r="C1143"/>
      <c r="D1143"/>
      <c r="E1143"/>
      <c r="F1143"/>
      <c r="G1143"/>
      <c r="H1143"/>
    </row>
    <row r="1144" spans="1:8" ht="15">
      <c r="A1144"/>
      <c r="B1144"/>
      <c r="C1144"/>
      <c r="D1144"/>
      <c r="E1144"/>
      <c r="F1144"/>
      <c r="G1144"/>
      <c r="H1144"/>
    </row>
    <row r="1145" spans="1:8" ht="15">
      <c r="A1145"/>
      <c r="B1145"/>
      <c r="C1145"/>
      <c r="D1145"/>
      <c r="E1145"/>
      <c r="F1145"/>
      <c r="G1145"/>
      <c r="H1145"/>
    </row>
    <row r="1146" spans="1:8" ht="15">
      <c r="A1146"/>
      <c r="B1146"/>
      <c r="C1146"/>
      <c r="D1146"/>
      <c r="E1146"/>
      <c r="F1146"/>
      <c r="G1146"/>
      <c r="H1146"/>
    </row>
    <row r="1147" spans="1:8" ht="15">
      <c r="A1147"/>
      <c r="B1147"/>
      <c r="C1147"/>
      <c r="D1147"/>
      <c r="E1147"/>
      <c r="F1147"/>
      <c r="G1147"/>
      <c r="H1147"/>
    </row>
    <row r="1148" spans="1:8" ht="15">
      <c r="A1148"/>
      <c r="B1148"/>
      <c r="C1148"/>
      <c r="D1148"/>
      <c r="E1148"/>
      <c r="F1148"/>
      <c r="G1148"/>
      <c r="H1148"/>
    </row>
    <row r="1149" spans="1:8" ht="15">
      <c r="A1149"/>
      <c r="B1149"/>
      <c r="C1149"/>
      <c r="D1149"/>
      <c r="E1149"/>
      <c r="F1149"/>
      <c r="G1149"/>
      <c r="H1149"/>
    </row>
    <row r="1150" spans="1:8" ht="15">
      <c r="A1150"/>
      <c r="B1150"/>
      <c r="C1150"/>
      <c r="D1150"/>
      <c r="E1150"/>
      <c r="F1150"/>
      <c r="G1150"/>
      <c r="H1150"/>
    </row>
    <row r="1151" spans="1:8" ht="15">
      <c r="A1151"/>
      <c r="B1151"/>
      <c r="C1151"/>
      <c r="D1151"/>
      <c r="E1151"/>
      <c r="F1151"/>
      <c r="G1151"/>
      <c r="H1151"/>
    </row>
    <row r="1152" spans="1:8" ht="15">
      <c r="A1152"/>
      <c r="B1152"/>
      <c r="C1152"/>
      <c r="D1152"/>
      <c r="E1152"/>
      <c r="F1152"/>
      <c r="G1152"/>
      <c r="H1152"/>
    </row>
    <row r="1153" spans="1:8" ht="15">
      <c r="A1153"/>
      <c r="B1153"/>
      <c r="C1153"/>
      <c r="D1153"/>
      <c r="E1153"/>
      <c r="F1153"/>
      <c r="G1153"/>
      <c r="H1153"/>
    </row>
    <row r="1154" spans="1:8" ht="15">
      <c r="A1154"/>
      <c r="B1154"/>
      <c r="C1154"/>
      <c r="D1154"/>
      <c r="E1154"/>
      <c r="F1154"/>
      <c r="G1154"/>
      <c r="H1154"/>
    </row>
    <row r="1155" spans="1:8" ht="15">
      <c r="A1155"/>
      <c r="B1155"/>
      <c r="C1155"/>
      <c r="D1155"/>
      <c r="E1155"/>
      <c r="F1155"/>
      <c r="G1155"/>
      <c r="H1155"/>
    </row>
    <row r="1156" spans="1:8" ht="15">
      <c r="A1156"/>
      <c r="B1156"/>
      <c r="C1156"/>
      <c r="D1156"/>
      <c r="E1156"/>
      <c r="F1156"/>
      <c r="G1156"/>
      <c r="H1156"/>
    </row>
    <row r="1157" spans="1:8" ht="15">
      <c r="A1157"/>
      <c r="B1157"/>
      <c r="C1157"/>
      <c r="D1157"/>
      <c r="E1157"/>
      <c r="F1157"/>
      <c r="G1157"/>
      <c r="H1157"/>
    </row>
    <row r="1158" spans="1:8" ht="15">
      <c r="A1158"/>
      <c r="B1158"/>
      <c r="C1158"/>
      <c r="D1158"/>
      <c r="E1158"/>
      <c r="F1158"/>
      <c r="G1158"/>
      <c r="H1158"/>
    </row>
    <row r="1159" spans="1:8" ht="15">
      <c r="A1159"/>
      <c r="B1159"/>
      <c r="C1159"/>
      <c r="D1159"/>
      <c r="E1159"/>
      <c r="F1159"/>
      <c r="G1159"/>
      <c r="H1159"/>
    </row>
    <row r="1160" spans="1:8" ht="15">
      <c r="A1160"/>
      <c r="B1160"/>
      <c r="C1160"/>
      <c r="D1160"/>
      <c r="E1160"/>
      <c r="F1160"/>
      <c r="G1160"/>
      <c r="H1160"/>
    </row>
    <row r="1161" spans="1:8" ht="15">
      <c r="A1161"/>
      <c r="B1161"/>
      <c r="C1161"/>
      <c r="D1161"/>
      <c r="E1161"/>
      <c r="F1161"/>
      <c r="G1161"/>
      <c r="H1161"/>
    </row>
    <row r="1162" spans="1:8" ht="15">
      <c r="A1162"/>
      <c r="B1162"/>
      <c r="C1162"/>
      <c r="D1162"/>
      <c r="E1162"/>
      <c r="F1162"/>
      <c r="G1162"/>
      <c r="H1162"/>
    </row>
    <row r="1163" spans="1:8" ht="15">
      <c r="A1163"/>
      <c r="B1163"/>
      <c r="C1163"/>
      <c r="D1163"/>
      <c r="E1163"/>
      <c r="F1163"/>
      <c r="G1163"/>
      <c r="H1163"/>
    </row>
    <row r="1164" spans="1:8" ht="15">
      <c r="A1164"/>
      <c r="B1164"/>
      <c r="C1164"/>
      <c r="D1164"/>
      <c r="E1164"/>
      <c r="F1164"/>
      <c r="G1164"/>
      <c r="H1164"/>
    </row>
    <row r="1165" spans="1:8" ht="15">
      <c r="A1165"/>
      <c r="B1165"/>
      <c r="C1165"/>
      <c r="D1165"/>
      <c r="E1165"/>
      <c r="F1165"/>
      <c r="G1165"/>
      <c r="H1165"/>
    </row>
    <row r="1166" spans="1:8" ht="15">
      <c r="A1166"/>
      <c r="B1166"/>
      <c r="C1166"/>
      <c r="D1166"/>
      <c r="E1166"/>
      <c r="F1166"/>
      <c r="G1166"/>
      <c r="H1166"/>
    </row>
    <row r="1167" spans="1:8" ht="15">
      <c r="A1167"/>
      <c r="B1167"/>
      <c r="C1167"/>
      <c r="D1167"/>
      <c r="E1167"/>
      <c r="F1167"/>
      <c r="G1167"/>
      <c r="H1167"/>
    </row>
    <row r="1168" spans="1:8" ht="15">
      <c r="A1168"/>
      <c r="B1168"/>
      <c r="C1168"/>
      <c r="D1168"/>
      <c r="E1168"/>
      <c r="F1168"/>
      <c r="G1168"/>
      <c r="H1168"/>
    </row>
    <row r="1169" spans="1:8" ht="15">
      <c r="A1169"/>
      <c r="B1169"/>
      <c r="C1169"/>
      <c r="D1169"/>
      <c r="E1169"/>
      <c r="F1169"/>
      <c r="G1169"/>
      <c r="H1169"/>
    </row>
    <row r="1170" spans="1:8" ht="15">
      <c r="A1170"/>
      <c r="B1170"/>
      <c r="C1170"/>
      <c r="D1170"/>
      <c r="E1170"/>
      <c r="F1170"/>
      <c r="G1170"/>
      <c r="H1170"/>
    </row>
    <row r="1171" spans="1:8" ht="15">
      <c r="A1171"/>
      <c r="B1171"/>
      <c r="C1171"/>
      <c r="D1171"/>
      <c r="E1171"/>
      <c r="F1171"/>
      <c r="G1171"/>
      <c r="H1171"/>
    </row>
    <row r="1172" spans="1:8" ht="15">
      <c r="A1172"/>
      <c r="B1172"/>
      <c r="C1172"/>
      <c r="D1172"/>
      <c r="E1172"/>
      <c r="F1172"/>
      <c r="G1172"/>
      <c r="H1172"/>
    </row>
    <row r="1173" spans="1:8" ht="15">
      <c r="A1173"/>
      <c r="B1173"/>
      <c r="C1173"/>
      <c r="D1173"/>
      <c r="E1173"/>
      <c r="F1173"/>
      <c r="G1173"/>
      <c r="H1173"/>
    </row>
    <row r="1174" spans="1:8" ht="15">
      <c r="A1174"/>
      <c r="B1174"/>
      <c r="C1174"/>
      <c r="D1174"/>
      <c r="E1174"/>
      <c r="F1174"/>
      <c r="G1174"/>
      <c r="H1174"/>
    </row>
    <row r="1175" spans="1:8" ht="15">
      <c r="A1175"/>
      <c r="B1175"/>
      <c r="C1175"/>
      <c r="D1175"/>
      <c r="E1175"/>
      <c r="F1175"/>
      <c r="G1175"/>
      <c r="H1175"/>
    </row>
    <row r="1176" spans="1:8" ht="15">
      <c r="A1176"/>
      <c r="B1176"/>
      <c r="C1176"/>
      <c r="D1176"/>
      <c r="E1176"/>
      <c r="F1176"/>
      <c r="G1176"/>
      <c r="H1176"/>
    </row>
    <row r="1177" spans="1:8" ht="15">
      <c r="A1177"/>
      <c r="B1177"/>
      <c r="C1177"/>
      <c r="D1177"/>
      <c r="E1177"/>
      <c r="F1177"/>
      <c r="G1177"/>
      <c r="H1177"/>
    </row>
    <row r="1178" spans="1:8" ht="15">
      <c r="A1178"/>
      <c r="B1178"/>
      <c r="C1178"/>
      <c r="D1178"/>
      <c r="E1178"/>
      <c r="F1178"/>
      <c r="G1178"/>
      <c r="H1178"/>
    </row>
    <row r="1179" spans="1:8" ht="15">
      <c r="A1179"/>
      <c r="B1179"/>
      <c r="C1179"/>
      <c r="D1179"/>
      <c r="E1179"/>
      <c r="F1179"/>
      <c r="G1179"/>
      <c r="H1179"/>
    </row>
    <row r="1180" spans="1:8" ht="15">
      <c r="A1180"/>
      <c r="B1180"/>
      <c r="C1180"/>
      <c r="D1180"/>
      <c r="E1180"/>
      <c r="F1180"/>
      <c r="G1180"/>
      <c r="H1180"/>
    </row>
    <row r="1181" spans="1:8" ht="15">
      <c r="A1181"/>
      <c r="B1181"/>
      <c r="C1181"/>
      <c r="D1181"/>
      <c r="E1181"/>
      <c r="F1181"/>
      <c r="G1181"/>
      <c r="H1181"/>
    </row>
    <row r="1182" spans="1:8" ht="15">
      <c r="A1182"/>
      <c r="B1182"/>
      <c r="C1182"/>
      <c r="D1182"/>
      <c r="E1182"/>
      <c r="F1182"/>
      <c r="G1182"/>
      <c r="H1182"/>
    </row>
    <row r="1183" spans="1:8" ht="15">
      <c r="A1183"/>
      <c r="B1183"/>
      <c r="C1183"/>
      <c r="D1183"/>
      <c r="E1183"/>
      <c r="F1183"/>
      <c r="G1183"/>
      <c r="H1183"/>
    </row>
    <row r="1184" spans="1:8" ht="15">
      <c r="A1184"/>
      <c r="B1184"/>
      <c r="C1184"/>
      <c r="D1184"/>
      <c r="E1184"/>
      <c r="F1184"/>
      <c r="G1184"/>
      <c r="H1184"/>
    </row>
    <row r="1185" spans="1:8" ht="15">
      <c r="A1185"/>
      <c r="B1185"/>
      <c r="C1185"/>
      <c r="D1185"/>
      <c r="E1185"/>
      <c r="F1185"/>
      <c r="G1185"/>
      <c r="H1185"/>
    </row>
    <row r="1186" spans="1:8" ht="15">
      <c r="A1186"/>
      <c r="B1186"/>
      <c r="C1186"/>
      <c r="D1186"/>
      <c r="E1186"/>
      <c r="F1186"/>
      <c r="G1186"/>
      <c r="H1186"/>
    </row>
    <row r="1187" spans="1:8" ht="15">
      <c r="A1187"/>
      <c r="B1187"/>
      <c r="C1187"/>
      <c r="D1187"/>
      <c r="E1187"/>
      <c r="F1187"/>
      <c r="G1187"/>
      <c r="H1187"/>
    </row>
    <row r="1188" spans="1:8" ht="15">
      <c r="A1188"/>
      <c r="B1188"/>
      <c r="C1188"/>
      <c r="D1188"/>
      <c r="E1188"/>
      <c r="F1188"/>
      <c r="G1188"/>
      <c r="H1188"/>
    </row>
    <row r="1189" spans="1:8" ht="15">
      <c r="A1189"/>
      <c r="B1189"/>
      <c r="C1189"/>
      <c r="D1189"/>
      <c r="E1189"/>
      <c r="F1189"/>
      <c r="G1189"/>
      <c r="H1189"/>
    </row>
    <row r="1190" spans="1:8" ht="15">
      <c r="A1190"/>
      <c r="B1190"/>
      <c r="C1190"/>
      <c r="D1190"/>
      <c r="E1190"/>
      <c r="F1190"/>
      <c r="G1190"/>
      <c r="H1190"/>
    </row>
    <row r="1191" spans="1:8" ht="15">
      <c r="A1191"/>
      <c r="B1191"/>
      <c r="C1191"/>
      <c r="D1191"/>
      <c r="E1191"/>
      <c r="F1191"/>
      <c r="G1191"/>
      <c r="H1191"/>
    </row>
    <row r="1192" spans="1:8" ht="15">
      <c r="A1192"/>
      <c r="B1192"/>
      <c r="C1192"/>
      <c r="D1192"/>
      <c r="E1192"/>
      <c r="F1192"/>
      <c r="G1192"/>
      <c r="H1192"/>
    </row>
    <row r="1193" spans="1:8" ht="15">
      <c r="A1193"/>
      <c r="B1193"/>
      <c r="C1193"/>
      <c r="D1193"/>
      <c r="E1193"/>
      <c r="F1193"/>
      <c r="G1193"/>
      <c r="H1193"/>
    </row>
    <row r="1194" spans="1:8" ht="15">
      <c r="A1194"/>
      <c r="B1194"/>
      <c r="C1194"/>
      <c r="D1194"/>
      <c r="E1194"/>
      <c r="F1194"/>
      <c r="G1194"/>
      <c r="H1194"/>
    </row>
    <row r="1195" spans="1:8" ht="15">
      <c r="A1195"/>
      <c r="B1195"/>
      <c r="C1195"/>
      <c r="D1195"/>
      <c r="E1195"/>
      <c r="F1195"/>
      <c r="G1195"/>
      <c r="H1195"/>
    </row>
    <row r="1196" spans="1:8" ht="15">
      <c r="A1196"/>
      <c r="B1196"/>
      <c r="C1196"/>
      <c r="D1196"/>
      <c r="E1196"/>
      <c r="F1196"/>
      <c r="G1196"/>
      <c r="H1196"/>
    </row>
    <row r="1197" spans="1:8" ht="15">
      <c r="A1197"/>
      <c r="B1197"/>
      <c r="C1197"/>
      <c r="D1197"/>
      <c r="E1197"/>
      <c r="F1197"/>
      <c r="G1197"/>
      <c r="H1197"/>
    </row>
    <row r="1198" spans="1:8" ht="15">
      <c r="A1198"/>
      <c r="B1198"/>
      <c r="C1198"/>
      <c r="D1198"/>
      <c r="E1198"/>
      <c r="F1198"/>
      <c r="G1198"/>
      <c r="H1198"/>
    </row>
    <row r="1199" spans="1:8" ht="15">
      <c r="A1199"/>
      <c r="B1199"/>
      <c r="C1199"/>
      <c r="D1199"/>
      <c r="E1199"/>
      <c r="F1199"/>
      <c r="G1199"/>
      <c r="H1199"/>
    </row>
    <row r="1200" spans="1:8" ht="15">
      <c r="A1200"/>
      <c r="B1200"/>
      <c r="C1200"/>
      <c r="D1200"/>
      <c r="E1200"/>
      <c r="F1200"/>
      <c r="G1200"/>
      <c r="H1200"/>
    </row>
    <row r="1201" spans="1:8" ht="15">
      <c r="A1201"/>
      <c r="B1201"/>
      <c r="C1201"/>
      <c r="D1201"/>
      <c r="E1201"/>
      <c r="F1201"/>
      <c r="G1201"/>
      <c r="H1201"/>
    </row>
    <row r="1202" spans="1:8" ht="15">
      <c r="A1202"/>
      <c r="B1202"/>
      <c r="C1202"/>
      <c r="D1202"/>
      <c r="E1202"/>
      <c r="F1202"/>
      <c r="G1202"/>
      <c r="H1202"/>
    </row>
    <row r="1203" spans="1:8" ht="15">
      <c r="A1203"/>
      <c r="B1203"/>
      <c r="C1203"/>
      <c r="D1203"/>
      <c r="E1203"/>
      <c r="F1203"/>
      <c r="G1203"/>
      <c r="H1203"/>
    </row>
    <row r="1204" spans="1:8" ht="15">
      <c r="A1204"/>
      <c r="B1204"/>
      <c r="C1204"/>
      <c r="D1204"/>
      <c r="E1204"/>
      <c r="F1204"/>
      <c r="G1204"/>
      <c r="H1204"/>
    </row>
    <row r="1205" spans="1:8" ht="15">
      <c r="A1205"/>
      <c r="B1205"/>
      <c r="C1205"/>
      <c r="D1205"/>
      <c r="E1205"/>
      <c r="F1205"/>
      <c r="G1205"/>
      <c r="H1205"/>
    </row>
    <row r="1206" spans="1:8" ht="15">
      <c r="A1206"/>
      <c r="B1206"/>
      <c r="C1206"/>
      <c r="D1206"/>
      <c r="E1206"/>
      <c r="F1206"/>
      <c r="G1206"/>
      <c r="H1206"/>
    </row>
    <row r="1207" spans="1:8" ht="15">
      <c r="A1207"/>
      <c r="B1207"/>
      <c r="C1207"/>
      <c r="D1207"/>
      <c r="E1207"/>
      <c r="F1207"/>
      <c r="G1207"/>
      <c r="H1207"/>
    </row>
    <row r="1208" spans="1:8" ht="15">
      <c r="A1208"/>
      <c r="B1208"/>
      <c r="C1208"/>
      <c r="D1208"/>
      <c r="E1208"/>
      <c r="F1208"/>
      <c r="G1208"/>
      <c r="H1208"/>
    </row>
    <row r="1209" spans="1:8" ht="15">
      <c r="A1209"/>
      <c r="B1209"/>
      <c r="C1209"/>
      <c r="D1209"/>
      <c r="E1209"/>
      <c r="F1209"/>
      <c r="G1209"/>
      <c r="H1209"/>
    </row>
    <row r="1210" spans="1:8" ht="15">
      <c r="A1210"/>
      <c r="B1210"/>
      <c r="C1210"/>
      <c r="D1210"/>
      <c r="E1210"/>
      <c r="F1210"/>
      <c r="G1210"/>
      <c r="H1210"/>
    </row>
    <row r="1211" spans="1:8" ht="15">
      <c r="A1211"/>
      <c r="B1211"/>
      <c r="C1211"/>
      <c r="D1211"/>
      <c r="E1211"/>
      <c r="F1211"/>
      <c r="G1211"/>
      <c r="H1211"/>
    </row>
    <row r="1212" spans="1:8" ht="15">
      <c r="A1212"/>
      <c r="B1212"/>
      <c r="C1212"/>
      <c r="D1212"/>
      <c r="E1212"/>
      <c r="F1212"/>
      <c r="G1212"/>
      <c r="H1212"/>
    </row>
    <row r="1213" spans="1:8" ht="15">
      <c r="A1213"/>
      <c r="B1213"/>
      <c r="C1213"/>
      <c r="D1213"/>
      <c r="E1213"/>
      <c r="F1213"/>
      <c r="G1213"/>
      <c r="H1213"/>
    </row>
    <row r="1214" spans="1:8" ht="15">
      <c r="A1214"/>
      <c r="B1214"/>
      <c r="C1214"/>
      <c r="D1214"/>
      <c r="E1214"/>
      <c r="F1214"/>
      <c r="G1214"/>
      <c r="H1214"/>
    </row>
    <row r="1215" spans="1:8" ht="15">
      <c r="A1215"/>
      <c r="B1215"/>
      <c r="C1215"/>
      <c r="D1215"/>
      <c r="E1215"/>
      <c r="F1215"/>
      <c r="G1215"/>
      <c r="H1215"/>
    </row>
    <row r="1216" spans="1:8" ht="15">
      <c r="A1216"/>
      <c r="B1216"/>
      <c r="C1216"/>
      <c r="D1216"/>
      <c r="E1216"/>
      <c r="F1216"/>
      <c r="G1216"/>
      <c r="H1216"/>
    </row>
    <row r="1217" spans="1:8" ht="15">
      <c r="A1217"/>
      <c r="B1217"/>
      <c r="C1217"/>
      <c r="D1217"/>
      <c r="E1217"/>
      <c r="F1217"/>
      <c r="G1217"/>
      <c r="H1217"/>
    </row>
    <row r="1218" spans="1:8" ht="15">
      <c r="A1218"/>
      <c r="B1218"/>
      <c r="C1218"/>
      <c r="D1218"/>
      <c r="E1218"/>
      <c r="F1218"/>
      <c r="G1218"/>
      <c r="H1218"/>
    </row>
    <row r="1219" spans="1:8" ht="15">
      <c r="A1219"/>
      <c r="B1219"/>
      <c r="C1219"/>
      <c r="D1219"/>
      <c r="E1219"/>
      <c r="F1219"/>
      <c r="G1219"/>
      <c r="H1219"/>
    </row>
    <row r="1220" spans="1:8" ht="15">
      <c r="A1220"/>
      <c r="B1220"/>
      <c r="C1220"/>
      <c r="D1220"/>
      <c r="E1220"/>
      <c r="F1220"/>
      <c r="G1220"/>
      <c r="H1220"/>
    </row>
    <row r="1221" spans="1:8" ht="15">
      <c r="A1221"/>
      <c r="B1221"/>
      <c r="C1221"/>
      <c r="D1221"/>
      <c r="E1221"/>
      <c r="F1221"/>
      <c r="G1221"/>
      <c r="H1221"/>
    </row>
    <row r="1222" spans="1:8" ht="15">
      <c r="A1222"/>
      <c r="B1222"/>
      <c r="C1222"/>
      <c r="D1222"/>
      <c r="E1222"/>
      <c r="F1222"/>
      <c r="G1222"/>
      <c r="H1222"/>
    </row>
    <row r="1223" spans="1:8" ht="15">
      <c r="A1223"/>
      <c r="B1223"/>
      <c r="C1223"/>
      <c r="D1223"/>
      <c r="E1223"/>
      <c r="F1223"/>
      <c r="G1223"/>
      <c r="H1223"/>
    </row>
    <row r="1224" spans="1:8" ht="15">
      <c r="A1224"/>
      <c r="B1224"/>
      <c r="C1224"/>
      <c r="D1224"/>
      <c r="E1224"/>
      <c r="F1224"/>
      <c r="G1224"/>
      <c r="H1224"/>
    </row>
    <row r="1225" spans="1:8" ht="15">
      <c r="A1225"/>
      <c r="B1225"/>
      <c r="C1225"/>
      <c r="D1225"/>
      <c r="E1225"/>
      <c r="F1225"/>
      <c r="G1225"/>
      <c r="H1225"/>
    </row>
    <row r="1226" spans="1:8" ht="15">
      <c r="A1226"/>
      <c r="B1226"/>
      <c r="C1226"/>
      <c r="D1226"/>
      <c r="E1226"/>
      <c r="F1226"/>
      <c r="G1226"/>
      <c r="H1226"/>
    </row>
    <row r="1227" spans="1:8" ht="15">
      <c r="A1227"/>
      <c r="B1227"/>
      <c r="C1227"/>
      <c r="D1227"/>
      <c r="E1227"/>
      <c r="F1227"/>
      <c r="G1227"/>
      <c r="H1227"/>
    </row>
    <row r="1228" spans="1:8" ht="15">
      <c r="A1228"/>
      <c r="B1228"/>
      <c r="C1228"/>
      <c r="D1228"/>
      <c r="E1228"/>
      <c r="F1228"/>
      <c r="G1228"/>
      <c r="H1228"/>
    </row>
    <row r="1229" spans="1:8" ht="15">
      <c r="A1229"/>
      <c r="B1229"/>
      <c r="C1229"/>
      <c r="D1229"/>
      <c r="E1229"/>
      <c r="F1229"/>
      <c r="G1229"/>
      <c r="H1229"/>
    </row>
    <row r="1230" spans="1:8" ht="15">
      <c r="A1230"/>
      <c r="B1230"/>
      <c r="C1230"/>
      <c r="D1230"/>
      <c r="E1230"/>
      <c r="F1230"/>
      <c r="G1230"/>
      <c r="H1230"/>
    </row>
    <row r="1231" spans="1:8" ht="15">
      <c r="A1231"/>
      <c r="B1231"/>
      <c r="C1231"/>
      <c r="D1231"/>
      <c r="E1231"/>
      <c r="F1231"/>
      <c r="G1231"/>
      <c r="H1231"/>
    </row>
    <row r="1232" spans="1:8" ht="15">
      <c r="A1232"/>
      <c r="B1232"/>
      <c r="C1232"/>
      <c r="D1232"/>
      <c r="E1232"/>
      <c r="F1232"/>
      <c r="G1232"/>
      <c r="H1232"/>
    </row>
    <row r="1233" spans="1:8" ht="15">
      <c r="A1233"/>
      <c r="B1233"/>
      <c r="C1233"/>
      <c r="D1233"/>
      <c r="E1233"/>
      <c r="F1233"/>
      <c r="G1233"/>
      <c r="H1233"/>
    </row>
    <row r="1234" spans="1:8" ht="15">
      <c r="A1234"/>
      <c r="B1234"/>
      <c r="C1234"/>
      <c r="D1234"/>
      <c r="E1234"/>
      <c r="F1234"/>
      <c r="G1234"/>
      <c r="H1234"/>
    </row>
    <row r="1235" spans="1:8" ht="15">
      <c r="A1235"/>
      <c r="B1235"/>
      <c r="C1235"/>
      <c r="D1235"/>
      <c r="E1235"/>
      <c r="F1235"/>
      <c r="G1235"/>
      <c r="H1235"/>
    </row>
    <row r="1236" spans="1:8" ht="15">
      <c r="A1236"/>
      <c r="B1236"/>
      <c r="C1236"/>
      <c r="D1236"/>
      <c r="E1236"/>
      <c r="F1236"/>
      <c r="G1236"/>
      <c r="H1236"/>
    </row>
    <row r="1237" spans="1:8" ht="15">
      <c r="A1237"/>
      <c r="B1237"/>
      <c r="C1237"/>
      <c r="D1237"/>
      <c r="E1237"/>
      <c r="F1237"/>
      <c r="G1237"/>
      <c r="H1237"/>
    </row>
    <row r="1238" spans="1:8" ht="15">
      <c r="A1238"/>
      <c r="B1238"/>
      <c r="C1238"/>
      <c r="D1238"/>
      <c r="E1238"/>
      <c r="F1238"/>
      <c r="G1238"/>
      <c r="H1238"/>
    </row>
    <row r="1239" spans="1:8" ht="15">
      <c r="A1239"/>
      <c r="B1239"/>
      <c r="C1239"/>
      <c r="D1239"/>
      <c r="E1239"/>
      <c r="F1239"/>
      <c r="G1239"/>
      <c r="H1239"/>
    </row>
    <row r="1240" spans="1:8" ht="15">
      <c r="A1240"/>
      <c r="B1240"/>
      <c r="C1240"/>
      <c r="D1240"/>
      <c r="E1240"/>
      <c r="F1240"/>
      <c r="G1240"/>
      <c r="H1240"/>
    </row>
    <row r="1241" spans="1:8" ht="15">
      <c r="A1241"/>
      <c r="B1241"/>
      <c r="C1241"/>
      <c r="D1241"/>
      <c r="E1241"/>
      <c r="F1241"/>
      <c r="G1241"/>
      <c r="H1241"/>
    </row>
    <row r="1242" spans="1:8" ht="15">
      <c r="A1242"/>
      <c r="B1242"/>
      <c r="C1242"/>
      <c r="D1242"/>
      <c r="E1242"/>
      <c r="F1242"/>
      <c r="G1242"/>
      <c r="H1242"/>
    </row>
    <row r="1243" spans="1:8" ht="15">
      <c r="A1243"/>
      <c r="B1243"/>
      <c r="C1243"/>
      <c r="D1243"/>
      <c r="E1243"/>
      <c r="F1243"/>
      <c r="G1243"/>
      <c r="H1243"/>
    </row>
    <row r="1244" spans="1:8" ht="15">
      <c r="A1244"/>
      <c r="B1244"/>
      <c r="C1244"/>
      <c r="D1244"/>
      <c r="E1244"/>
      <c r="F1244"/>
      <c r="G1244"/>
      <c r="H1244"/>
    </row>
    <row r="1245" spans="1:8" ht="15">
      <c r="A1245"/>
      <c r="B1245"/>
      <c r="C1245"/>
      <c r="D1245"/>
      <c r="E1245"/>
      <c r="F1245"/>
      <c r="G1245"/>
      <c r="H1245"/>
    </row>
    <row r="1246" spans="1:8" ht="15">
      <c r="A1246"/>
      <c r="B1246"/>
      <c r="C1246"/>
      <c r="D1246"/>
      <c r="E1246"/>
      <c r="F1246"/>
      <c r="G1246"/>
      <c r="H1246"/>
    </row>
    <row r="1247" spans="1:8" ht="15">
      <c r="A1247"/>
      <c r="B1247"/>
      <c r="C1247"/>
      <c r="D1247"/>
      <c r="E1247"/>
      <c r="F1247"/>
      <c r="G1247"/>
      <c r="H1247"/>
    </row>
    <row r="1248" spans="1:8" ht="15">
      <c r="A1248"/>
      <c r="B1248"/>
      <c r="C1248"/>
      <c r="D1248"/>
      <c r="E1248"/>
      <c r="F1248"/>
      <c r="G1248"/>
      <c r="H1248"/>
    </row>
    <row r="1249" spans="1:8" ht="15">
      <c r="A1249"/>
      <c r="B1249"/>
      <c r="C1249"/>
      <c r="D1249"/>
      <c r="E1249"/>
      <c r="F1249"/>
      <c r="G1249"/>
      <c r="H1249"/>
    </row>
    <row r="1250" spans="1:8" ht="15">
      <c r="A1250"/>
      <c r="B1250"/>
      <c r="C1250"/>
      <c r="D1250"/>
      <c r="E1250"/>
      <c r="F1250"/>
      <c r="G1250"/>
      <c r="H1250"/>
    </row>
    <row r="1251" spans="1:8" ht="15">
      <c r="A1251"/>
      <c r="B1251"/>
      <c r="C1251"/>
      <c r="D1251"/>
      <c r="E1251"/>
      <c r="F1251"/>
      <c r="G1251"/>
      <c r="H1251"/>
    </row>
    <row r="1252" spans="1:8" ht="15">
      <c r="A1252"/>
      <c r="B1252"/>
      <c r="C1252"/>
      <c r="D1252"/>
      <c r="E1252"/>
      <c r="F1252"/>
      <c r="G1252"/>
      <c r="H1252"/>
    </row>
    <row r="1253" spans="1:8" ht="15">
      <c r="A1253"/>
      <c r="B1253"/>
      <c r="C1253"/>
      <c r="D1253"/>
      <c r="E1253"/>
      <c r="F1253"/>
      <c r="G1253"/>
      <c r="H1253"/>
    </row>
    <row r="1254" spans="1:8" ht="15">
      <c r="A1254"/>
      <c r="B1254"/>
      <c r="C1254"/>
      <c r="D1254"/>
      <c r="E1254"/>
      <c r="F1254"/>
      <c r="G1254"/>
      <c r="H1254"/>
    </row>
    <row r="1255" spans="1:8" ht="15">
      <c r="A1255"/>
      <c r="B1255"/>
      <c r="C1255"/>
      <c r="D1255"/>
      <c r="E1255"/>
      <c r="F1255"/>
      <c r="G1255"/>
      <c r="H1255"/>
    </row>
    <row r="1256" spans="1:8" ht="15">
      <c r="A1256"/>
      <c r="B1256"/>
      <c r="C1256"/>
      <c r="D1256"/>
      <c r="E1256"/>
      <c r="F1256"/>
      <c r="G1256"/>
      <c r="H1256"/>
    </row>
    <row r="1257" spans="1:8" ht="15">
      <c r="A1257"/>
      <c r="B1257"/>
      <c r="C1257"/>
      <c r="D1257"/>
      <c r="E1257"/>
      <c r="F1257"/>
      <c r="G1257"/>
      <c r="H1257"/>
    </row>
    <row r="1258" spans="1:8" ht="15">
      <c r="A1258"/>
      <c r="B1258"/>
      <c r="C1258"/>
      <c r="D1258"/>
      <c r="E1258"/>
      <c r="F1258"/>
      <c r="G1258"/>
      <c r="H1258"/>
    </row>
    <row r="1259" spans="1:8" ht="15">
      <c r="A1259"/>
      <c r="B1259"/>
      <c r="C1259"/>
      <c r="D1259"/>
      <c r="E1259"/>
      <c r="F1259"/>
      <c r="G1259"/>
      <c r="H1259"/>
    </row>
    <row r="1260" spans="1:8" ht="15">
      <c r="A1260"/>
      <c r="B1260"/>
      <c r="C1260"/>
      <c r="D1260"/>
      <c r="E1260"/>
      <c r="F1260"/>
      <c r="G1260"/>
      <c r="H1260"/>
    </row>
    <row r="1261" spans="1:8" ht="15">
      <c r="A1261"/>
      <c r="B1261"/>
      <c r="C1261"/>
      <c r="D1261"/>
      <c r="E1261"/>
      <c r="F1261"/>
      <c r="G1261"/>
      <c r="H1261"/>
    </row>
    <row r="1262" spans="1:8" ht="15">
      <c r="A1262"/>
      <c r="B1262"/>
      <c r="C1262"/>
      <c r="D1262"/>
      <c r="E1262"/>
      <c r="F1262"/>
      <c r="G1262"/>
      <c r="H1262"/>
    </row>
    <row r="1263" spans="1:8" ht="15">
      <c r="A1263"/>
      <c r="B1263"/>
      <c r="C1263"/>
      <c r="D1263"/>
      <c r="E1263"/>
      <c r="F1263"/>
      <c r="G1263"/>
      <c r="H1263"/>
    </row>
    <row r="1264" spans="1:8" ht="15">
      <c r="A1264"/>
      <c r="B1264"/>
      <c r="C1264"/>
      <c r="D1264"/>
      <c r="E1264"/>
      <c r="F1264"/>
      <c r="G1264"/>
      <c r="H1264"/>
    </row>
    <row r="1265" spans="1:8" ht="15">
      <c r="A1265"/>
      <c r="B1265"/>
      <c r="C1265"/>
      <c r="D1265"/>
      <c r="E1265"/>
      <c r="F1265"/>
      <c r="G1265"/>
      <c r="H1265"/>
    </row>
    <row r="1266" spans="1:8" ht="15">
      <c r="A1266"/>
      <c r="B1266"/>
      <c r="C1266"/>
      <c r="D1266"/>
      <c r="E1266"/>
      <c r="F1266"/>
      <c r="G1266"/>
      <c r="H1266"/>
    </row>
    <row r="1267" spans="1:8" ht="15">
      <c r="A1267"/>
      <c r="B1267"/>
      <c r="C1267"/>
      <c r="D1267"/>
      <c r="E1267"/>
      <c r="F1267"/>
      <c r="G1267"/>
      <c r="H1267"/>
    </row>
    <row r="1268" spans="1:8" ht="15">
      <c r="A1268"/>
      <c r="B1268"/>
      <c r="C1268"/>
      <c r="D1268"/>
      <c r="E1268"/>
      <c r="F1268"/>
      <c r="G1268"/>
      <c r="H1268"/>
    </row>
    <row r="1269" spans="1:8" ht="15">
      <c r="A1269"/>
      <c r="B1269"/>
      <c r="C1269"/>
      <c r="D1269"/>
      <c r="E1269"/>
      <c r="F1269"/>
      <c r="G1269"/>
      <c r="H1269"/>
    </row>
    <row r="1270" spans="1:8" ht="15">
      <c r="A1270"/>
      <c r="B1270"/>
      <c r="C1270"/>
      <c r="D1270"/>
      <c r="E1270"/>
      <c r="F1270"/>
      <c r="G1270"/>
      <c r="H1270"/>
    </row>
    <row r="1271" spans="1:8" ht="15">
      <c r="A1271"/>
      <c r="B1271"/>
      <c r="C1271"/>
      <c r="D1271"/>
      <c r="E1271"/>
      <c r="F1271"/>
      <c r="G1271"/>
      <c r="H1271"/>
    </row>
    <row r="1272" spans="1:8" ht="15">
      <c r="A1272"/>
      <c r="B1272"/>
      <c r="C1272"/>
      <c r="D1272"/>
      <c r="E1272"/>
      <c r="F1272"/>
      <c r="G1272"/>
      <c r="H1272"/>
    </row>
    <row r="1273" spans="1:8" ht="15">
      <c r="A1273"/>
      <c r="B1273"/>
      <c r="C1273"/>
      <c r="D1273"/>
      <c r="E1273"/>
      <c r="F1273"/>
      <c r="G1273"/>
      <c r="H1273"/>
    </row>
    <row r="1274" spans="1:8" ht="15">
      <c r="A1274"/>
      <c r="B1274"/>
      <c r="C1274"/>
      <c r="D1274"/>
      <c r="E1274"/>
      <c r="F1274"/>
      <c r="G1274"/>
      <c r="H1274"/>
    </row>
    <row r="1275" spans="1:8" ht="15">
      <c r="A1275"/>
      <c r="B1275"/>
      <c r="C1275"/>
      <c r="D1275"/>
      <c r="E1275"/>
      <c r="F1275"/>
      <c r="G1275"/>
      <c r="H1275"/>
    </row>
    <row r="1276" spans="1:8" ht="15">
      <c r="A1276"/>
      <c r="B1276"/>
      <c r="C1276"/>
      <c r="D1276"/>
      <c r="E1276"/>
      <c r="F1276"/>
      <c r="G1276"/>
      <c r="H1276"/>
    </row>
    <row r="1277" spans="1:8" ht="15">
      <c r="A1277"/>
      <c r="B1277"/>
      <c r="C1277"/>
      <c r="D1277"/>
      <c r="E1277"/>
      <c r="F1277"/>
      <c r="G1277"/>
      <c r="H1277"/>
    </row>
    <row r="1278" spans="1:8" ht="15">
      <c r="A1278"/>
      <c r="B1278"/>
      <c r="C1278"/>
      <c r="D1278"/>
      <c r="E1278"/>
      <c r="F1278"/>
      <c r="G1278"/>
      <c r="H1278"/>
    </row>
    <row r="1279" spans="1:8" ht="15">
      <c r="A1279"/>
      <c r="B1279"/>
      <c r="C1279"/>
      <c r="D1279"/>
      <c r="E1279"/>
      <c r="F1279"/>
      <c r="G1279"/>
      <c r="H1279"/>
    </row>
    <row r="1280" spans="1:8" ht="15">
      <c r="A1280"/>
      <c r="B1280"/>
      <c r="C1280"/>
      <c r="D1280"/>
      <c r="E1280"/>
      <c r="F1280"/>
      <c r="G1280"/>
      <c r="H1280"/>
    </row>
    <row r="1281" spans="1:8" ht="15">
      <c r="A1281"/>
      <c r="B1281"/>
      <c r="C1281"/>
      <c r="D1281"/>
      <c r="E1281"/>
      <c r="F1281"/>
      <c r="G1281"/>
      <c r="H1281"/>
    </row>
    <row r="1282" spans="1:8" ht="15">
      <c r="A1282"/>
      <c r="B1282"/>
      <c r="C1282"/>
      <c r="D1282"/>
      <c r="E1282"/>
      <c r="F1282"/>
      <c r="G1282"/>
      <c r="H1282"/>
    </row>
    <row r="1283" spans="1:8" ht="15">
      <c r="A1283"/>
      <c r="B1283"/>
      <c r="C1283"/>
      <c r="D1283"/>
      <c r="E1283"/>
      <c r="F1283"/>
      <c r="G1283"/>
      <c r="H1283"/>
    </row>
    <row r="1284" spans="1:8" ht="15">
      <c r="A1284"/>
      <c r="B1284"/>
      <c r="C1284"/>
      <c r="D1284"/>
      <c r="E1284"/>
      <c r="F1284"/>
      <c r="G1284"/>
      <c r="H1284"/>
    </row>
    <row r="1285" spans="1:8" ht="15">
      <c r="A1285"/>
      <c r="B1285"/>
      <c r="C1285"/>
      <c r="D1285"/>
      <c r="E1285"/>
      <c r="F1285"/>
      <c r="G1285"/>
      <c r="H1285"/>
    </row>
    <row r="1286" spans="1:8" ht="15">
      <c r="A1286"/>
      <c r="B1286"/>
      <c r="C1286"/>
      <c r="D1286"/>
      <c r="E1286"/>
      <c r="F1286"/>
      <c r="G1286"/>
      <c r="H1286"/>
    </row>
    <row r="1287" spans="1:8" ht="15">
      <c r="A1287"/>
      <c r="B1287"/>
      <c r="C1287"/>
      <c r="D1287"/>
      <c r="E1287"/>
      <c r="F1287"/>
      <c r="G1287"/>
      <c r="H1287"/>
    </row>
    <row r="1288" spans="1:8" ht="15">
      <c r="A1288"/>
      <c r="B1288"/>
      <c r="C1288"/>
      <c r="D1288"/>
      <c r="E1288"/>
      <c r="F1288"/>
      <c r="G1288"/>
      <c r="H1288"/>
    </row>
    <row r="1289" spans="1:8" ht="15">
      <c r="A1289"/>
      <c r="B1289"/>
      <c r="C1289"/>
      <c r="D1289"/>
      <c r="E1289"/>
      <c r="F1289"/>
      <c r="G1289"/>
      <c r="H1289"/>
    </row>
    <row r="1290" spans="1:8" ht="15">
      <c r="A1290"/>
      <c r="B1290"/>
      <c r="C1290"/>
      <c r="D1290"/>
      <c r="E1290"/>
      <c r="F1290"/>
      <c r="G1290"/>
      <c r="H1290"/>
    </row>
    <row r="1291" spans="1:8" ht="15">
      <c r="A1291"/>
      <c r="B1291"/>
      <c r="C1291"/>
      <c r="D1291"/>
      <c r="E1291"/>
      <c r="F1291"/>
      <c r="G1291"/>
      <c r="H1291"/>
    </row>
    <row r="1292" spans="1:8" ht="15">
      <c r="A1292"/>
      <c r="B1292"/>
      <c r="C1292"/>
      <c r="D1292"/>
      <c r="E1292"/>
      <c r="F1292"/>
      <c r="G1292"/>
      <c r="H1292"/>
    </row>
    <row r="1293" spans="1:8" ht="15">
      <c r="A1293"/>
      <c r="B1293"/>
      <c r="C1293"/>
      <c r="D1293"/>
      <c r="E1293"/>
      <c r="F1293"/>
      <c r="G1293"/>
      <c r="H1293"/>
    </row>
    <row r="1294" spans="1:8" ht="15">
      <c r="A1294"/>
      <c r="B1294"/>
      <c r="C1294"/>
      <c r="D1294"/>
      <c r="E1294"/>
      <c r="F1294"/>
      <c r="G1294"/>
      <c r="H1294"/>
    </row>
    <row r="1295" spans="1:8" ht="15">
      <c r="A1295"/>
      <c r="B1295"/>
      <c r="C1295"/>
      <c r="D1295"/>
      <c r="E1295"/>
      <c r="F1295"/>
      <c r="G1295"/>
      <c r="H1295"/>
    </row>
    <row r="1296" spans="1:8" ht="15">
      <c r="A1296"/>
      <c r="B1296"/>
      <c r="C1296"/>
      <c r="D1296"/>
      <c r="E1296"/>
      <c r="F1296"/>
      <c r="G1296"/>
      <c r="H1296"/>
    </row>
    <row r="1297" spans="1:8" ht="15">
      <c r="A1297"/>
      <c r="B1297"/>
      <c r="C1297"/>
      <c r="D1297"/>
      <c r="E1297"/>
      <c r="F1297"/>
      <c r="G1297"/>
      <c r="H1297"/>
    </row>
    <row r="1298" spans="1:8" ht="15">
      <c r="A1298"/>
      <c r="B1298"/>
      <c r="C1298"/>
      <c r="D1298"/>
      <c r="E1298"/>
      <c r="F1298"/>
      <c r="G1298"/>
      <c r="H1298"/>
    </row>
    <row r="1299" spans="1:8" ht="15">
      <c r="A1299"/>
      <c r="B1299"/>
      <c r="C1299"/>
      <c r="D1299"/>
      <c r="E1299"/>
      <c r="F1299"/>
      <c r="G1299"/>
      <c r="H1299"/>
    </row>
    <row r="1300" spans="1:8" ht="15">
      <c r="A1300"/>
      <c r="B1300"/>
      <c r="C1300"/>
      <c r="D1300"/>
      <c r="E1300"/>
      <c r="F1300"/>
      <c r="G1300"/>
      <c r="H1300"/>
    </row>
    <row r="1301" spans="1:8" ht="15">
      <c r="A1301"/>
      <c r="B1301"/>
      <c r="C1301"/>
      <c r="D1301"/>
      <c r="E1301"/>
      <c r="F1301"/>
      <c r="G1301"/>
      <c r="H1301"/>
    </row>
    <row r="1302" spans="1:8" ht="15">
      <c r="A1302"/>
      <c r="B1302"/>
      <c r="C1302"/>
      <c r="D1302"/>
      <c r="E1302"/>
      <c r="F1302"/>
      <c r="G1302"/>
      <c r="H1302"/>
    </row>
    <row r="1303" spans="1:8" ht="15">
      <c r="A1303"/>
      <c r="B1303"/>
      <c r="C1303"/>
      <c r="D1303"/>
      <c r="E1303"/>
      <c r="F1303"/>
      <c r="G1303"/>
      <c r="H1303"/>
    </row>
    <row r="1304" spans="1:8" ht="15">
      <c r="A1304"/>
      <c r="B1304"/>
      <c r="C1304"/>
      <c r="D1304"/>
      <c r="E1304"/>
      <c r="F1304"/>
      <c r="G1304"/>
      <c r="H1304"/>
    </row>
    <row r="1305" spans="1:8" ht="15">
      <c r="A1305"/>
      <c r="B1305"/>
      <c r="C1305"/>
      <c r="D1305"/>
      <c r="E1305"/>
      <c r="F1305"/>
      <c r="G1305"/>
      <c r="H1305"/>
    </row>
    <row r="1306" spans="1:8" ht="15">
      <c r="A1306"/>
      <c r="B1306"/>
      <c r="C1306"/>
      <c r="D1306"/>
      <c r="E1306"/>
      <c r="F1306"/>
      <c r="G1306"/>
      <c r="H1306"/>
    </row>
    <row r="1307" spans="1:8" ht="15">
      <c r="A1307"/>
      <c r="B1307"/>
      <c r="C1307"/>
      <c r="D1307"/>
      <c r="E1307"/>
      <c r="F1307"/>
      <c r="G1307"/>
      <c r="H1307"/>
    </row>
    <row r="1308" spans="1:8" ht="15">
      <c r="A1308"/>
      <c r="B1308"/>
      <c r="C1308"/>
      <c r="D1308"/>
      <c r="E1308"/>
      <c r="F1308"/>
      <c r="G1308"/>
      <c r="H1308"/>
    </row>
    <row r="1309" spans="1:8" ht="15">
      <c r="A1309"/>
      <c r="B1309"/>
      <c r="C1309"/>
      <c r="D1309"/>
      <c r="E1309"/>
      <c r="F1309"/>
      <c r="G1309"/>
      <c r="H1309"/>
    </row>
    <row r="1310" spans="1:8" ht="15">
      <c r="A1310"/>
      <c r="B1310"/>
      <c r="C1310"/>
      <c r="D1310"/>
      <c r="E1310"/>
      <c r="F1310"/>
      <c r="G1310"/>
      <c r="H1310"/>
    </row>
    <row r="1311" spans="1:8" ht="15">
      <c r="A1311"/>
      <c r="B1311"/>
      <c r="C1311"/>
      <c r="D1311"/>
      <c r="E1311"/>
      <c r="F1311"/>
      <c r="G1311"/>
      <c r="H1311"/>
    </row>
    <row r="1312" spans="1:8" ht="15">
      <c r="A1312"/>
      <c r="B1312"/>
      <c r="C1312"/>
      <c r="D1312"/>
      <c r="E1312"/>
      <c r="F1312"/>
      <c r="G1312"/>
      <c r="H1312"/>
    </row>
    <row r="1313" spans="1:8" ht="15">
      <c r="A1313"/>
      <c r="B1313"/>
      <c r="C1313"/>
      <c r="D1313"/>
      <c r="E1313"/>
      <c r="F1313"/>
      <c r="G1313"/>
      <c r="H1313"/>
    </row>
    <row r="1314" spans="1:8" ht="15">
      <c r="A1314"/>
      <c r="B1314"/>
      <c r="C1314"/>
      <c r="D1314"/>
      <c r="E1314"/>
      <c r="F1314"/>
      <c r="G1314"/>
      <c r="H1314"/>
    </row>
    <row r="1315" spans="1:8" ht="15">
      <c r="A1315"/>
      <c r="B1315"/>
      <c r="C1315"/>
      <c r="D1315"/>
      <c r="E1315"/>
      <c r="F1315"/>
      <c r="G1315"/>
      <c r="H1315"/>
    </row>
    <row r="1316" spans="1:8" ht="15">
      <c r="A1316"/>
      <c r="B1316"/>
      <c r="C1316"/>
      <c r="D1316"/>
      <c r="E1316"/>
      <c r="F1316"/>
      <c r="G1316"/>
      <c r="H1316"/>
    </row>
    <row r="1317" spans="1:8" ht="15">
      <c r="A1317"/>
      <c r="B1317"/>
      <c r="C1317"/>
      <c r="D1317"/>
      <c r="E1317"/>
      <c r="F1317"/>
      <c r="G1317"/>
      <c r="H1317"/>
    </row>
    <row r="1318" spans="1:8" ht="15">
      <c r="A1318"/>
      <c r="B1318"/>
      <c r="C1318"/>
      <c r="D1318"/>
      <c r="E1318"/>
      <c r="F1318"/>
      <c r="G1318"/>
      <c r="H1318"/>
    </row>
    <row r="1319" spans="1:8" ht="15">
      <c r="A1319"/>
      <c r="B1319"/>
      <c r="C1319"/>
      <c r="D1319"/>
      <c r="E1319"/>
      <c r="F1319"/>
      <c r="G1319"/>
      <c r="H1319"/>
    </row>
    <row r="1320" spans="1:8" ht="15">
      <c r="A1320"/>
      <c r="B1320"/>
      <c r="C1320"/>
      <c r="D1320"/>
      <c r="E1320"/>
      <c r="F1320"/>
      <c r="G1320"/>
      <c r="H1320"/>
    </row>
    <row r="1321" spans="1:8" ht="15">
      <c r="A1321"/>
      <c r="B1321"/>
      <c r="C1321"/>
      <c r="D1321"/>
      <c r="E1321"/>
      <c r="F1321"/>
      <c r="G1321"/>
      <c r="H1321"/>
    </row>
    <row r="1322" spans="1:8" ht="15">
      <c r="A1322"/>
      <c r="B1322"/>
      <c r="C1322"/>
      <c r="D1322"/>
      <c r="E1322"/>
      <c r="F1322"/>
      <c r="G1322"/>
      <c r="H1322"/>
    </row>
    <row r="1323" spans="1:8" ht="15">
      <c r="A1323"/>
      <c r="B1323"/>
      <c r="C1323"/>
      <c r="D1323"/>
      <c r="E1323"/>
      <c r="F1323"/>
      <c r="G1323"/>
      <c r="H1323"/>
    </row>
    <row r="1324" spans="1:8" ht="15">
      <c r="A1324"/>
      <c r="B1324"/>
      <c r="C1324"/>
      <c r="D1324"/>
      <c r="E1324"/>
      <c r="F1324"/>
      <c r="G1324"/>
      <c r="H1324"/>
    </row>
    <row r="1325" spans="1:8" ht="15">
      <c r="A1325"/>
      <c r="B1325"/>
      <c r="C1325"/>
      <c r="D1325"/>
      <c r="E1325"/>
      <c r="F1325"/>
      <c r="G1325"/>
      <c r="H1325"/>
    </row>
    <row r="1326" spans="1:8" ht="15">
      <c r="A1326"/>
      <c r="B1326"/>
      <c r="C1326"/>
      <c r="D1326"/>
      <c r="E1326"/>
      <c r="F1326"/>
      <c r="G1326"/>
      <c r="H1326"/>
    </row>
    <row r="1327" spans="1:8" ht="15">
      <c r="A1327"/>
      <c r="B1327"/>
      <c r="C1327"/>
      <c r="D1327"/>
      <c r="E1327"/>
      <c r="F1327"/>
      <c r="G1327"/>
      <c r="H1327"/>
    </row>
    <row r="1328" spans="1:8" ht="15">
      <c r="A1328"/>
      <c r="B1328"/>
      <c r="C1328"/>
      <c r="D1328"/>
      <c r="E1328"/>
      <c r="F1328"/>
      <c r="G1328"/>
      <c r="H1328"/>
    </row>
    <row r="1329" spans="1:8" ht="15">
      <c r="A1329"/>
      <c r="B1329"/>
      <c r="C1329"/>
      <c r="D1329"/>
      <c r="E1329"/>
      <c r="F1329"/>
      <c r="G1329"/>
      <c r="H1329"/>
    </row>
    <row r="1330" spans="1:8" ht="15">
      <c r="A1330"/>
      <c r="B1330"/>
      <c r="C1330"/>
      <c r="D1330"/>
      <c r="E1330"/>
      <c r="F1330"/>
      <c r="G1330"/>
      <c r="H1330"/>
    </row>
    <row r="1331" spans="1:8" ht="15">
      <c r="A1331"/>
      <c r="B1331"/>
      <c r="C1331"/>
      <c r="D1331"/>
      <c r="E1331"/>
      <c r="F1331"/>
      <c r="G1331"/>
      <c r="H1331"/>
    </row>
    <row r="1332" spans="1:8" ht="15">
      <c r="A1332"/>
      <c r="B1332"/>
      <c r="C1332"/>
      <c r="D1332"/>
      <c r="E1332"/>
      <c r="F1332"/>
      <c r="G1332"/>
      <c r="H1332"/>
    </row>
    <row r="1333" spans="1:8" ht="15">
      <c r="A1333"/>
      <c r="B1333"/>
      <c r="C1333"/>
      <c r="D1333"/>
      <c r="E1333"/>
      <c r="F1333"/>
      <c r="G1333"/>
      <c r="H1333"/>
    </row>
    <row r="1334" spans="1:8" ht="15">
      <c r="A1334"/>
      <c r="B1334"/>
      <c r="C1334"/>
      <c r="D1334"/>
      <c r="E1334"/>
      <c r="F1334"/>
      <c r="G1334"/>
      <c r="H1334"/>
    </row>
    <row r="1335" spans="1:8" ht="15">
      <c r="A1335"/>
      <c r="B1335"/>
      <c r="C1335"/>
      <c r="D1335"/>
      <c r="E1335"/>
      <c r="F1335"/>
      <c r="G1335"/>
      <c r="H1335"/>
    </row>
    <row r="1336" spans="1:8" ht="15">
      <c r="A1336"/>
      <c r="B1336"/>
      <c r="C1336"/>
      <c r="D1336"/>
      <c r="E1336"/>
      <c r="F1336"/>
      <c r="G1336"/>
      <c r="H1336"/>
    </row>
    <row r="1337" spans="1:8" ht="15">
      <c r="A1337"/>
      <c r="B1337"/>
      <c r="C1337"/>
      <c r="D1337"/>
      <c r="E1337"/>
      <c r="F1337"/>
      <c r="G1337"/>
      <c r="H1337"/>
    </row>
    <row r="1338" spans="1:8" ht="15">
      <c r="A1338"/>
      <c r="B1338"/>
      <c r="C1338"/>
      <c r="D1338"/>
      <c r="E1338"/>
      <c r="F1338"/>
      <c r="G1338"/>
      <c r="H1338"/>
    </row>
    <row r="1339" spans="1:8" ht="15">
      <c r="A1339"/>
      <c r="B1339"/>
      <c r="C1339"/>
      <c r="D1339"/>
      <c r="E1339"/>
      <c r="F1339"/>
      <c r="G1339"/>
      <c r="H1339"/>
    </row>
    <row r="1340" spans="1:8" ht="15">
      <c r="A1340"/>
      <c r="B1340"/>
      <c r="C1340"/>
      <c r="D1340"/>
      <c r="E1340"/>
      <c r="F1340"/>
      <c r="G1340"/>
      <c r="H1340"/>
    </row>
    <row r="1341" spans="1:8" ht="15">
      <c r="A1341"/>
      <c r="B1341"/>
      <c r="C1341"/>
      <c r="D1341"/>
      <c r="E1341"/>
      <c r="F1341"/>
      <c r="G1341"/>
      <c r="H1341"/>
    </row>
    <row r="1342" spans="1:8" ht="15">
      <c r="A1342"/>
      <c r="B1342"/>
      <c r="C1342"/>
      <c r="D1342"/>
      <c r="E1342"/>
      <c r="F1342"/>
      <c r="G1342"/>
      <c r="H1342"/>
    </row>
    <row r="1343" spans="1:8" ht="15">
      <c r="A1343"/>
      <c r="B1343"/>
      <c r="C1343"/>
      <c r="D1343"/>
      <c r="E1343"/>
      <c r="F1343"/>
      <c r="G1343"/>
      <c r="H1343"/>
    </row>
    <row r="1344" spans="1:8" ht="15">
      <c r="A1344"/>
      <c r="B1344"/>
      <c r="C1344"/>
      <c r="D1344"/>
      <c r="E1344"/>
      <c r="F1344"/>
      <c r="G1344"/>
      <c r="H1344"/>
    </row>
    <row r="1345" spans="1:8" ht="15">
      <c r="A1345"/>
      <c r="B1345"/>
      <c r="C1345"/>
      <c r="D1345"/>
      <c r="E1345"/>
      <c r="F1345"/>
      <c r="G1345"/>
      <c r="H1345"/>
    </row>
    <row r="1346" spans="1:8" ht="15">
      <c r="A1346"/>
      <c r="B1346"/>
      <c r="C1346"/>
      <c r="D1346"/>
      <c r="E1346"/>
      <c r="F1346"/>
      <c r="G1346"/>
      <c r="H1346"/>
    </row>
    <row r="1347" spans="1:8" ht="15">
      <c r="A1347"/>
      <c r="B1347"/>
      <c r="C1347"/>
      <c r="D1347"/>
      <c r="E1347"/>
      <c r="F1347"/>
      <c r="G1347"/>
      <c r="H1347"/>
    </row>
    <row r="1348" spans="1:8" ht="15">
      <c r="A1348"/>
      <c r="B1348"/>
      <c r="C1348"/>
      <c r="D1348"/>
      <c r="E1348"/>
      <c r="F1348"/>
      <c r="G1348"/>
      <c r="H1348"/>
    </row>
    <row r="1349" spans="1:8" ht="15">
      <c r="A1349"/>
      <c r="B1349"/>
      <c r="C1349"/>
      <c r="D1349"/>
      <c r="E1349"/>
      <c r="F1349"/>
      <c r="G1349"/>
      <c r="H1349"/>
    </row>
    <row r="1350" spans="1:8" ht="15">
      <c r="A1350"/>
      <c r="B1350"/>
      <c r="C1350"/>
      <c r="D1350"/>
      <c r="E1350"/>
      <c r="F1350"/>
      <c r="G1350"/>
      <c r="H1350"/>
    </row>
    <row r="1351" spans="1:8" ht="15">
      <c r="A1351"/>
      <c r="B1351"/>
      <c r="C1351"/>
      <c r="D1351"/>
      <c r="E1351"/>
      <c r="F1351"/>
      <c r="G1351"/>
      <c r="H1351"/>
    </row>
    <row r="1352" spans="1:8" ht="15">
      <c r="A1352"/>
      <c r="B1352"/>
      <c r="C1352"/>
      <c r="D1352"/>
      <c r="E1352"/>
      <c r="F1352"/>
      <c r="G1352"/>
      <c r="H1352"/>
    </row>
    <row r="1353" spans="1:8" ht="15">
      <c r="A1353"/>
      <c r="B1353"/>
      <c r="C1353"/>
      <c r="D1353"/>
      <c r="E1353"/>
      <c r="F1353"/>
      <c r="G1353"/>
      <c r="H1353"/>
    </row>
    <row r="1354" spans="1:8" ht="15">
      <c r="A1354"/>
      <c r="B1354"/>
      <c r="C1354"/>
      <c r="D1354"/>
      <c r="E1354"/>
      <c r="F1354"/>
      <c r="G1354"/>
      <c r="H1354"/>
    </row>
    <row r="1355" spans="1:8" ht="15">
      <c r="A1355"/>
      <c r="B1355"/>
      <c r="C1355"/>
      <c r="D1355"/>
      <c r="E1355"/>
      <c r="F1355"/>
      <c r="G1355"/>
      <c r="H1355"/>
    </row>
    <row r="1356" spans="1:8" ht="15">
      <c r="A1356"/>
      <c r="B1356"/>
      <c r="C1356"/>
      <c r="D1356"/>
      <c r="E1356"/>
      <c r="F1356"/>
      <c r="G1356"/>
      <c r="H1356"/>
    </row>
    <row r="1357" spans="1:8" ht="15">
      <c r="A1357"/>
      <c r="B1357"/>
      <c r="C1357"/>
      <c r="D1357"/>
      <c r="E1357"/>
      <c r="F1357"/>
      <c r="G1357"/>
      <c r="H1357"/>
    </row>
    <row r="1358" spans="1:8" ht="15">
      <c r="A1358"/>
      <c r="B1358"/>
      <c r="C1358"/>
      <c r="D1358"/>
      <c r="E1358"/>
      <c r="F1358"/>
      <c r="G1358"/>
      <c r="H1358"/>
    </row>
    <row r="1359" spans="1:8" ht="15">
      <c r="A1359"/>
      <c r="B1359"/>
      <c r="C1359"/>
      <c r="D1359"/>
      <c r="E1359"/>
      <c r="F1359"/>
      <c r="G1359"/>
      <c r="H1359"/>
    </row>
    <row r="1360" spans="1:8" ht="15">
      <c r="A1360"/>
      <c r="B1360"/>
      <c r="C1360"/>
      <c r="D1360"/>
      <c r="E1360"/>
      <c r="F1360"/>
      <c r="G1360"/>
      <c r="H1360"/>
    </row>
    <row r="1361" spans="1:8" ht="15">
      <c r="A1361"/>
      <c r="B1361"/>
      <c r="C1361"/>
      <c r="D1361"/>
      <c r="E1361"/>
      <c r="F1361"/>
      <c r="G1361"/>
      <c r="H1361"/>
    </row>
    <row r="1362" spans="1:8" ht="15">
      <c r="A1362"/>
      <c r="B1362"/>
      <c r="C1362"/>
      <c r="D1362"/>
      <c r="E1362"/>
      <c r="F1362"/>
      <c r="G1362"/>
      <c r="H1362"/>
    </row>
    <row r="1363" spans="1:8" ht="15">
      <c r="A1363"/>
      <c r="B1363"/>
      <c r="C1363"/>
      <c r="D1363"/>
      <c r="E1363"/>
      <c r="F1363"/>
      <c r="G1363"/>
      <c r="H1363"/>
    </row>
    <row r="1364" spans="1:8" ht="15">
      <c r="A1364"/>
      <c r="B1364"/>
      <c r="C1364"/>
      <c r="D1364"/>
      <c r="E1364"/>
      <c r="F1364"/>
      <c r="G1364"/>
      <c r="H1364"/>
    </row>
    <row r="1365" spans="1:8" ht="15">
      <c r="A1365"/>
      <c r="B1365"/>
      <c r="C1365"/>
      <c r="D1365"/>
      <c r="E1365"/>
      <c r="F1365"/>
      <c r="G1365"/>
      <c r="H1365"/>
    </row>
    <row r="1366" spans="1:8" ht="15">
      <c r="A1366"/>
      <c r="B1366"/>
      <c r="C1366"/>
      <c r="D1366"/>
      <c r="E1366"/>
      <c r="F1366"/>
      <c r="G1366"/>
      <c r="H1366"/>
    </row>
    <row r="1367" spans="1:8" ht="15">
      <c r="A1367"/>
      <c r="B1367"/>
      <c r="C1367"/>
      <c r="D1367"/>
      <c r="E1367"/>
      <c r="F1367"/>
      <c r="G1367"/>
      <c r="H1367"/>
    </row>
    <row r="1368" spans="1:8" ht="15">
      <c r="A1368"/>
      <c r="B1368"/>
      <c r="C1368"/>
      <c r="D1368"/>
      <c r="E1368"/>
      <c r="F1368"/>
      <c r="G1368"/>
      <c r="H1368"/>
    </row>
    <row r="1369" spans="1:8" ht="15">
      <c r="A1369"/>
      <c r="B1369"/>
      <c r="C1369"/>
      <c r="D1369"/>
      <c r="E1369"/>
      <c r="F1369"/>
      <c r="G1369"/>
      <c r="H1369"/>
    </row>
    <row r="1370" spans="1:8" ht="15">
      <c r="A1370"/>
      <c r="B1370"/>
      <c r="C1370"/>
      <c r="D1370"/>
      <c r="E1370"/>
      <c r="F1370"/>
      <c r="G1370"/>
      <c r="H1370"/>
    </row>
    <row r="1371" spans="1:8" ht="15">
      <c r="A1371"/>
      <c r="B1371"/>
      <c r="C1371"/>
      <c r="D1371"/>
      <c r="E1371"/>
      <c r="F1371"/>
      <c r="G1371"/>
      <c r="H1371"/>
    </row>
    <row r="1372" spans="1:8" ht="15">
      <c r="A1372"/>
      <c r="B1372"/>
      <c r="C1372"/>
      <c r="D1372"/>
      <c r="E1372"/>
      <c r="F1372"/>
      <c r="G1372"/>
      <c r="H1372"/>
    </row>
    <row r="1373" spans="1:8" ht="15">
      <c r="A1373"/>
      <c r="B1373"/>
      <c r="C1373"/>
      <c r="D1373"/>
      <c r="E1373"/>
      <c r="F1373"/>
      <c r="G1373"/>
      <c r="H1373"/>
    </row>
    <row r="1374" spans="1:8" ht="15">
      <c r="A1374"/>
      <c r="B1374"/>
      <c r="C1374"/>
      <c r="D1374"/>
      <c r="E1374"/>
      <c r="F1374"/>
      <c r="G1374"/>
      <c r="H1374"/>
    </row>
    <row r="1375" spans="1:8" ht="15">
      <c r="A1375"/>
      <c r="B1375"/>
      <c r="C1375"/>
      <c r="D1375"/>
      <c r="E1375"/>
      <c r="F1375"/>
      <c r="G1375"/>
      <c r="H1375"/>
    </row>
    <row r="1376" spans="1:8" ht="15">
      <c r="A1376"/>
      <c r="B1376"/>
      <c r="C1376"/>
      <c r="D1376"/>
      <c r="E1376"/>
      <c r="F1376"/>
      <c r="G1376"/>
      <c r="H1376"/>
    </row>
    <row r="1377" spans="1:8" ht="15">
      <c r="A1377"/>
      <c r="B1377"/>
      <c r="C1377"/>
      <c r="D1377"/>
      <c r="E1377"/>
      <c r="F1377"/>
      <c r="G1377"/>
      <c r="H1377"/>
    </row>
    <row r="1378" spans="1:8" ht="15">
      <c r="A1378"/>
      <c r="B1378"/>
      <c r="C1378"/>
      <c r="D1378"/>
      <c r="E1378"/>
      <c r="F1378"/>
      <c r="G1378"/>
      <c r="H1378"/>
    </row>
    <row r="1379" spans="1:8" ht="15">
      <c r="A1379"/>
      <c r="B1379"/>
      <c r="C1379"/>
      <c r="D1379"/>
      <c r="E1379"/>
      <c r="F1379"/>
      <c r="G1379"/>
      <c r="H1379"/>
    </row>
    <row r="1380" spans="1:8" ht="15">
      <c r="A1380"/>
      <c r="B1380"/>
      <c r="C1380"/>
      <c r="D1380"/>
      <c r="E1380"/>
      <c r="F1380"/>
      <c r="G1380"/>
      <c r="H1380"/>
    </row>
    <row r="1381" spans="1:8" ht="15">
      <c r="A1381"/>
      <c r="B1381"/>
      <c r="C1381"/>
      <c r="D1381"/>
      <c r="E1381"/>
      <c r="F1381"/>
      <c r="G1381"/>
      <c r="H1381"/>
    </row>
    <row r="1382" spans="1:8" ht="15">
      <c r="A1382"/>
      <c r="B1382"/>
      <c r="C1382"/>
      <c r="D1382"/>
      <c r="E1382"/>
      <c r="F1382"/>
      <c r="G1382"/>
      <c r="H1382"/>
    </row>
    <row r="1383" spans="1:8" ht="15">
      <c r="A1383"/>
      <c r="B1383"/>
      <c r="C1383"/>
      <c r="D1383"/>
      <c r="E1383"/>
      <c r="F1383"/>
      <c r="G1383"/>
      <c r="H1383"/>
    </row>
    <row r="1384" spans="1:8" ht="15">
      <c r="A1384"/>
      <c r="B1384"/>
      <c r="C1384"/>
      <c r="D1384"/>
      <c r="E1384"/>
      <c r="F1384"/>
      <c r="G1384"/>
      <c r="H1384"/>
    </row>
    <row r="1385" spans="1:8" ht="15">
      <c r="A1385"/>
      <c r="B1385"/>
      <c r="C1385"/>
      <c r="D1385"/>
      <c r="E1385"/>
      <c r="F1385"/>
      <c r="G1385"/>
      <c r="H1385"/>
    </row>
    <row r="1386" spans="1:8" ht="15">
      <c r="A1386"/>
      <c r="B1386"/>
      <c r="C1386"/>
      <c r="D1386"/>
      <c r="E1386"/>
      <c r="F1386"/>
      <c r="G1386"/>
      <c r="H1386"/>
    </row>
    <row r="1387" spans="1:8" ht="15">
      <c r="A1387"/>
      <c r="B1387"/>
      <c r="C1387"/>
      <c r="D1387"/>
      <c r="E1387"/>
      <c r="F1387"/>
      <c r="G1387"/>
      <c r="H1387"/>
    </row>
    <row r="1388" spans="1:8" ht="15">
      <c r="A1388"/>
      <c r="B1388"/>
      <c r="C1388"/>
      <c r="D1388"/>
      <c r="E1388"/>
      <c r="F1388"/>
      <c r="G1388"/>
      <c r="H1388"/>
    </row>
    <row r="1389" spans="1:8" ht="15">
      <c r="A1389"/>
      <c r="B1389"/>
      <c r="C1389"/>
      <c r="D1389"/>
      <c r="E1389"/>
      <c r="F1389"/>
      <c r="G1389"/>
      <c r="H1389"/>
    </row>
    <row r="1390" spans="1:8" ht="15">
      <c r="A1390"/>
      <c r="B1390"/>
      <c r="C1390"/>
      <c r="D1390"/>
      <c r="E1390"/>
      <c r="F1390"/>
      <c r="G1390"/>
      <c r="H1390"/>
    </row>
    <row r="1391" spans="1:8" ht="15">
      <c r="A1391"/>
      <c r="B1391"/>
      <c r="C1391"/>
      <c r="D1391"/>
      <c r="E1391"/>
      <c r="F1391"/>
      <c r="G1391"/>
      <c r="H1391"/>
    </row>
    <row r="1392" spans="1:8" ht="15">
      <c r="A1392"/>
      <c r="B1392"/>
      <c r="C1392"/>
      <c r="D1392"/>
      <c r="E1392"/>
      <c r="F1392"/>
      <c r="G1392"/>
      <c r="H1392"/>
    </row>
    <row r="1393" spans="1:8" ht="15">
      <c r="A1393"/>
      <c r="B1393"/>
      <c r="C1393"/>
      <c r="D1393"/>
      <c r="E1393"/>
      <c r="F1393"/>
      <c r="G1393"/>
      <c r="H1393"/>
    </row>
    <row r="1394" spans="1:8" ht="15">
      <c r="A1394"/>
      <c r="B1394"/>
      <c r="C1394"/>
      <c r="D1394"/>
      <c r="E1394"/>
      <c r="F1394"/>
      <c r="G1394"/>
      <c r="H1394"/>
    </row>
    <row r="1395" spans="1:8" ht="15">
      <c r="A1395"/>
      <c r="B1395"/>
      <c r="C1395"/>
      <c r="D1395"/>
      <c r="E1395"/>
      <c r="F1395"/>
      <c r="G1395"/>
      <c r="H1395"/>
    </row>
    <row r="1396" spans="1:8" ht="15">
      <c r="A1396"/>
      <c r="B1396"/>
      <c r="C1396"/>
      <c r="D1396"/>
      <c r="E1396"/>
      <c r="F1396"/>
      <c r="G1396"/>
      <c r="H1396"/>
    </row>
    <row r="1397" spans="1:8" ht="15">
      <c r="A1397"/>
      <c r="B1397"/>
      <c r="C1397"/>
      <c r="D1397"/>
      <c r="E1397"/>
      <c r="F1397"/>
      <c r="G1397"/>
      <c r="H1397"/>
    </row>
    <row r="1398" spans="1:8" ht="15">
      <c r="A1398"/>
      <c r="B1398"/>
      <c r="C1398"/>
      <c r="D1398"/>
      <c r="E1398"/>
      <c r="F1398"/>
      <c r="G1398"/>
      <c r="H1398"/>
    </row>
    <row r="1399" spans="1:8" ht="15">
      <c r="A1399"/>
      <c r="B1399"/>
      <c r="C1399"/>
      <c r="D1399"/>
      <c r="E1399"/>
      <c r="F1399"/>
      <c r="G1399"/>
      <c r="H1399"/>
    </row>
    <row r="1400" spans="1:8" ht="15">
      <c r="A1400"/>
      <c r="B1400"/>
      <c r="C1400"/>
      <c r="D1400"/>
      <c r="E1400"/>
      <c r="F1400"/>
      <c r="G1400"/>
      <c r="H1400"/>
    </row>
    <row r="1401" spans="1:8" ht="15">
      <c r="A1401"/>
      <c r="B1401"/>
      <c r="C1401"/>
      <c r="D1401"/>
      <c r="E1401"/>
      <c r="F1401"/>
      <c r="G1401"/>
      <c r="H1401"/>
    </row>
    <row r="1402" spans="1:8" ht="15">
      <c r="A1402"/>
      <c r="B1402"/>
      <c r="C1402"/>
      <c r="D1402"/>
      <c r="E1402"/>
      <c r="F1402"/>
      <c r="G1402"/>
      <c r="H1402"/>
    </row>
    <row r="1403" spans="1:8" ht="15">
      <c r="A1403"/>
      <c r="B1403"/>
      <c r="C1403"/>
      <c r="D1403"/>
      <c r="E1403"/>
      <c r="F1403"/>
      <c r="G1403"/>
      <c r="H1403"/>
    </row>
    <row r="1404" spans="1:8" ht="15">
      <c r="A1404"/>
      <c r="B1404"/>
      <c r="C1404"/>
      <c r="D1404"/>
      <c r="E1404"/>
      <c r="F1404"/>
      <c r="G1404"/>
      <c r="H1404"/>
    </row>
    <row r="1405" spans="1:8" ht="15">
      <c r="A1405"/>
      <c r="B1405"/>
      <c r="C1405"/>
      <c r="D1405"/>
      <c r="E1405"/>
      <c r="F1405"/>
      <c r="G1405"/>
      <c r="H1405"/>
    </row>
    <row r="1406" spans="1:8" ht="15">
      <c r="A1406"/>
      <c r="B1406"/>
      <c r="C1406"/>
      <c r="D1406"/>
      <c r="E1406"/>
      <c r="F1406"/>
      <c r="G1406"/>
      <c r="H1406"/>
    </row>
    <row r="1407" spans="1:8" ht="15">
      <c r="A1407"/>
      <c r="B1407"/>
      <c r="C1407"/>
      <c r="D1407"/>
      <c r="E1407"/>
      <c r="F1407"/>
      <c r="G1407"/>
      <c r="H1407"/>
    </row>
    <row r="1408" spans="1:8" ht="15">
      <c r="A1408"/>
      <c r="B1408"/>
      <c r="C1408"/>
      <c r="D1408"/>
      <c r="E1408"/>
      <c r="F1408"/>
      <c r="G1408"/>
      <c r="H1408"/>
    </row>
    <row r="1409" spans="1:8" ht="15">
      <c r="A1409"/>
      <c r="B1409"/>
      <c r="C1409"/>
      <c r="D1409"/>
      <c r="E1409"/>
      <c r="F1409"/>
      <c r="G1409"/>
      <c r="H1409"/>
    </row>
    <row r="1410" spans="1:8" ht="15">
      <c r="A1410"/>
      <c r="B1410"/>
      <c r="C1410"/>
      <c r="D1410"/>
      <c r="E1410"/>
      <c r="F1410"/>
      <c r="G1410"/>
      <c r="H1410"/>
    </row>
    <row r="1411" spans="1:8" ht="15">
      <c r="A1411"/>
      <c r="B1411"/>
      <c r="C1411"/>
      <c r="D1411"/>
      <c r="E1411"/>
      <c r="F1411"/>
      <c r="G1411"/>
      <c r="H1411"/>
    </row>
    <row r="1412" spans="1:8" ht="15">
      <c r="A1412"/>
      <c r="B1412"/>
      <c r="C1412"/>
      <c r="D1412"/>
      <c r="E1412"/>
      <c r="F1412"/>
      <c r="G1412"/>
      <c r="H1412"/>
    </row>
    <row r="1413" spans="1:8" ht="15">
      <c r="A1413"/>
      <c r="B1413"/>
      <c r="C1413"/>
      <c r="D1413"/>
      <c r="E1413"/>
      <c r="F1413"/>
      <c r="G1413"/>
      <c r="H1413"/>
    </row>
    <row r="1414" spans="1:8" ht="15">
      <c r="A1414"/>
      <c r="B1414"/>
      <c r="C1414"/>
      <c r="D1414"/>
      <c r="E1414"/>
      <c r="F1414"/>
      <c r="G1414"/>
      <c r="H1414"/>
    </row>
    <row r="1415" spans="1:8" ht="15">
      <c r="A1415"/>
      <c r="B1415"/>
      <c r="C1415"/>
      <c r="D1415"/>
      <c r="E1415"/>
      <c r="F1415"/>
      <c r="G1415"/>
      <c r="H1415"/>
    </row>
    <row r="1416" spans="1:8" ht="15">
      <c r="A1416"/>
      <c r="B1416"/>
      <c r="C1416"/>
      <c r="D1416"/>
      <c r="E1416"/>
      <c r="F1416"/>
      <c r="G1416"/>
      <c r="H1416"/>
    </row>
    <row r="1417" spans="1:8" ht="15">
      <c r="A1417"/>
      <c r="B1417"/>
      <c r="C1417"/>
      <c r="D1417"/>
      <c r="E1417"/>
      <c r="F1417"/>
      <c r="G1417"/>
      <c r="H1417"/>
    </row>
    <row r="1418" spans="1:8" ht="15">
      <c r="A1418"/>
      <c r="B1418"/>
      <c r="C1418"/>
      <c r="D1418"/>
      <c r="E1418"/>
      <c r="F1418"/>
      <c r="G1418"/>
      <c r="H1418"/>
    </row>
    <row r="1419" spans="1:8" ht="15">
      <c r="A1419"/>
      <c r="B1419"/>
      <c r="C1419"/>
      <c r="D1419"/>
      <c r="E1419"/>
      <c r="F1419"/>
      <c r="G1419"/>
      <c r="H1419"/>
    </row>
    <row r="1420" spans="1:8" ht="15">
      <c r="A1420"/>
      <c r="B1420"/>
      <c r="C1420"/>
      <c r="D1420"/>
      <c r="E1420"/>
      <c r="F1420"/>
      <c r="G1420"/>
      <c r="H1420"/>
    </row>
    <row r="1421" spans="1:8" ht="15">
      <c r="A1421"/>
      <c r="B1421"/>
      <c r="C1421"/>
      <c r="D1421"/>
      <c r="E1421"/>
      <c r="F1421"/>
      <c r="G1421"/>
      <c r="H1421"/>
    </row>
    <row r="1422" spans="1:8" ht="15">
      <c r="A1422"/>
      <c r="B1422"/>
      <c r="C1422"/>
      <c r="D1422"/>
      <c r="E1422"/>
      <c r="F1422"/>
      <c r="G1422"/>
      <c r="H1422"/>
    </row>
    <row r="1423" spans="1:8" ht="15">
      <c r="A1423"/>
      <c r="B1423"/>
      <c r="C1423"/>
      <c r="D1423"/>
      <c r="E1423"/>
      <c r="F1423"/>
      <c r="G1423"/>
      <c r="H1423"/>
    </row>
    <row r="1424" spans="1:8" ht="15">
      <c r="A1424"/>
      <c r="B1424"/>
      <c r="C1424"/>
      <c r="D1424"/>
      <c r="E1424"/>
      <c r="F1424"/>
      <c r="G1424"/>
      <c r="H1424"/>
    </row>
    <row r="1425" spans="1:8" ht="15">
      <c r="A1425"/>
      <c r="B1425"/>
      <c r="C1425"/>
      <c r="D1425"/>
      <c r="E1425"/>
      <c r="F1425"/>
      <c r="G1425"/>
      <c r="H1425"/>
    </row>
    <row r="1426" spans="1:8" ht="15">
      <c r="A1426"/>
      <c r="B1426"/>
      <c r="C1426"/>
      <c r="D1426"/>
      <c r="E1426"/>
      <c r="F1426"/>
      <c r="G1426"/>
      <c r="H1426"/>
    </row>
    <row r="1427" spans="1:8" ht="15">
      <c r="A1427"/>
      <c r="B1427"/>
      <c r="C1427"/>
      <c r="D1427"/>
      <c r="E1427"/>
      <c r="F1427"/>
      <c r="G1427"/>
      <c r="H1427"/>
    </row>
    <row r="1428" spans="1:8" ht="15">
      <c r="A1428"/>
      <c r="B1428"/>
      <c r="C1428"/>
      <c r="D1428"/>
      <c r="E1428"/>
      <c r="F1428"/>
      <c r="G1428"/>
      <c r="H1428"/>
    </row>
    <row r="1429" spans="1:8" ht="15">
      <c r="A1429"/>
      <c r="B1429"/>
      <c r="C1429"/>
      <c r="D1429"/>
      <c r="E1429"/>
      <c r="F1429"/>
      <c r="G1429"/>
      <c r="H1429"/>
    </row>
    <row r="1430" spans="1:8" ht="15">
      <c r="A1430"/>
      <c r="B1430"/>
      <c r="C1430"/>
      <c r="D1430"/>
      <c r="E1430"/>
      <c r="F1430"/>
      <c r="G1430"/>
      <c r="H1430"/>
    </row>
    <row r="1431" spans="1:8" ht="15">
      <c r="A1431"/>
      <c r="B1431"/>
      <c r="C1431"/>
      <c r="D1431"/>
      <c r="E1431"/>
      <c r="F1431"/>
      <c r="G1431"/>
      <c r="H1431"/>
    </row>
    <row r="1432" spans="1:8" ht="15">
      <c r="A1432"/>
      <c r="B1432"/>
      <c r="C1432"/>
      <c r="D1432"/>
      <c r="E1432"/>
      <c r="F1432"/>
      <c r="G1432"/>
      <c r="H1432"/>
    </row>
    <row r="1433" spans="1:8" ht="15">
      <c r="A1433"/>
      <c r="B1433"/>
      <c r="C1433"/>
      <c r="D1433"/>
      <c r="E1433"/>
      <c r="F1433"/>
      <c r="G1433"/>
      <c r="H1433"/>
    </row>
    <row r="1434" spans="1:8" ht="15">
      <c r="A1434"/>
      <c r="B1434"/>
      <c r="C1434"/>
      <c r="D1434"/>
      <c r="E1434"/>
      <c r="F1434"/>
      <c r="G1434"/>
      <c r="H1434"/>
    </row>
    <row r="1435" spans="1:8" ht="15">
      <c r="A1435"/>
      <c r="B1435"/>
      <c r="C1435"/>
      <c r="D1435"/>
      <c r="E1435"/>
      <c r="F1435"/>
      <c r="G1435"/>
      <c r="H1435"/>
    </row>
    <row r="1436" spans="1:8" ht="15">
      <c r="A1436"/>
      <c r="B1436"/>
      <c r="C1436"/>
      <c r="D1436"/>
      <c r="E1436"/>
      <c r="F1436"/>
      <c r="G1436"/>
      <c r="H1436"/>
    </row>
    <row r="1437" spans="1:8" ht="15">
      <c r="A1437"/>
      <c r="B1437"/>
      <c r="C1437"/>
      <c r="D1437"/>
      <c r="E1437"/>
      <c r="F1437"/>
      <c r="G1437"/>
      <c r="H1437"/>
    </row>
    <row r="1438" spans="1:8" ht="15">
      <c r="A1438"/>
      <c r="B1438"/>
      <c r="C1438"/>
      <c r="D1438"/>
      <c r="E1438"/>
      <c r="F1438"/>
      <c r="G1438"/>
      <c r="H1438"/>
    </row>
    <row r="1439" spans="1:8" ht="15">
      <c r="A1439"/>
      <c r="B1439"/>
      <c r="C1439"/>
      <c r="D1439"/>
      <c r="E1439"/>
      <c r="F1439"/>
      <c r="G1439"/>
      <c r="H1439"/>
    </row>
    <row r="1440" spans="1:8" ht="15">
      <c r="A1440"/>
      <c r="B1440"/>
      <c r="C1440"/>
      <c r="D1440"/>
      <c r="E1440"/>
      <c r="F1440"/>
      <c r="G1440"/>
      <c r="H1440"/>
    </row>
    <row r="1441" spans="1:8" ht="15">
      <c r="A1441"/>
      <c r="B1441"/>
      <c r="C1441"/>
      <c r="D1441"/>
      <c r="E1441"/>
      <c r="F1441"/>
      <c r="G1441"/>
      <c r="H1441"/>
    </row>
    <row r="1442" spans="1:8" ht="15">
      <c r="A1442"/>
      <c r="B1442"/>
      <c r="C1442"/>
      <c r="D1442"/>
      <c r="E1442"/>
      <c r="F1442"/>
      <c r="G1442"/>
      <c r="H1442"/>
    </row>
    <row r="1443" spans="1:8" ht="15">
      <c r="A1443"/>
      <c r="B1443"/>
      <c r="C1443"/>
      <c r="D1443"/>
      <c r="E1443"/>
      <c r="F1443"/>
      <c r="G1443"/>
      <c r="H1443"/>
    </row>
    <row r="1444" spans="1:8" ht="15">
      <c r="A1444"/>
      <c r="B1444"/>
      <c r="C1444"/>
      <c r="D1444"/>
      <c r="E1444"/>
      <c r="F1444"/>
      <c r="G1444"/>
      <c r="H1444"/>
    </row>
    <row r="1445" spans="1:8" ht="15">
      <c r="A1445"/>
      <c r="B1445"/>
      <c r="C1445"/>
      <c r="D1445"/>
      <c r="E1445"/>
      <c r="F1445"/>
      <c r="G1445"/>
      <c r="H1445"/>
    </row>
    <row r="1446" spans="1:8" ht="15">
      <c r="A1446"/>
      <c r="B1446"/>
      <c r="C1446"/>
      <c r="D1446"/>
      <c r="E1446"/>
      <c r="F1446"/>
      <c r="G1446"/>
      <c r="H1446"/>
    </row>
    <row r="1447" spans="1:8" ht="15">
      <c r="A1447"/>
      <c r="B1447"/>
      <c r="C1447"/>
      <c r="D1447"/>
      <c r="E1447"/>
      <c r="F1447"/>
      <c r="G1447"/>
      <c r="H1447"/>
    </row>
    <row r="1448" spans="1:8" ht="15">
      <c r="A1448"/>
      <c r="B1448"/>
      <c r="C1448"/>
      <c r="D1448"/>
      <c r="E1448"/>
      <c r="F1448"/>
      <c r="G1448"/>
      <c r="H1448"/>
    </row>
    <row r="1449" spans="1:8" ht="15">
      <c r="A1449"/>
      <c r="B1449"/>
      <c r="C1449"/>
      <c r="D1449"/>
      <c r="E1449"/>
      <c r="F1449"/>
      <c r="G1449"/>
      <c r="H1449"/>
    </row>
    <row r="1450" spans="1:8" ht="15">
      <c r="A1450"/>
      <c r="B1450"/>
      <c r="C1450"/>
      <c r="D1450"/>
      <c r="E1450"/>
      <c r="F1450"/>
      <c r="G1450"/>
      <c r="H1450"/>
    </row>
    <row r="1451" spans="1:8" ht="15">
      <c r="A1451"/>
      <c r="B1451"/>
      <c r="C1451"/>
      <c r="D1451"/>
      <c r="E1451"/>
      <c r="F1451"/>
      <c r="G1451"/>
      <c r="H1451"/>
    </row>
    <row r="1452" spans="1:8" ht="15">
      <c r="A1452"/>
      <c r="B1452"/>
      <c r="C1452"/>
      <c r="D1452"/>
      <c r="E1452"/>
      <c r="F1452"/>
      <c r="G1452"/>
      <c r="H1452"/>
    </row>
    <row r="1453" spans="1:8" ht="15">
      <c r="A1453"/>
      <c r="B1453"/>
      <c r="C1453"/>
      <c r="D1453"/>
      <c r="E1453"/>
      <c r="F1453"/>
      <c r="G1453"/>
      <c r="H1453"/>
    </row>
    <row r="1454" spans="1:8" ht="15">
      <c r="A1454"/>
      <c r="B1454"/>
      <c r="C1454"/>
      <c r="D1454"/>
      <c r="E1454"/>
      <c r="F1454"/>
      <c r="G1454"/>
      <c r="H1454"/>
    </row>
    <row r="1455" spans="1:8" ht="15">
      <c r="A1455"/>
      <c r="B1455"/>
      <c r="C1455"/>
      <c r="D1455"/>
      <c r="E1455"/>
      <c r="F1455"/>
      <c r="G1455"/>
      <c r="H1455"/>
    </row>
    <row r="1456" spans="1:8" ht="15">
      <c r="A1456"/>
      <c r="B1456"/>
      <c r="C1456"/>
      <c r="D1456"/>
      <c r="E1456"/>
      <c r="F1456"/>
      <c r="G1456"/>
      <c r="H1456"/>
    </row>
    <row r="1457" spans="1:8" ht="15">
      <c r="A1457"/>
      <c r="B1457"/>
      <c r="C1457"/>
      <c r="D1457"/>
      <c r="E1457"/>
      <c r="F1457"/>
      <c r="G1457"/>
      <c r="H1457"/>
    </row>
    <row r="1458" spans="1:8" ht="15">
      <c r="A1458"/>
      <c r="B1458"/>
      <c r="C1458"/>
      <c r="D1458"/>
      <c r="E1458"/>
      <c r="F1458"/>
      <c r="G1458"/>
      <c r="H1458"/>
    </row>
    <row r="1459" spans="1:8" ht="15">
      <c r="A1459"/>
      <c r="B1459"/>
      <c r="C1459"/>
      <c r="D1459"/>
      <c r="E1459"/>
      <c r="F1459"/>
      <c r="G1459"/>
      <c r="H1459"/>
    </row>
    <row r="1460" spans="1:8" ht="15">
      <c r="A1460"/>
      <c r="B1460"/>
      <c r="C1460"/>
      <c r="D1460"/>
      <c r="E1460"/>
      <c r="F1460"/>
      <c r="G1460"/>
      <c r="H1460"/>
    </row>
    <row r="1461" spans="1:8" ht="15">
      <c r="A1461"/>
      <c r="B1461"/>
      <c r="C1461"/>
      <c r="D1461"/>
      <c r="E1461"/>
      <c r="F1461"/>
      <c r="G1461"/>
      <c r="H1461"/>
    </row>
    <row r="1462" spans="1:8" ht="15">
      <c r="A1462"/>
      <c r="B1462"/>
      <c r="C1462"/>
      <c r="D1462"/>
      <c r="E1462"/>
      <c r="F1462"/>
      <c r="G1462"/>
      <c r="H1462"/>
    </row>
    <row r="1463" spans="1:8" ht="15">
      <c r="A1463"/>
      <c r="B1463"/>
      <c r="C1463"/>
      <c r="D1463"/>
      <c r="E1463"/>
      <c r="F1463"/>
      <c r="G1463"/>
      <c r="H1463"/>
    </row>
    <row r="1464" spans="1:8" ht="15">
      <c r="A1464"/>
      <c r="B1464"/>
      <c r="C1464"/>
      <c r="D1464"/>
      <c r="E1464"/>
      <c r="F1464"/>
      <c r="G1464"/>
      <c r="H1464"/>
    </row>
    <row r="1465" spans="1:8" ht="15">
      <c r="A1465"/>
      <c r="B1465"/>
      <c r="C1465"/>
      <c r="D1465"/>
      <c r="E1465"/>
      <c r="F1465"/>
      <c r="G1465"/>
      <c r="H1465"/>
    </row>
    <row r="1466" spans="1:8" ht="15">
      <c r="A1466"/>
      <c r="B1466"/>
      <c r="C1466"/>
      <c r="D1466"/>
      <c r="E1466"/>
      <c r="F1466"/>
      <c r="G1466"/>
      <c r="H1466"/>
    </row>
    <row r="1467" spans="1:8" ht="15">
      <c r="A1467"/>
      <c r="B1467"/>
      <c r="C1467"/>
      <c r="D1467"/>
      <c r="E1467"/>
      <c r="F1467"/>
      <c r="G1467"/>
      <c r="H1467"/>
    </row>
    <row r="1468" spans="1:8" ht="15">
      <c r="A1468"/>
      <c r="B1468"/>
      <c r="C1468"/>
      <c r="D1468"/>
      <c r="E1468"/>
      <c r="F1468"/>
      <c r="G1468"/>
      <c r="H1468"/>
    </row>
    <row r="1469" spans="1:8" ht="15">
      <c r="A1469"/>
      <c r="B1469"/>
      <c r="C1469"/>
      <c r="D1469"/>
      <c r="E1469"/>
      <c r="F1469"/>
      <c r="G1469"/>
      <c r="H1469"/>
    </row>
    <row r="1470" spans="1:8" ht="15">
      <c r="A1470"/>
      <c r="B1470"/>
      <c r="C1470"/>
      <c r="D1470"/>
      <c r="E1470"/>
      <c r="F1470"/>
      <c r="G1470"/>
      <c r="H1470"/>
    </row>
    <row r="1471" spans="1:8" ht="15">
      <c r="A1471"/>
      <c r="B1471"/>
      <c r="C1471"/>
      <c r="D1471"/>
      <c r="E1471"/>
      <c r="F1471"/>
      <c r="G1471"/>
      <c r="H1471"/>
    </row>
    <row r="1472" spans="1:8" ht="15">
      <c r="A1472"/>
      <c r="B1472"/>
      <c r="C1472"/>
      <c r="D1472"/>
      <c r="E1472"/>
      <c r="F1472"/>
      <c r="G1472"/>
      <c r="H1472"/>
    </row>
    <row r="1473" spans="1:8" ht="15">
      <c r="A1473"/>
      <c r="B1473"/>
      <c r="C1473"/>
      <c r="D1473"/>
      <c r="E1473"/>
      <c r="F1473"/>
      <c r="G1473"/>
      <c r="H1473"/>
    </row>
    <row r="1474" spans="1:8" ht="15">
      <c r="A1474"/>
      <c r="B1474"/>
      <c r="C1474"/>
      <c r="D1474"/>
      <c r="E1474"/>
      <c r="F1474"/>
      <c r="G1474"/>
      <c r="H1474"/>
    </row>
    <row r="1475" spans="1:8" ht="15">
      <c r="A1475"/>
      <c r="B1475"/>
      <c r="C1475"/>
      <c r="D1475"/>
      <c r="E1475"/>
      <c r="F1475"/>
      <c r="G1475"/>
      <c r="H1475"/>
    </row>
    <row r="1476" spans="1:8" ht="15">
      <c r="A1476"/>
      <c r="B1476"/>
      <c r="C1476"/>
      <c r="D1476"/>
      <c r="E1476"/>
      <c r="F1476"/>
      <c r="G1476"/>
      <c r="H1476"/>
    </row>
    <row r="1477" spans="1:8" ht="15">
      <c r="A1477"/>
      <c r="B1477"/>
      <c r="C1477"/>
      <c r="D1477"/>
      <c r="E1477"/>
      <c r="F1477"/>
      <c r="G1477"/>
      <c r="H1477"/>
    </row>
    <row r="1478" spans="1:8" ht="15">
      <c r="A1478"/>
      <c r="B1478"/>
      <c r="C1478"/>
      <c r="D1478"/>
      <c r="E1478"/>
      <c r="F1478"/>
      <c r="G1478"/>
      <c r="H1478"/>
    </row>
    <row r="1479" spans="1:8" ht="15">
      <c r="A1479"/>
      <c r="B1479"/>
      <c r="C1479"/>
      <c r="D1479"/>
      <c r="E1479"/>
      <c r="F1479"/>
      <c r="G1479"/>
      <c r="H1479"/>
    </row>
    <row r="1480" spans="1:8" ht="15">
      <c r="A1480"/>
      <c r="B1480"/>
      <c r="C1480"/>
      <c r="D1480"/>
      <c r="E1480"/>
      <c r="F1480"/>
      <c r="G1480"/>
      <c r="H1480"/>
    </row>
    <row r="1481" spans="1:8" ht="15">
      <c r="A1481"/>
      <c r="B1481"/>
      <c r="C1481"/>
      <c r="D1481"/>
      <c r="E1481"/>
      <c r="F1481"/>
      <c r="G1481"/>
      <c r="H1481"/>
    </row>
    <row r="1482" spans="1:8" ht="15">
      <c r="A1482"/>
      <c r="B1482"/>
      <c r="C1482"/>
      <c r="D1482"/>
      <c r="E1482"/>
      <c r="F1482"/>
      <c r="G1482"/>
      <c r="H1482"/>
    </row>
    <row r="1483" spans="1:8" ht="15">
      <c r="A1483"/>
      <c r="B1483"/>
      <c r="C1483"/>
      <c r="D1483"/>
      <c r="E1483"/>
      <c r="F1483"/>
      <c r="G1483"/>
      <c r="H1483"/>
    </row>
    <row r="1484" spans="1:8" ht="15">
      <c r="A1484"/>
      <c r="B1484"/>
      <c r="C1484"/>
      <c r="D1484"/>
      <c r="E1484"/>
      <c r="F1484"/>
      <c r="G1484"/>
      <c r="H1484"/>
    </row>
    <row r="1485" spans="1:8" ht="15">
      <c r="A1485"/>
      <c r="B1485"/>
      <c r="C1485"/>
      <c r="D1485"/>
      <c r="E1485"/>
      <c r="F1485"/>
      <c r="G1485"/>
      <c r="H1485"/>
    </row>
    <row r="1486" spans="1:8" ht="15">
      <c r="A1486"/>
      <c r="B1486"/>
      <c r="C1486"/>
      <c r="D1486"/>
      <c r="E1486"/>
      <c r="F1486"/>
      <c r="G1486"/>
      <c r="H1486"/>
    </row>
    <row r="1487" spans="1:8" ht="15">
      <c r="A1487"/>
      <c r="B1487"/>
      <c r="C1487"/>
      <c r="D1487"/>
      <c r="E1487"/>
      <c r="F1487"/>
      <c r="G1487"/>
      <c r="H1487"/>
    </row>
    <row r="1488" spans="1:8" ht="15">
      <c r="A1488"/>
      <c r="B1488"/>
      <c r="C1488"/>
      <c r="D1488"/>
      <c r="E1488"/>
      <c r="F1488"/>
      <c r="G1488"/>
      <c r="H1488"/>
    </row>
    <row r="1489" spans="1:8" ht="15">
      <c r="A1489"/>
      <c r="B1489"/>
      <c r="C1489"/>
      <c r="D1489"/>
      <c r="E1489"/>
      <c r="F1489"/>
      <c r="G1489"/>
      <c r="H1489"/>
    </row>
    <row r="1490" spans="1:8" ht="15">
      <c r="A1490"/>
      <c r="B1490"/>
      <c r="C1490"/>
      <c r="D1490"/>
      <c r="E1490"/>
      <c r="F1490"/>
      <c r="G1490"/>
      <c r="H1490"/>
    </row>
    <row r="1491" spans="1:8" ht="15">
      <c r="A1491"/>
      <c r="B1491"/>
      <c r="C1491"/>
      <c r="D1491"/>
      <c r="E1491"/>
      <c r="F1491"/>
      <c r="G1491"/>
      <c r="H1491"/>
    </row>
    <row r="1492" spans="1:8" ht="15">
      <c r="A1492"/>
      <c r="B1492"/>
      <c r="C1492"/>
      <c r="D1492"/>
      <c r="E1492"/>
      <c r="F1492"/>
      <c r="G1492"/>
      <c r="H1492"/>
    </row>
    <row r="1493" spans="1:8" ht="15">
      <c r="A1493"/>
      <c r="B1493"/>
      <c r="C1493"/>
      <c r="D1493"/>
      <c r="E1493"/>
      <c r="F1493"/>
      <c r="G1493"/>
      <c r="H1493"/>
    </row>
    <row r="1494" spans="1:8" ht="15">
      <c r="A1494"/>
      <c r="B1494"/>
      <c r="C1494"/>
      <c r="D1494"/>
      <c r="E1494"/>
      <c r="F1494"/>
      <c r="G1494"/>
      <c r="H1494"/>
    </row>
    <row r="1495" spans="1:8" ht="15">
      <c r="A1495"/>
      <c r="B1495"/>
      <c r="C1495"/>
      <c r="D1495"/>
      <c r="E1495"/>
      <c r="F1495"/>
      <c r="G1495"/>
      <c r="H1495"/>
    </row>
    <row r="1496" spans="1:8" ht="15">
      <c r="A1496"/>
      <c r="B1496"/>
      <c r="C1496"/>
      <c r="D1496"/>
      <c r="E1496"/>
      <c r="F1496"/>
      <c r="G1496"/>
      <c r="H1496"/>
    </row>
    <row r="1497" spans="1:8" ht="15">
      <c r="A1497"/>
      <c r="B1497"/>
      <c r="C1497"/>
      <c r="D1497"/>
      <c r="E1497"/>
      <c r="F1497"/>
      <c r="G1497"/>
      <c r="H1497"/>
    </row>
    <row r="1498" spans="1:8" ht="15">
      <c r="A1498"/>
      <c r="B1498"/>
      <c r="C1498"/>
      <c r="D1498"/>
      <c r="E1498"/>
      <c r="F1498"/>
      <c r="G1498"/>
      <c r="H1498"/>
    </row>
    <row r="1499" spans="1:8" ht="15">
      <c r="A1499"/>
      <c r="B1499"/>
      <c r="C1499"/>
      <c r="D1499"/>
      <c r="E1499"/>
      <c r="F1499"/>
      <c r="G1499"/>
      <c r="H1499"/>
    </row>
    <row r="1500" spans="1:8" ht="15">
      <c r="A1500"/>
      <c r="B1500"/>
      <c r="C1500"/>
      <c r="D1500"/>
      <c r="E1500"/>
      <c r="F1500"/>
      <c r="G1500"/>
      <c r="H1500"/>
    </row>
    <row r="1501" spans="1:8" ht="15">
      <c r="A1501"/>
      <c r="B1501"/>
      <c r="C1501"/>
      <c r="D1501"/>
      <c r="E1501"/>
      <c r="F1501"/>
      <c r="G1501"/>
      <c r="H1501"/>
    </row>
    <row r="1502" spans="1:8" ht="15">
      <c r="A1502"/>
      <c r="B1502"/>
      <c r="C1502"/>
      <c r="D1502"/>
      <c r="E1502"/>
      <c r="F1502"/>
      <c r="G1502"/>
      <c r="H1502"/>
    </row>
    <row r="1503" spans="1:8" ht="15">
      <c r="A1503"/>
      <c r="B1503"/>
      <c r="C1503"/>
      <c r="D1503"/>
      <c r="E1503"/>
      <c r="F1503"/>
      <c r="G1503"/>
      <c r="H1503"/>
    </row>
    <row r="1504" spans="1:8" ht="15">
      <c r="A1504"/>
      <c r="B1504"/>
      <c r="C1504"/>
      <c r="D1504"/>
      <c r="E1504"/>
      <c r="F1504"/>
      <c r="G1504"/>
      <c r="H1504"/>
    </row>
    <row r="1505" spans="1:8" ht="15">
      <c r="A1505"/>
      <c r="B1505"/>
      <c r="C1505"/>
      <c r="D1505"/>
      <c r="E1505"/>
      <c r="F1505"/>
      <c r="G1505"/>
      <c r="H1505"/>
    </row>
    <row r="1506" spans="1:8" ht="15">
      <c r="A1506"/>
      <c r="B1506"/>
      <c r="C1506"/>
      <c r="D1506"/>
      <c r="E1506"/>
      <c r="F1506"/>
      <c r="G1506"/>
      <c r="H1506"/>
    </row>
    <row r="1507" spans="1:8" ht="15">
      <c r="A1507"/>
      <c r="B1507"/>
      <c r="C1507"/>
      <c r="D1507"/>
      <c r="E1507"/>
      <c r="F1507"/>
      <c r="G1507"/>
      <c r="H1507"/>
    </row>
    <row r="1508" spans="1:8" ht="15">
      <c r="A1508"/>
      <c r="B1508"/>
      <c r="C1508"/>
      <c r="D1508"/>
      <c r="E1508"/>
      <c r="F1508"/>
      <c r="G1508"/>
      <c r="H1508"/>
    </row>
    <row r="1509" spans="1:8" ht="15">
      <c r="A1509"/>
      <c r="B1509"/>
      <c r="C1509"/>
      <c r="D1509"/>
      <c r="E1509"/>
      <c r="F1509"/>
      <c r="G1509"/>
      <c r="H1509"/>
    </row>
    <row r="1510" spans="1:8" ht="15">
      <c r="A1510"/>
      <c r="B1510"/>
      <c r="C1510"/>
      <c r="D1510"/>
      <c r="E1510"/>
      <c r="F1510"/>
      <c r="G1510"/>
      <c r="H1510"/>
    </row>
    <row r="1511" spans="1:8" ht="15">
      <c r="A1511"/>
      <c r="B1511"/>
      <c r="C1511"/>
      <c r="D1511"/>
      <c r="E1511"/>
      <c r="F1511"/>
      <c r="G1511"/>
      <c r="H1511"/>
    </row>
    <row r="1512" spans="1:8" ht="15">
      <c r="A1512"/>
      <c r="B1512"/>
      <c r="C1512"/>
      <c r="D1512"/>
      <c r="E1512"/>
      <c r="F1512"/>
      <c r="G1512"/>
      <c r="H1512"/>
    </row>
    <row r="1513" spans="1:8" ht="15">
      <c r="A1513"/>
      <c r="B1513"/>
      <c r="C1513"/>
      <c r="D1513"/>
      <c r="E1513"/>
      <c r="F1513"/>
      <c r="G1513"/>
      <c r="H1513"/>
    </row>
    <row r="1514" spans="1:8" ht="15">
      <c r="A1514"/>
      <c r="B1514"/>
      <c r="C1514"/>
      <c r="D1514"/>
      <c r="E1514"/>
      <c r="F1514"/>
      <c r="G1514"/>
      <c r="H1514"/>
    </row>
    <row r="1515" spans="1:8" ht="15">
      <c r="A1515"/>
      <c r="B1515"/>
      <c r="C1515"/>
      <c r="D1515"/>
      <c r="E1515"/>
      <c r="F1515"/>
      <c r="G1515"/>
      <c r="H1515"/>
    </row>
    <row r="1516" spans="1:8" ht="15">
      <c r="A1516"/>
      <c r="B1516"/>
      <c r="C1516"/>
      <c r="D1516"/>
      <c r="E1516"/>
      <c r="F1516"/>
      <c r="G1516"/>
      <c r="H1516"/>
    </row>
    <row r="1517" spans="1:8" ht="15">
      <c r="A1517"/>
      <c r="B1517"/>
      <c r="C1517"/>
      <c r="D1517"/>
      <c r="E1517"/>
      <c r="F1517"/>
      <c r="G1517"/>
      <c r="H1517"/>
    </row>
    <row r="1518" spans="1:8" ht="15">
      <c r="A1518"/>
      <c r="B1518"/>
      <c r="C1518"/>
      <c r="D1518"/>
      <c r="E1518"/>
      <c r="F1518"/>
      <c r="G1518"/>
      <c r="H1518"/>
    </row>
    <row r="1519" spans="1:8" ht="15">
      <c r="A1519"/>
      <c r="B1519"/>
      <c r="C1519"/>
      <c r="D1519"/>
      <c r="E1519"/>
      <c r="F1519"/>
      <c r="G1519"/>
      <c r="H1519"/>
    </row>
    <row r="1520" spans="1:8" ht="15">
      <c r="A1520"/>
      <c r="B1520"/>
      <c r="C1520"/>
      <c r="D1520"/>
      <c r="E1520"/>
      <c r="F1520"/>
      <c r="G1520"/>
      <c r="H1520"/>
    </row>
    <row r="1521" spans="1:8" ht="15">
      <c r="A1521"/>
      <c r="B1521"/>
      <c r="C1521"/>
      <c r="D1521"/>
      <c r="E1521"/>
      <c r="F1521"/>
      <c r="G1521"/>
      <c r="H1521"/>
    </row>
    <row r="1522" spans="1:8" ht="15">
      <c r="A1522"/>
      <c r="B1522"/>
      <c r="C1522"/>
      <c r="D1522"/>
      <c r="E1522"/>
      <c r="F1522"/>
      <c r="G1522"/>
      <c r="H1522"/>
    </row>
    <row r="1523" spans="1:8" ht="15">
      <c r="A1523"/>
      <c r="B1523"/>
      <c r="C1523"/>
      <c r="D1523"/>
      <c r="E1523"/>
      <c r="F1523"/>
      <c r="G1523"/>
      <c r="H1523"/>
    </row>
    <row r="1524" spans="1:8" ht="15">
      <c r="A1524"/>
      <c r="B1524"/>
      <c r="C1524"/>
      <c r="D1524"/>
      <c r="E1524"/>
      <c r="F1524"/>
      <c r="G1524"/>
      <c r="H1524"/>
    </row>
    <row r="1525" spans="1:8" ht="15">
      <c r="A1525"/>
      <c r="B1525"/>
      <c r="C1525"/>
      <c r="D1525"/>
      <c r="E1525"/>
      <c r="F1525"/>
      <c r="G1525"/>
      <c r="H1525"/>
    </row>
    <row r="1526" spans="1:8" ht="15">
      <c r="A1526"/>
      <c r="B1526"/>
      <c r="C1526"/>
      <c r="D1526"/>
      <c r="E1526"/>
      <c r="F1526"/>
      <c r="G1526"/>
      <c r="H1526"/>
    </row>
    <row r="1527" spans="1:8" ht="15">
      <c r="A1527"/>
      <c r="B1527"/>
      <c r="C1527"/>
      <c r="D1527"/>
      <c r="E1527"/>
      <c r="F1527"/>
      <c r="G1527"/>
      <c r="H1527"/>
    </row>
    <row r="1528" spans="1:8" ht="15">
      <c r="A1528"/>
      <c r="B1528"/>
      <c r="C1528"/>
      <c r="D1528"/>
      <c r="E1528"/>
      <c r="F1528"/>
      <c r="G1528"/>
      <c r="H1528"/>
    </row>
    <row r="1529" spans="1:8" ht="15">
      <c r="A1529"/>
      <c r="B1529"/>
      <c r="C1529"/>
      <c r="D1529"/>
      <c r="E1529"/>
      <c r="F1529"/>
      <c r="G1529"/>
      <c r="H1529"/>
    </row>
    <row r="1530" spans="1:8" ht="15">
      <c r="A1530"/>
      <c r="B1530"/>
      <c r="C1530"/>
      <c r="D1530"/>
      <c r="E1530"/>
      <c r="F1530"/>
      <c r="G1530"/>
      <c r="H1530"/>
    </row>
    <row r="1531" spans="1:8" ht="15">
      <c r="A1531"/>
      <c r="B1531"/>
      <c r="C1531"/>
      <c r="D1531"/>
      <c r="E1531"/>
      <c r="F1531"/>
      <c r="G1531"/>
      <c r="H1531"/>
    </row>
    <row r="1532" spans="1:8" ht="15">
      <c r="A1532"/>
      <c r="B1532"/>
      <c r="C1532"/>
      <c r="D1532"/>
      <c r="E1532"/>
      <c r="F1532"/>
      <c r="G1532"/>
      <c r="H1532"/>
    </row>
    <row r="1533" spans="1:8" ht="15">
      <c r="A1533"/>
      <c r="B1533"/>
      <c r="C1533"/>
      <c r="D1533"/>
      <c r="E1533"/>
      <c r="F1533"/>
      <c r="G1533"/>
      <c r="H1533"/>
    </row>
    <row r="1534" spans="1:8" ht="15">
      <c r="A1534"/>
      <c r="B1534"/>
      <c r="C1534"/>
      <c r="D1534"/>
      <c r="E1534"/>
      <c r="F1534"/>
      <c r="G1534"/>
      <c r="H1534"/>
    </row>
    <row r="1535" spans="1:8" ht="15">
      <c r="A1535"/>
      <c r="B1535"/>
      <c r="C1535"/>
      <c r="D1535"/>
      <c r="E1535"/>
      <c r="F1535"/>
      <c r="G1535"/>
      <c r="H1535"/>
    </row>
    <row r="1536" spans="1:8" ht="15">
      <c r="A1536"/>
      <c r="B1536"/>
      <c r="C1536"/>
      <c r="D1536"/>
      <c r="E1536"/>
      <c r="F1536"/>
      <c r="G1536"/>
      <c r="H1536"/>
    </row>
    <row r="1537" spans="1:8" ht="15">
      <c r="A1537"/>
      <c r="B1537"/>
      <c r="C1537"/>
      <c r="D1537"/>
      <c r="E1537"/>
      <c r="F1537"/>
      <c r="G1537"/>
      <c r="H1537"/>
    </row>
    <row r="1538" spans="1:8" ht="15">
      <c r="A1538"/>
      <c r="B1538"/>
      <c r="C1538"/>
      <c r="D1538"/>
      <c r="E1538"/>
      <c r="F1538"/>
      <c r="G1538"/>
      <c r="H1538"/>
    </row>
    <row r="1539" spans="1:8" ht="15">
      <c r="A1539"/>
      <c r="B1539"/>
      <c r="C1539"/>
      <c r="D1539"/>
      <c r="E1539"/>
      <c r="F1539"/>
      <c r="G1539"/>
      <c r="H1539"/>
    </row>
    <row r="1540" spans="1:8" ht="15">
      <c r="A1540"/>
      <c r="B1540"/>
      <c r="C1540"/>
      <c r="D1540"/>
      <c r="E1540"/>
      <c r="F1540"/>
      <c r="G1540"/>
      <c r="H1540"/>
    </row>
    <row r="1541" spans="1:8" ht="15">
      <c r="A1541"/>
      <c r="B1541"/>
      <c r="C1541"/>
      <c r="D1541"/>
      <c r="E1541"/>
      <c r="F1541"/>
      <c r="G1541"/>
      <c r="H1541"/>
    </row>
    <row r="1542" spans="1:8" ht="15">
      <c r="A1542"/>
      <c r="B1542"/>
      <c r="C1542"/>
      <c r="D1542"/>
      <c r="E1542"/>
      <c r="F1542"/>
      <c r="G1542"/>
      <c r="H1542"/>
    </row>
    <row r="1543" spans="1:8" ht="15">
      <c r="A1543"/>
      <c r="B1543"/>
      <c r="C1543"/>
      <c r="D1543"/>
      <c r="E1543"/>
      <c r="F1543"/>
      <c r="G1543"/>
      <c r="H1543"/>
    </row>
    <row r="1544" spans="1:8" ht="15">
      <c r="A1544"/>
      <c r="B1544"/>
      <c r="C1544"/>
      <c r="D1544"/>
      <c r="E1544"/>
      <c r="F1544"/>
      <c r="G1544"/>
      <c r="H1544"/>
    </row>
    <row r="1545" spans="1:8" ht="15">
      <c r="A1545"/>
      <c r="B1545"/>
      <c r="C1545"/>
      <c r="D1545"/>
      <c r="E1545"/>
      <c r="F1545"/>
      <c r="G1545"/>
      <c r="H1545"/>
    </row>
    <row r="1546" spans="1:8" ht="15">
      <c r="A1546"/>
      <c r="B1546"/>
      <c r="C1546"/>
      <c r="D1546"/>
      <c r="E1546"/>
      <c r="F1546"/>
      <c r="G1546"/>
      <c r="H1546"/>
    </row>
    <row r="1547" spans="1:8" ht="15">
      <c r="A1547"/>
      <c r="B1547"/>
      <c r="C1547"/>
      <c r="D1547"/>
      <c r="E1547"/>
      <c r="F1547"/>
      <c r="G1547"/>
      <c r="H1547"/>
    </row>
    <row r="1548" spans="1:8" ht="15">
      <c r="A1548"/>
      <c r="B1548"/>
      <c r="C1548"/>
      <c r="D1548"/>
      <c r="E1548"/>
      <c r="F1548"/>
      <c r="G1548"/>
      <c r="H1548"/>
    </row>
    <row r="1549" spans="1:8" ht="15">
      <c r="A1549"/>
      <c r="B1549"/>
      <c r="C1549"/>
      <c r="D1549"/>
      <c r="E1549"/>
      <c r="F1549"/>
      <c r="G1549"/>
      <c r="H1549"/>
    </row>
    <row r="1550" spans="1:8" ht="15">
      <c r="A1550"/>
      <c r="B1550"/>
      <c r="C1550"/>
      <c r="D1550"/>
      <c r="E1550"/>
      <c r="F1550"/>
      <c r="G1550"/>
      <c r="H1550"/>
    </row>
    <row r="1551" spans="1:8" ht="15">
      <c r="A1551"/>
      <c r="B1551"/>
      <c r="C1551"/>
      <c r="D1551"/>
      <c r="E1551"/>
      <c r="F1551"/>
      <c r="G1551"/>
      <c r="H1551"/>
    </row>
    <row r="1552" spans="1:8" ht="15">
      <c r="A1552"/>
      <c r="B1552"/>
      <c r="C1552"/>
      <c r="D1552"/>
      <c r="E1552"/>
      <c r="F1552"/>
      <c r="G1552"/>
      <c r="H1552"/>
    </row>
    <row r="1553" spans="1:8" ht="15">
      <c r="A1553"/>
      <c r="B1553"/>
      <c r="C1553"/>
      <c r="D1553"/>
      <c r="E1553"/>
      <c r="F1553"/>
      <c r="G1553"/>
      <c r="H1553"/>
    </row>
    <row r="1554" spans="1:8" ht="15">
      <c r="A1554"/>
      <c r="B1554"/>
      <c r="C1554"/>
      <c r="D1554"/>
      <c r="E1554"/>
      <c r="F1554"/>
      <c r="G1554"/>
      <c r="H1554"/>
    </row>
    <row r="1555" spans="1:8" ht="15">
      <c r="A1555"/>
      <c r="B1555"/>
      <c r="C1555"/>
      <c r="D1555"/>
      <c r="E1555"/>
      <c r="F1555"/>
      <c r="G1555"/>
      <c r="H1555"/>
    </row>
    <row r="1556" spans="1:8" ht="15">
      <c r="A1556"/>
      <c r="B1556"/>
      <c r="C1556"/>
      <c r="D1556"/>
      <c r="E1556"/>
      <c r="F1556"/>
      <c r="G1556"/>
      <c r="H1556"/>
    </row>
    <row r="1557" spans="1:8" ht="15">
      <c r="A1557"/>
      <c r="B1557"/>
      <c r="C1557"/>
      <c r="D1557"/>
      <c r="E1557"/>
      <c r="F1557"/>
      <c r="G1557"/>
      <c r="H1557"/>
    </row>
    <row r="1558" spans="1:8" ht="15">
      <c r="A1558"/>
      <c r="B1558"/>
      <c r="C1558"/>
      <c r="D1558"/>
      <c r="E1558"/>
      <c r="F1558"/>
      <c r="G1558"/>
      <c r="H1558"/>
    </row>
    <row r="1559" spans="1:8" ht="15">
      <c r="A1559"/>
      <c r="B1559"/>
      <c r="C1559"/>
      <c r="D1559"/>
      <c r="E1559"/>
      <c r="F1559"/>
      <c r="G1559"/>
      <c r="H1559"/>
    </row>
    <row r="1560" spans="1:8" ht="15">
      <c r="A1560"/>
      <c r="B1560"/>
      <c r="C1560"/>
      <c r="D1560"/>
      <c r="E1560"/>
      <c r="F1560"/>
      <c r="G1560"/>
      <c r="H1560"/>
    </row>
    <row r="1561" spans="1:8" ht="15">
      <c r="A1561"/>
      <c r="B1561"/>
      <c r="C1561"/>
      <c r="D1561"/>
      <c r="E1561"/>
      <c r="F1561"/>
      <c r="G1561"/>
      <c r="H1561"/>
    </row>
    <row r="1562" spans="1:8" ht="15">
      <c r="A1562"/>
      <c r="B1562"/>
      <c r="C1562"/>
      <c r="D1562"/>
      <c r="E1562"/>
      <c r="F1562"/>
      <c r="G1562"/>
      <c r="H1562"/>
    </row>
    <row r="1563" spans="1:8" ht="15">
      <c r="A1563"/>
      <c r="B1563"/>
      <c r="C1563"/>
      <c r="D1563"/>
      <c r="E1563"/>
      <c r="F1563"/>
      <c r="G1563"/>
      <c r="H1563"/>
    </row>
    <row r="1564" spans="1:8" ht="15">
      <c r="A1564"/>
      <c r="B1564"/>
      <c r="C1564"/>
      <c r="D1564"/>
      <c r="E1564"/>
      <c r="F1564"/>
      <c r="G1564"/>
      <c r="H1564"/>
    </row>
    <row r="1565" spans="1:8" ht="15">
      <c r="A1565"/>
      <c r="B1565"/>
      <c r="C1565"/>
      <c r="D1565"/>
      <c r="E1565"/>
      <c r="F1565"/>
      <c r="G1565"/>
      <c r="H1565"/>
    </row>
    <row r="1566" spans="1:8" ht="15">
      <c r="A1566"/>
      <c r="B1566"/>
      <c r="C1566"/>
      <c r="D1566"/>
      <c r="E1566"/>
      <c r="F1566"/>
      <c r="G1566"/>
      <c r="H1566"/>
    </row>
    <row r="1567" spans="1:8" ht="15">
      <c r="A1567"/>
      <c r="B1567"/>
      <c r="C1567"/>
      <c r="D1567"/>
      <c r="E1567"/>
      <c r="F1567"/>
      <c r="G1567"/>
      <c r="H1567"/>
    </row>
    <row r="1568" spans="1:8" ht="15">
      <c r="A1568"/>
      <c r="B1568"/>
      <c r="C1568"/>
      <c r="D1568"/>
      <c r="E1568"/>
      <c r="F1568"/>
      <c r="G1568"/>
      <c r="H1568"/>
    </row>
    <row r="1569" spans="1:8" ht="15">
      <c r="A1569"/>
      <c r="B1569"/>
      <c r="C1569"/>
      <c r="D1569"/>
      <c r="E1569"/>
      <c r="F1569"/>
      <c r="G1569"/>
      <c r="H1569"/>
    </row>
    <row r="1570" spans="1:8" ht="15">
      <c r="A1570"/>
      <c r="B1570"/>
      <c r="C1570"/>
      <c r="D1570"/>
      <c r="E1570"/>
      <c r="F1570"/>
      <c r="G1570"/>
      <c r="H1570"/>
    </row>
    <row r="1571" spans="1:8" ht="15">
      <c r="A1571"/>
      <c r="B1571"/>
      <c r="C1571"/>
      <c r="D1571"/>
      <c r="E1571"/>
      <c r="F1571"/>
      <c r="G1571"/>
      <c r="H1571"/>
    </row>
    <row r="1572" spans="1:8" ht="15">
      <c r="A1572"/>
      <c r="B1572"/>
      <c r="C1572"/>
      <c r="D1572"/>
      <c r="E1572"/>
      <c r="F1572"/>
      <c r="G1572"/>
      <c r="H1572"/>
    </row>
    <row r="1573" spans="1:8" ht="15">
      <c r="A1573"/>
      <c r="B1573"/>
      <c r="C1573"/>
      <c r="D1573"/>
      <c r="E1573"/>
      <c r="F1573"/>
      <c r="G1573"/>
      <c r="H1573"/>
    </row>
    <row r="1574" spans="1:8" ht="15">
      <c r="A1574"/>
      <c r="B1574"/>
      <c r="C1574"/>
      <c r="D1574"/>
      <c r="E1574"/>
      <c r="F1574"/>
      <c r="G1574"/>
      <c r="H1574"/>
    </row>
    <row r="1575" spans="1:8" ht="15">
      <c r="A1575"/>
      <c r="B1575"/>
      <c r="C1575"/>
      <c r="D1575"/>
      <c r="E1575"/>
      <c r="F1575"/>
      <c r="G1575"/>
      <c r="H1575"/>
    </row>
    <row r="1576" spans="1:8" ht="15">
      <c r="A1576"/>
      <c r="B1576"/>
      <c r="C1576"/>
      <c r="D1576"/>
      <c r="E1576"/>
      <c r="F1576"/>
      <c r="G1576"/>
      <c r="H1576"/>
    </row>
    <row r="1577" spans="1:8" ht="15">
      <c r="A1577"/>
      <c r="B1577"/>
      <c r="C1577"/>
      <c r="D1577"/>
      <c r="E1577"/>
      <c r="F1577"/>
      <c r="G1577"/>
      <c r="H1577"/>
    </row>
    <row r="1578" spans="1:8" ht="15">
      <c r="A1578"/>
      <c r="B1578"/>
      <c r="C1578"/>
      <c r="D1578"/>
      <c r="E1578"/>
      <c r="F1578"/>
      <c r="G1578"/>
      <c r="H1578"/>
    </row>
    <row r="1579" spans="1:8" ht="15">
      <c r="A1579"/>
      <c r="B1579"/>
      <c r="C1579"/>
      <c r="D1579"/>
      <c r="E1579"/>
      <c r="F1579"/>
      <c r="G1579"/>
      <c r="H1579"/>
    </row>
    <row r="1580" spans="1:8" ht="15">
      <c r="A1580"/>
      <c r="B1580"/>
      <c r="C1580"/>
      <c r="D1580"/>
      <c r="E1580"/>
      <c r="F1580"/>
      <c r="G1580"/>
      <c r="H1580"/>
    </row>
    <row r="1581" spans="1:8" ht="15">
      <c r="A1581"/>
      <c r="B1581"/>
      <c r="C1581"/>
      <c r="D1581"/>
      <c r="E1581"/>
      <c r="F1581"/>
      <c r="G1581"/>
      <c r="H1581"/>
    </row>
    <row r="1582" spans="1:8" ht="15">
      <c r="A1582"/>
      <c r="B1582"/>
      <c r="C1582"/>
      <c r="D1582"/>
      <c r="E1582"/>
      <c r="F1582"/>
      <c r="G1582"/>
      <c r="H1582"/>
    </row>
    <row r="1583" spans="1:8" ht="15">
      <c r="A1583"/>
      <c r="B1583"/>
      <c r="C1583"/>
      <c r="D1583"/>
      <c r="E1583"/>
      <c r="F1583"/>
      <c r="G1583"/>
      <c r="H1583"/>
    </row>
    <row r="1584" spans="1:8" ht="15">
      <c r="A1584"/>
      <c r="B1584"/>
      <c r="C1584"/>
      <c r="D1584"/>
      <c r="E1584"/>
      <c r="F1584"/>
      <c r="G1584"/>
      <c r="H1584"/>
    </row>
    <row r="1585" spans="1:8" ht="15">
      <c r="A1585"/>
      <c r="B1585"/>
      <c r="C1585"/>
      <c r="D1585"/>
      <c r="E1585"/>
      <c r="F1585"/>
      <c r="G1585"/>
      <c r="H1585"/>
    </row>
    <row r="1586" spans="1:8" ht="15">
      <c r="A1586"/>
      <c r="B1586"/>
      <c r="C1586"/>
      <c r="D1586"/>
      <c r="E1586"/>
      <c r="F1586"/>
      <c r="G1586"/>
      <c r="H1586"/>
    </row>
    <row r="1587" spans="1:8" ht="15">
      <c r="A1587"/>
      <c r="B1587"/>
      <c r="C1587"/>
      <c r="D1587"/>
      <c r="E1587"/>
      <c r="F1587"/>
      <c r="G1587"/>
      <c r="H1587"/>
    </row>
    <row r="1588" spans="1:8" ht="15">
      <c r="A1588"/>
      <c r="B1588"/>
      <c r="C1588"/>
      <c r="D1588"/>
      <c r="E1588"/>
      <c r="F1588"/>
      <c r="G1588"/>
      <c r="H1588"/>
    </row>
    <row r="1589" spans="1:8" ht="15">
      <c r="A1589"/>
      <c r="B1589"/>
      <c r="C1589"/>
      <c r="D1589"/>
      <c r="E1589"/>
      <c r="F1589"/>
      <c r="G1589"/>
      <c r="H1589"/>
    </row>
    <row r="1590" spans="1:8" ht="15">
      <c r="A1590"/>
      <c r="B1590"/>
      <c r="C1590"/>
      <c r="D1590"/>
      <c r="E1590"/>
      <c r="F1590"/>
      <c r="G1590"/>
      <c r="H1590"/>
    </row>
    <row r="1591" spans="1:8" ht="15">
      <c r="A1591"/>
      <c r="B1591"/>
      <c r="C1591"/>
      <c r="D1591"/>
      <c r="E1591"/>
      <c r="F1591"/>
      <c r="G1591"/>
      <c r="H1591"/>
    </row>
    <row r="1592" spans="1:8" ht="15">
      <c r="A1592"/>
      <c r="B1592"/>
      <c r="C1592"/>
      <c r="D1592"/>
      <c r="E1592"/>
      <c r="F1592"/>
      <c r="G1592"/>
      <c r="H1592"/>
    </row>
    <row r="1593" spans="1:8" ht="15">
      <c r="A1593"/>
      <c r="B1593"/>
      <c r="C1593"/>
      <c r="D1593"/>
      <c r="E1593"/>
      <c r="F1593"/>
      <c r="G1593"/>
      <c r="H1593"/>
    </row>
    <row r="1594" spans="1:8" ht="15">
      <c r="A1594"/>
      <c r="B1594"/>
      <c r="C1594"/>
      <c r="D1594"/>
      <c r="E1594"/>
      <c r="F1594"/>
      <c r="G1594"/>
      <c r="H1594"/>
    </row>
    <row r="1595" spans="1:8" ht="15">
      <c r="A1595"/>
      <c r="B1595"/>
      <c r="C1595"/>
      <c r="D1595"/>
      <c r="E1595"/>
      <c r="F1595"/>
      <c r="G1595"/>
      <c r="H1595"/>
    </row>
    <row r="1596" spans="1:8" ht="15">
      <c r="A1596"/>
      <c r="B1596"/>
      <c r="C1596"/>
      <c r="D1596"/>
      <c r="E1596"/>
      <c r="F1596"/>
      <c r="G1596"/>
      <c r="H1596"/>
    </row>
    <row r="1597" spans="1:8" ht="15">
      <c r="A1597"/>
      <c r="B1597"/>
      <c r="C1597"/>
      <c r="D1597"/>
      <c r="E1597"/>
      <c r="F1597"/>
      <c r="G1597"/>
      <c r="H1597"/>
    </row>
    <row r="1598" spans="1:8" ht="15">
      <c r="A1598"/>
      <c r="B1598"/>
      <c r="C1598"/>
      <c r="D1598"/>
      <c r="E1598"/>
      <c r="F1598"/>
      <c r="G1598"/>
      <c r="H1598"/>
    </row>
    <row r="1599" spans="1:8" ht="15">
      <c r="A1599"/>
      <c r="B1599"/>
      <c r="C1599"/>
      <c r="D1599"/>
      <c r="E1599"/>
      <c r="F1599"/>
      <c r="G1599"/>
      <c r="H1599"/>
    </row>
    <row r="1600" spans="1:8" ht="15">
      <c r="A1600"/>
      <c r="B1600"/>
      <c r="C1600"/>
      <c r="D1600"/>
      <c r="E1600"/>
      <c r="F1600"/>
      <c r="G1600"/>
      <c r="H1600"/>
    </row>
    <row r="1601" spans="1:8" ht="15">
      <c r="A1601"/>
      <c r="B1601"/>
      <c r="C1601"/>
      <c r="D1601"/>
      <c r="E1601"/>
      <c r="F1601"/>
      <c r="G1601"/>
      <c r="H1601"/>
    </row>
    <row r="1602" spans="1:8" ht="15">
      <c r="A1602"/>
      <c r="B1602"/>
      <c r="C1602"/>
      <c r="D1602"/>
      <c r="E1602"/>
      <c r="F1602"/>
      <c r="G1602"/>
      <c r="H1602"/>
    </row>
    <row r="1603" spans="1:8" ht="15">
      <c r="A1603"/>
      <c r="B1603"/>
      <c r="C1603"/>
      <c r="D1603"/>
      <c r="E1603"/>
      <c r="F1603"/>
      <c r="G1603"/>
      <c r="H1603"/>
    </row>
    <row r="1604" spans="1:8" ht="15">
      <c r="A1604"/>
      <c r="B1604"/>
      <c r="C1604"/>
      <c r="D1604"/>
      <c r="E1604"/>
      <c r="F1604"/>
      <c r="G1604"/>
      <c r="H1604"/>
    </row>
    <row r="1605" spans="1:8" ht="15">
      <c r="A1605"/>
      <c r="B1605"/>
      <c r="C1605"/>
      <c r="D1605"/>
      <c r="E1605"/>
      <c r="F1605"/>
      <c r="G1605"/>
      <c r="H1605"/>
    </row>
    <row r="1606" spans="1:8" ht="15">
      <c r="A1606"/>
      <c r="B1606"/>
      <c r="C1606"/>
      <c r="D1606"/>
      <c r="E1606"/>
      <c r="F1606"/>
      <c r="G1606"/>
      <c r="H1606"/>
    </row>
    <row r="1607" spans="1:8" ht="15">
      <c r="A1607"/>
      <c r="B1607"/>
      <c r="C1607"/>
      <c r="D1607"/>
      <c r="E1607"/>
      <c r="F1607"/>
      <c r="G1607"/>
      <c r="H1607"/>
    </row>
    <row r="1608" spans="1:8" ht="15">
      <c r="A1608"/>
      <c r="B1608"/>
      <c r="C1608"/>
      <c r="D1608"/>
      <c r="E1608"/>
      <c r="F1608"/>
      <c r="G1608"/>
      <c r="H1608"/>
    </row>
    <row r="1609" spans="1:8" ht="15">
      <c r="A1609"/>
      <c r="B1609"/>
      <c r="C1609"/>
      <c r="D1609"/>
      <c r="E1609"/>
      <c r="F1609"/>
      <c r="G1609"/>
      <c r="H1609"/>
    </row>
    <row r="1610" spans="1:8" ht="15">
      <c r="A1610"/>
      <c r="B1610"/>
      <c r="C1610"/>
      <c r="D1610"/>
      <c r="E1610"/>
      <c r="F1610"/>
      <c r="G1610"/>
      <c r="H1610"/>
    </row>
    <row r="1611" spans="1:8" ht="15">
      <c r="A1611"/>
      <c r="B1611"/>
      <c r="C1611"/>
      <c r="D1611"/>
      <c r="E1611"/>
      <c r="F1611"/>
      <c r="G1611"/>
      <c r="H1611"/>
    </row>
    <row r="1612" spans="1:8" ht="15">
      <c r="A1612"/>
      <c r="B1612"/>
      <c r="C1612"/>
      <c r="D1612"/>
      <c r="E1612"/>
      <c r="F1612"/>
      <c r="G1612"/>
      <c r="H1612"/>
    </row>
    <row r="1613" spans="1:8" ht="15">
      <c r="A1613"/>
      <c r="B1613"/>
      <c r="C1613"/>
      <c r="D1613"/>
      <c r="E1613"/>
      <c r="F1613"/>
      <c r="G1613"/>
      <c r="H1613"/>
    </row>
    <row r="1614" spans="1:8" ht="15">
      <c r="A1614"/>
      <c r="B1614"/>
      <c r="C1614"/>
      <c r="D1614"/>
      <c r="E1614"/>
      <c r="F1614"/>
      <c r="G1614"/>
      <c r="H1614"/>
    </row>
    <row r="1615" spans="1:8" ht="15">
      <c r="A1615"/>
      <c r="B1615"/>
      <c r="C1615"/>
      <c r="D1615"/>
      <c r="E1615"/>
      <c r="F1615"/>
      <c r="G1615"/>
      <c r="H1615"/>
    </row>
    <row r="1616" spans="1:8" ht="15">
      <c r="A1616"/>
      <c r="B1616"/>
      <c r="C1616"/>
      <c r="D1616"/>
      <c r="E1616"/>
      <c r="F1616"/>
      <c r="G1616"/>
      <c r="H1616"/>
    </row>
    <row r="1617" spans="1:8" ht="15">
      <c r="A1617"/>
      <c r="B1617"/>
      <c r="C1617"/>
      <c r="D1617"/>
      <c r="E1617"/>
      <c r="F1617"/>
      <c r="G1617"/>
      <c r="H1617"/>
    </row>
    <row r="1618" spans="1:8" ht="15">
      <c r="A1618"/>
      <c r="B1618"/>
      <c r="C1618"/>
      <c r="D1618"/>
      <c r="E1618"/>
      <c r="F1618"/>
      <c r="G1618"/>
      <c r="H1618"/>
    </row>
    <row r="1619" spans="1:8" ht="15">
      <c r="A1619"/>
      <c r="B1619"/>
      <c r="C1619"/>
      <c r="D1619"/>
      <c r="E1619"/>
      <c r="F1619"/>
      <c r="G1619"/>
      <c r="H1619"/>
    </row>
    <row r="1620" spans="1:8" ht="15">
      <c r="A1620"/>
      <c r="B1620"/>
      <c r="C1620"/>
      <c r="D1620"/>
      <c r="E1620"/>
      <c r="F1620"/>
      <c r="G1620"/>
      <c r="H1620"/>
    </row>
    <row r="1621" spans="1:8" ht="15">
      <c r="A1621"/>
      <c r="B1621"/>
      <c r="C1621"/>
      <c r="D1621"/>
      <c r="E1621"/>
      <c r="F1621"/>
      <c r="G1621"/>
      <c r="H1621"/>
    </row>
    <row r="1622" spans="1:8" ht="15">
      <c r="A1622"/>
      <c r="B1622"/>
      <c r="C1622"/>
      <c r="D1622"/>
      <c r="E1622"/>
      <c r="F1622"/>
      <c r="G1622"/>
      <c r="H1622"/>
    </row>
    <row r="1623" spans="1:8" ht="15">
      <c r="A1623"/>
      <c r="B1623"/>
      <c r="C1623"/>
      <c r="D1623"/>
      <c r="E1623"/>
      <c r="F1623"/>
      <c r="G1623"/>
      <c r="H1623"/>
    </row>
    <row r="1624" spans="1:8" ht="15">
      <c r="A1624"/>
      <c r="B1624"/>
      <c r="C1624"/>
      <c r="D1624"/>
      <c r="E1624"/>
      <c r="F1624"/>
      <c r="G1624"/>
      <c r="H1624"/>
    </row>
    <row r="1625" spans="1:8" ht="15">
      <c r="A1625"/>
      <c r="B1625"/>
      <c r="C1625"/>
      <c r="D1625"/>
      <c r="E1625"/>
      <c r="F1625"/>
      <c r="G1625"/>
      <c r="H1625"/>
    </row>
    <row r="1626" spans="1:8" ht="15">
      <c r="A1626"/>
      <c r="B1626"/>
      <c r="C1626"/>
      <c r="D1626"/>
      <c r="E1626"/>
      <c r="F1626"/>
      <c r="G1626"/>
      <c r="H1626"/>
    </row>
    <row r="1627" spans="1:8" ht="15">
      <c r="A1627"/>
      <c r="B1627"/>
      <c r="C1627"/>
      <c r="D1627"/>
      <c r="E1627"/>
      <c r="F1627"/>
      <c r="G1627"/>
      <c r="H1627"/>
    </row>
    <row r="1628" spans="1:8" ht="15">
      <c r="A1628"/>
      <c r="B1628"/>
      <c r="C1628"/>
      <c r="D1628"/>
      <c r="E1628"/>
      <c r="F1628"/>
      <c r="G1628"/>
      <c r="H1628"/>
    </row>
    <row r="1629" spans="1:8" ht="15">
      <c r="A1629"/>
      <c r="B1629"/>
      <c r="C1629"/>
      <c r="D1629"/>
      <c r="E1629"/>
      <c r="F1629"/>
      <c r="G1629"/>
      <c r="H1629"/>
    </row>
    <row r="1630" spans="1:8" ht="15">
      <c r="A1630"/>
      <c r="B1630"/>
      <c r="C1630"/>
      <c r="D1630"/>
      <c r="E1630"/>
      <c r="F1630"/>
      <c r="G1630"/>
      <c r="H1630"/>
    </row>
    <row r="1631" spans="1:8" ht="15">
      <c r="A1631"/>
      <c r="B1631"/>
      <c r="C1631"/>
      <c r="D1631"/>
      <c r="E1631"/>
      <c r="F1631"/>
      <c r="G1631"/>
      <c r="H1631"/>
    </row>
    <row r="1632" spans="1:8" ht="15">
      <c r="A1632"/>
      <c r="B1632"/>
      <c r="C1632"/>
      <c r="D1632"/>
      <c r="E1632"/>
      <c r="F1632"/>
      <c r="G1632"/>
      <c r="H1632"/>
    </row>
    <row r="1633" spans="1:8" ht="15">
      <c r="A1633"/>
      <c r="B1633"/>
      <c r="C1633"/>
      <c r="D1633"/>
      <c r="E1633"/>
      <c r="F1633"/>
      <c r="G1633"/>
      <c r="H1633"/>
    </row>
    <row r="1634" spans="1:8" ht="15">
      <c r="A1634"/>
      <c r="B1634"/>
      <c r="C1634"/>
      <c r="D1634"/>
      <c r="E1634"/>
      <c r="F1634"/>
      <c r="G1634"/>
      <c r="H1634"/>
    </row>
    <row r="1635" spans="1:8" ht="15">
      <c r="A1635"/>
      <c r="B1635"/>
      <c r="C1635"/>
      <c r="D1635"/>
      <c r="E1635"/>
      <c r="F1635"/>
      <c r="G1635"/>
      <c r="H1635"/>
    </row>
    <row r="1636" spans="1:8" ht="15">
      <c r="A1636"/>
      <c r="B1636"/>
      <c r="C1636"/>
      <c r="D1636"/>
      <c r="E1636"/>
      <c r="F1636"/>
      <c r="G1636"/>
      <c r="H1636"/>
    </row>
    <row r="1637" spans="1:8" ht="15">
      <c r="A1637"/>
      <c r="B1637"/>
      <c r="C1637"/>
      <c r="D1637"/>
      <c r="E1637"/>
      <c r="F1637"/>
      <c r="G1637"/>
      <c r="H1637"/>
    </row>
    <row r="1638" spans="1:8" ht="15">
      <c r="A1638"/>
      <c r="B1638"/>
      <c r="C1638"/>
      <c r="D1638"/>
      <c r="E1638"/>
      <c r="F1638"/>
      <c r="G1638"/>
      <c r="H1638"/>
    </row>
    <row r="1639" spans="1:8" ht="15">
      <c r="A1639"/>
      <c r="B1639"/>
      <c r="C1639"/>
      <c r="D1639"/>
      <c r="E1639"/>
      <c r="F1639"/>
      <c r="G1639"/>
      <c r="H1639"/>
    </row>
    <row r="1640" spans="1:8" ht="15">
      <c r="A1640"/>
      <c r="B1640"/>
      <c r="C1640"/>
      <c r="D1640"/>
      <c r="E1640"/>
      <c r="F1640"/>
      <c r="G1640"/>
      <c r="H1640"/>
    </row>
    <row r="1641" spans="1:8" ht="15">
      <c r="A1641"/>
      <c r="B1641"/>
      <c r="C1641"/>
      <c r="D1641"/>
      <c r="E1641"/>
      <c r="F1641"/>
      <c r="G1641"/>
      <c r="H1641"/>
    </row>
    <row r="1642" spans="1:8" ht="15">
      <c r="A1642"/>
      <c r="B1642"/>
      <c r="C1642"/>
      <c r="D1642"/>
      <c r="E1642"/>
      <c r="F1642"/>
      <c r="G1642"/>
      <c r="H1642"/>
    </row>
    <row r="1643" spans="1:8" ht="15">
      <c r="A1643"/>
      <c r="B1643"/>
      <c r="C1643"/>
      <c r="D1643"/>
      <c r="E1643"/>
      <c r="F1643"/>
      <c r="G1643"/>
      <c r="H1643"/>
    </row>
    <row r="1644" spans="1:8" ht="15">
      <c r="A1644"/>
      <c r="B1644"/>
      <c r="C1644"/>
      <c r="D1644"/>
      <c r="E1644"/>
      <c r="F1644"/>
      <c r="G1644"/>
      <c r="H1644"/>
    </row>
    <row r="1645" spans="1:8" ht="15">
      <c r="A1645"/>
      <c r="B1645"/>
      <c r="C1645"/>
      <c r="D1645"/>
      <c r="E1645"/>
      <c r="F1645"/>
      <c r="G1645"/>
      <c r="H1645"/>
    </row>
    <row r="1646" spans="1:8" ht="15">
      <c r="A1646"/>
      <c r="B1646"/>
      <c r="C1646"/>
      <c r="D1646"/>
      <c r="E1646"/>
      <c r="F1646"/>
      <c r="G1646"/>
      <c r="H1646"/>
    </row>
    <row r="1647" spans="1:8" ht="15">
      <c r="A1647"/>
      <c r="B1647"/>
      <c r="C1647"/>
      <c r="D1647"/>
      <c r="E1647"/>
      <c r="F1647"/>
      <c r="G1647"/>
      <c r="H1647"/>
    </row>
    <row r="1648" spans="1:8" ht="15">
      <c r="A1648"/>
      <c r="B1648"/>
      <c r="C1648"/>
      <c r="D1648"/>
      <c r="E1648"/>
      <c r="F1648"/>
      <c r="G1648"/>
      <c r="H1648"/>
    </row>
    <row r="1649" spans="1:8" ht="15">
      <c r="A1649"/>
      <c r="B1649"/>
      <c r="C1649"/>
      <c r="D1649"/>
      <c r="E1649"/>
      <c r="F1649"/>
      <c r="G1649"/>
      <c r="H1649"/>
    </row>
    <row r="1650" spans="1:8" ht="15">
      <c r="A1650"/>
      <c r="B1650"/>
      <c r="C1650"/>
      <c r="D1650"/>
      <c r="E1650"/>
      <c r="F1650"/>
      <c r="G1650"/>
      <c r="H1650"/>
    </row>
    <row r="1651" spans="1:8" ht="15">
      <c r="A1651"/>
      <c r="B1651"/>
      <c r="C1651"/>
      <c r="D1651"/>
      <c r="E1651"/>
      <c r="F1651"/>
      <c r="G1651"/>
      <c r="H1651"/>
    </row>
    <row r="1652" spans="1:8" ht="15">
      <c r="A1652"/>
      <c r="B1652"/>
      <c r="C1652"/>
      <c r="D1652"/>
      <c r="E1652"/>
      <c r="F1652"/>
      <c r="G1652"/>
      <c r="H1652"/>
    </row>
    <row r="1653" spans="1:8" ht="15">
      <c r="A1653"/>
      <c r="B1653"/>
      <c r="C1653"/>
      <c r="D1653"/>
      <c r="E1653"/>
      <c r="F1653"/>
      <c r="G1653"/>
      <c r="H1653"/>
    </row>
    <row r="1654" spans="1:8" ht="15">
      <c r="A1654"/>
      <c r="B1654"/>
      <c r="C1654"/>
      <c r="D1654"/>
      <c r="E1654"/>
      <c r="F1654"/>
      <c r="G1654"/>
      <c r="H1654"/>
    </row>
    <row r="1655" spans="1:8" ht="15">
      <c r="A1655"/>
      <c r="B1655"/>
      <c r="C1655"/>
      <c r="D1655"/>
      <c r="E1655"/>
      <c r="F1655"/>
      <c r="G1655"/>
      <c r="H1655"/>
    </row>
    <row r="1656" spans="1:8" ht="15">
      <c r="A1656"/>
      <c r="B1656"/>
      <c r="C1656"/>
      <c r="D1656"/>
      <c r="E1656"/>
      <c r="F1656"/>
      <c r="G1656"/>
      <c r="H1656"/>
    </row>
    <row r="1657" spans="1:8" ht="15">
      <c r="A1657"/>
      <c r="B1657"/>
      <c r="C1657"/>
      <c r="D1657"/>
      <c r="E1657"/>
      <c r="F1657"/>
      <c r="G1657"/>
      <c r="H1657"/>
    </row>
    <row r="1658" spans="1:8" ht="15">
      <c r="A1658"/>
      <c r="B1658"/>
      <c r="C1658"/>
      <c r="D1658"/>
      <c r="E1658"/>
      <c r="F1658"/>
      <c r="G1658"/>
      <c r="H1658"/>
    </row>
    <row r="1659" spans="1:8" ht="15">
      <c r="A1659"/>
      <c r="B1659"/>
      <c r="C1659"/>
      <c r="D1659"/>
      <c r="E1659"/>
      <c r="F1659"/>
      <c r="G1659"/>
      <c r="H1659"/>
    </row>
    <row r="1660" spans="1:8" ht="15">
      <c r="A1660"/>
      <c r="B1660"/>
      <c r="C1660"/>
      <c r="D1660"/>
      <c r="E1660"/>
      <c r="F1660"/>
      <c r="G1660"/>
      <c r="H1660"/>
    </row>
    <row r="1661" spans="1:8" ht="15">
      <c r="A1661"/>
      <c r="B1661"/>
      <c r="C1661"/>
      <c r="D1661"/>
      <c r="E1661"/>
      <c r="F1661"/>
      <c r="G1661"/>
      <c r="H1661"/>
    </row>
    <row r="1662" spans="1:8" ht="15">
      <c r="A1662"/>
      <c r="B1662"/>
      <c r="C1662"/>
      <c r="D1662"/>
      <c r="E1662"/>
      <c r="F1662"/>
      <c r="G1662"/>
      <c r="H1662"/>
    </row>
    <row r="1663" spans="1:8" ht="15">
      <c r="A1663"/>
      <c r="B1663"/>
      <c r="C1663"/>
      <c r="D1663"/>
      <c r="E1663"/>
      <c r="F1663"/>
      <c r="G1663"/>
      <c r="H1663"/>
    </row>
    <row r="1664" spans="1:8" ht="15">
      <c r="A1664"/>
      <c r="B1664"/>
      <c r="C1664"/>
      <c r="D1664"/>
      <c r="E1664"/>
      <c r="F1664"/>
      <c r="G1664"/>
      <c r="H1664"/>
    </row>
    <row r="1665" spans="1:8" ht="15">
      <c r="A1665"/>
      <c r="B1665"/>
      <c r="C1665"/>
      <c r="D1665"/>
      <c r="E1665"/>
      <c r="F1665"/>
      <c r="G1665"/>
      <c r="H1665"/>
    </row>
    <row r="1666" spans="1:8" ht="15">
      <c r="A1666"/>
      <c r="B1666"/>
      <c r="C1666"/>
      <c r="D1666"/>
      <c r="E1666"/>
      <c r="F1666"/>
      <c r="G1666"/>
      <c r="H1666"/>
    </row>
    <row r="1667" spans="1:8" ht="15">
      <c r="A1667"/>
      <c r="B1667"/>
      <c r="C1667"/>
      <c r="D1667"/>
      <c r="E1667"/>
      <c r="F1667"/>
      <c r="G1667"/>
      <c r="H1667"/>
    </row>
    <row r="1668" spans="1:8" ht="15">
      <c r="A1668"/>
      <c r="B1668"/>
      <c r="C1668"/>
      <c r="D1668"/>
      <c r="E1668"/>
      <c r="F1668"/>
      <c r="G1668"/>
      <c r="H1668"/>
    </row>
    <row r="1669" spans="1:8" ht="15">
      <c r="A1669"/>
      <c r="B1669"/>
      <c r="C1669"/>
      <c r="D1669"/>
      <c r="E1669"/>
      <c r="F1669"/>
      <c r="G1669"/>
      <c r="H1669"/>
    </row>
    <row r="1670" spans="1:8" ht="15">
      <c r="A1670"/>
      <c r="B1670"/>
      <c r="C1670"/>
      <c r="D1670"/>
      <c r="E1670"/>
      <c r="F1670"/>
      <c r="G1670"/>
      <c r="H1670"/>
    </row>
    <row r="1671" spans="1:8" ht="15">
      <c r="A1671"/>
      <c r="B1671"/>
      <c r="C1671"/>
      <c r="D1671"/>
      <c r="E1671"/>
      <c r="F1671"/>
      <c r="G1671"/>
      <c r="H1671"/>
    </row>
    <row r="1672" spans="1:8" ht="15">
      <c r="A1672"/>
      <c r="B1672"/>
      <c r="C1672"/>
      <c r="D1672"/>
      <c r="E1672"/>
      <c r="F1672"/>
      <c r="G1672"/>
      <c r="H1672"/>
    </row>
    <row r="1673" spans="1:8" ht="15">
      <c r="A1673"/>
      <c r="B1673"/>
      <c r="C1673"/>
      <c r="D1673"/>
      <c r="E1673"/>
      <c r="F1673"/>
      <c r="G1673"/>
      <c r="H1673"/>
    </row>
    <row r="1674" spans="1:8" ht="15">
      <c r="A1674"/>
      <c r="B1674"/>
      <c r="C1674"/>
      <c r="D1674"/>
      <c r="E1674"/>
      <c r="F1674"/>
      <c r="G1674"/>
      <c r="H1674"/>
    </row>
    <row r="1675" spans="1:8" ht="15">
      <c r="A1675"/>
      <c r="B1675"/>
      <c r="C1675"/>
      <c r="D1675"/>
      <c r="E1675"/>
      <c r="F1675"/>
      <c r="G1675"/>
      <c r="H1675"/>
    </row>
    <row r="1676" spans="1:8" ht="15">
      <c r="A1676"/>
      <c r="B1676"/>
      <c r="C1676"/>
      <c r="D1676"/>
      <c r="E1676"/>
      <c r="F1676"/>
      <c r="G1676"/>
      <c r="H1676"/>
    </row>
    <row r="1677" spans="1:8" ht="15">
      <c r="A1677"/>
      <c r="B1677"/>
      <c r="C1677"/>
      <c r="D1677"/>
      <c r="E1677"/>
      <c r="F1677"/>
      <c r="G1677"/>
      <c r="H1677"/>
    </row>
    <row r="1678" spans="1:8" ht="15">
      <c r="A1678"/>
      <c r="B1678"/>
      <c r="C1678"/>
      <c r="D1678"/>
      <c r="E1678"/>
      <c r="F1678"/>
      <c r="G1678"/>
      <c r="H1678"/>
    </row>
    <row r="1679" spans="1:8" ht="15">
      <c r="A1679"/>
      <c r="B1679"/>
      <c r="C1679"/>
      <c r="D1679"/>
      <c r="E1679"/>
      <c r="F1679"/>
      <c r="G1679"/>
      <c r="H1679"/>
    </row>
    <row r="1680" spans="1:8" ht="15">
      <c r="A1680"/>
      <c r="B1680"/>
      <c r="C1680"/>
      <c r="D1680"/>
      <c r="E1680"/>
      <c r="F1680"/>
      <c r="G1680"/>
      <c r="H1680"/>
    </row>
    <row r="1681" spans="1:8" ht="15">
      <c r="A1681"/>
      <c r="B1681"/>
      <c r="C1681"/>
      <c r="D1681"/>
      <c r="E1681"/>
      <c r="F1681"/>
      <c r="G1681"/>
      <c r="H1681"/>
    </row>
    <row r="1682" spans="1:8" ht="15">
      <c r="A1682"/>
      <c r="B1682"/>
      <c r="C1682"/>
      <c r="D1682"/>
      <c r="E1682"/>
      <c r="F1682"/>
      <c r="G1682"/>
      <c r="H1682"/>
    </row>
    <row r="1683" spans="1:8" ht="15">
      <c r="A1683"/>
      <c r="B1683"/>
      <c r="C1683"/>
      <c r="D1683"/>
      <c r="E1683"/>
      <c r="F1683"/>
      <c r="G1683"/>
      <c r="H1683"/>
    </row>
    <row r="1684" spans="1:8" ht="15">
      <c r="A1684"/>
      <c r="B1684"/>
      <c r="C1684"/>
      <c r="D1684"/>
      <c r="E1684"/>
      <c r="F1684"/>
      <c r="G1684"/>
      <c r="H1684"/>
    </row>
    <row r="1685" spans="1:8" ht="15">
      <c r="A1685"/>
      <c r="B1685"/>
      <c r="C1685"/>
      <c r="D1685"/>
      <c r="E1685"/>
      <c r="F1685"/>
      <c r="G1685"/>
      <c r="H1685"/>
    </row>
    <row r="1686" spans="1:8" ht="15">
      <c r="A1686"/>
      <c r="B1686"/>
      <c r="C1686"/>
      <c r="D1686"/>
      <c r="E1686"/>
      <c r="F1686"/>
      <c r="G1686"/>
      <c r="H1686"/>
    </row>
    <row r="1687" spans="1:8" ht="15">
      <c r="A1687"/>
      <c r="B1687"/>
      <c r="C1687"/>
      <c r="D1687"/>
      <c r="E1687"/>
      <c r="F1687"/>
      <c r="G1687"/>
      <c r="H1687"/>
    </row>
    <row r="1688" spans="1:8" ht="15">
      <c r="A1688"/>
      <c r="B1688"/>
      <c r="C1688"/>
      <c r="D1688"/>
      <c r="E1688"/>
      <c r="F1688"/>
      <c r="G1688"/>
      <c r="H1688"/>
    </row>
    <row r="1689" spans="1:8" ht="15">
      <c r="A1689"/>
      <c r="B1689"/>
      <c r="C1689"/>
      <c r="D1689"/>
      <c r="E1689"/>
      <c r="F1689"/>
      <c r="G1689"/>
      <c r="H1689"/>
    </row>
    <row r="1690" spans="1:8" ht="15">
      <c r="A1690"/>
      <c r="B1690"/>
      <c r="C1690"/>
      <c r="D1690"/>
      <c r="E1690"/>
      <c r="F1690"/>
      <c r="G1690"/>
      <c r="H1690"/>
    </row>
    <row r="1691" spans="1:8" ht="15">
      <c r="A1691"/>
      <c r="B1691"/>
      <c r="C1691"/>
      <c r="D1691"/>
      <c r="E1691"/>
      <c r="F1691"/>
      <c r="G1691"/>
      <c r="H1691"/>
    </row>
    <row r="1692" spans="1:8" ht="15">
      <c r="A1692"/>
      <c r="B1692"/>
      <c r="C1692"/>
      <c r="D1692"/>
      <c r="E1692"/>
      <c r="F1692"/>
      <c r="G1692"/>
      <c r="H1692"/>
    </row>
    <row r="1693" spans="1:8" ht="15">
      <c r="A1693"/>
      <c r="B1693"/>
      <c r="C1693"/>
      <c r="D1693"/>
      <c r="E1693"/>
      <c r="F1693"/>
      <c r="G1693"/>
      <c r="H1693"/>
    </row>
    <row r="1694" spans="1:8" ht="15">
      <c r="A1694"/>
      <c r="B1694"/>
      <c r="C1694"/>
      <c r="D1694"/>
      <c r="E1694"/>
      <c r="F1694"/>
      <c r="G1694"/>
      <c r="H1694"/>
    </row>
    <row r="1695" spans="1:8" ht="15">
      <c r="A1695"/>
      <c r="B1695"/>
      <c r="C1695"/>
      <c r="D1695"/>
      <c r="E1695"/>
      <c r="F1695"/>
      <c r="G1695"/>
      <c r="H1695"/>
    </row>
    <row r="1696" spans="1:8" ht="15">
      <c r="A1696"/>
      <c r="B1696"/>
      <c r="C1696"/>
      <c r="D1696"/>
      <c r="E1696"/>
      <c r="F1696"/>
      <c r="G1696"/>
      <c r="H1696"/>
    </row>
    <row r="1697" spans="1:8" ht="15">
      <c r="A1697"/>
      <c r="B1697"/>
      <c r="C1697"/>
      <c r="D1697"/>
      <c r="E1697"/>
      <c r="F1697"/>
      <c r="G1697"/>
      <c r="H1697"/>
    </row>
    <row r="1698" spans="1:8" ht="15">
      <c r="A1698"/>
      <c r="B1698"/>
      <c r="C1698"/>
      <c r="D1698"/>
      <c r="E1698"/>
      <c r="F1698"/>
      <c r="G1698"/>
      <c r="H1698"/>
    </row>
    <row r="1699" spans="1:8" ht="15">
      <c r="A1699"/>
      <c r="B1699"/>
      <c r="C1699"/>
      <c r="D1699"/>
      <c r="E1699"/>
      <c r="F1699"/>
      <c r="G1699"/>
      <c r="H1699"/>
    </row>
    <row r="1700" spans="1:8" ht="15">
      <c r="A1700"/>
      <c r="B1700"/>
      <c r="C1700"/>
      <c r="D1700"/>
      <c r="E1700"/>
      <c r="F1700"/>
      <c r="G1700"/>
      <c r="H1700"/>
    </row>
    <row r="1701" spans="1:8" ht="15">
      <c r="A1701"/>
      <c r="B1701"/>
      <c r="C1701"/>
      <c r="D1701"/>
      <c r="E1701"/>
      <c r="F1701"/>
      <c r="G1701"/>
      <c r="H1701"/>
    </row>
    <row r="1702" spans="1:8" ht="15">
      <c r="A1702"/>
      <c r="B1702"/>
      <c r="C1702"/>
      <c r="D1702"/>
      <c r="E1702"/>
      <c r="F1702"/>
      <c r="G1702"/>
      <c r="H1702"/>
    </row>
    <row r="1703" spans="1:8" ht="15">
      <c r="A1703"/>
      <c r="B1703"/>
      <c r="C1703"/>
      <c r="D1703"/>
      <c r="E1703"/>
      <c r="F1703"/>
      <c r="G1703"/>
      <c r="H1703"/>
    </row>
    <row r="1704" spans="1:8" ht="15">
      <c r="A1704"/>
      <c r="B1704"/>
      <c r="C1704"/>
      <c r="D1704"/>
      <c r="E1704"/>
      <c r="F1704"/>
      <c r="G1704"/>
      <c r="H1704"/>
    </row>
    <row r="1705" spans="1:8" ht="15">
      <c r="A1705"/>
      <c r="B1705"/>
      <c r="C1705"/>
      <c r="D1705"/>
      <c r="E1705"/>
      <c r="F1705"/>
      <c r="G1705"/>
      <c r="H1705"/>
    </row>
    <row r="1706" spans="1:8" ht="15">
      <c r="A1706"/>
      <c r="B1706"/>
      <c r="C1706"/>
      <c r="D1706"/>
      <c r="E1706"/>
      <c r="F1706"/>
      <c r="G1706"/>
      <c r="H1706"/>
    </row>
    <row r="1707" spans="1:8" ht="15">
      <c r="A1707"/>
      <c r="B1707"/>
      <c r="C1707"/>
      <c r="D1707"/>
      <c r="E1707"/>
      <c r="F1707"/>
      <c r="G1707"/>
      <c r="H1707"/>
    </row>
    <row r="1708" spans="1:8" ht="15">
      <c r="A1708"/>
      <c r="B1708"/>
      <c r="C1708"/>
      <c r="D1708"/>
      <c r="E1708"/>
      <c r="F1708"/>
      <c r="G1708"/>
      <c r="H1708"/>
    </row>
    <row r="1709" spans="1:8" ht="15">
      <c r="A1709"/>
      <c r="B1709"/>
      <c r="C1709"/>
      <c r="D1709"/>
      <c r="E1709"/>
      <c r="F1709"/>
      <c r="G1709"/>
      <c r="H1709"/>
    </row>
    <row r="1710" spans="1:8" ht="15">
      <c r="A1710"/>
      <c r="B1710"/>
      <c r="C1710"/>
      <c r="D1710"/>
      <c r="E1710"/>
      <c r="F1710"/>
      <c r="G1710"/>
      <c r="H1710"/>
    </row>
    <row r="1711" spans="1:8" ht="15">
      <c r="A1711"/>
      <c r="B1711"/>
      <c r="C1711"/>
      <c r="D1711"/>
      <c r="E1711"/>
      <c r="F1711"/>
      <c r="G1711"/>
      <c r="H1711"/>
    </row>
    <row r="1712" spans="1:8" ht="15">
      <c r="A1712"/>
      <c r="B1712"/>
      <c r="C1712"/>
      <c r="D1712"/>
      <c r="E1712"/>
      <c r="F1712"/>
      <c r="G1712"/>
      <c r="H1712"/>
    </row>
    <row r="1713" spans="1:8" ht="15">
      <c r="A1713"/>
      <c r="B1713"/>
      <c r="C1713"/>
      <c r="D1713"/>
      <c r="E1713"/>
      <c r="F1713"/>
      <c r="G1713"/>
      <c r="H1713"/>
    </row>
    <row r="1714" spans="1:8" ht="15">
      <c r="A1714"/>
      <c r="B1714"/>
      <c r="C1714"/>
      <c r="D1714"/>
      <c r="E1714"/>
      <c r="F1714"/>
      <c r="G1714"/>
      <c r="H1714"/>
    </row>
    <row r="1715" spans="1:8" ht="15">
      <c r="A1715"/>
      <c r="B1715"/>
      <c r="C1715"/>
      <c r="D1715"/>
      <c r="E1715"/>
      <c r="F1715"/>
      <c r="G1715"/>
      <c r="H1715"/>
    </row>
    <row r="1716" spans="1:8" ht="15">
      <c r="A1716"/>
      <c r="B1716"/>
      <c r="C1716"/>
      <c r="D1716"/>
      <c r="E1716"/>
      <c r="F1716"/>
      <c r="G1716"/>
      <c r="H1716"/>
    </row>
    <row r="1717" spans="1:8" ht="15">
      <c r="A1717"/>
      <c r="B1717"/>
      <c r="C1717"/>
      <c r="D1717"/>
      <c r="E1717"/>
      <c r="F1717"/>
      <c r="G1717"/>
      <c r="H1717"/>
    </row>
    <row r="1718" spans="1:8" ht="15">
      <c r="A1718"/>
      <c r="B1718"/>
      <c r="C1718"/>
      <c r="D1718"/>
      <c r="E1718"/>
      <c r="F1718"/>
      <c r="G1718"/>
      <c r="H1718"/>
    </row>
    <row r="1719" spans="1:8" ht="15">
      <c r="A1719"/>
      <c r="B1719"/>
      <c r="C1719"/>
      <c r="D1719"/>
      <c r="E1719"/>
      <c r="F1719"/>
      <c r="G1719"/>
      <c r="H1719"/>
    </row>
    <row r="1720" spans="1:8" ht="15">
      <c r="A1720"/>
      <c r="B1720"/>
      <c r="C1720"/>
      <c r="D1720"/>
      <c r="E1720"/>
      <c r="F1720"/>
      <c r="G1720"/>
      <c r="H1720"/>
    </row>
    <row r="1721" spans="1:8" ht="15">
      <c r="A1721"/>
      <c r="B1721"/>
      <c r="C1721"/>
      <c r="D1721"/>
      <c r="E1721"/>
      <c r="F1721"/>
      <c r="G1721"/>
      <c r="H1721"/>
    </row>
    <row r="1722" spans="1:8" ht="15">
      <c r="A1722"/>
      <c r="B1722"/>
      <c r="C1722"/>
      <c r="D1722"/>
      <c r="E1722"/>
      <c r="F1722"/>
      <c r="G1722"/>
      <c r="H1722"/>
    </row>
    <row r="1723" spans="1:8" ht="15">
      <c r="A1723"/>
      <c r="B1723"/>
      <c r="C1723"/>
      <c r="D1723"/>
      <c r="E1723"/>
      <c r="F1723"/>
      <c r="G1723"/>
      <c r="H1723"/>
    </row>
    <row r="1724" spans="1:8" ht="15">
      <c r="A1724"/>
      <c r="B1724"/>
      <c r="C1724"/>
      <c r="D1724"/>
      <c r="E1724"/>
      <c r="F1724"/>
      <c r="G1724"/>
      <c r="H1724"/>
    </row>
    <row r="1725" spans="1:8" ht="15">
      <c r="A1725"/>
      <c r="B1725"/>
      <c r="C1725"/>
      <c r="D1725"/>
      <c r="E1725"/>
      <c r="F1725"/>
      <c r="G1725"/>
      <c r="H1725"/>
    </row>
    <row r="1726" spans="1:8" ht="15">
      <c r="A1726"/>
      <c r="B1726"/>
      <c r="C1726"/>
      <c r="D1726"/>
      <c r="E1726"/>
      <c r="F1726"/>
      <c r="G1726"/>
      <c r="H1726"/>
    </row>
    <row r="1727" spans="1:8" ht="15">
      <c r="A1727"/>
      <c r="B1727"/>
      <c r="C1727"/>
      <c r="D1727"/>
      <c r="E1727"/>
      <c r="F1727"/>
      <c r="G1727"/>
      <c r="H1727"/>
    </row>
    <row r="1728" spans="1:8" ht="15">
      <c r="A1728"/>
      <c r="B1728"/>
      <c r="C1728"/>
      <c r="D1728"/>
      <c r="E1728"/>
      <c r="F1728"/>
      <c r="G1728"/>
      <c r="H1728"/>
    </row>
    <row r="1729" spans="1:8" ht="15">
      <c r="A1729"/>
      <c r="B1729"/>
      <c r="C1729"/>
      <c r="D1729"/>
      <c r="E1729"/>
      <c r="F1729"/>
      <c r="G1729"/>
      <c r="H1729"/>
    </row>
    <row r="1730" spans="1:8" ht="15">
      <c r="A1730"/>
      <c r="B1730"/>
      <c r="C1730"/>
      <c r="D1730"/>
      <c r="E1730"/>
      <c r="F1730"/>
      <c r="G1730"/>
      <c r="H1730"/>
    </row>
    <row r="1731" spans="1:8" ht="15">
      <c r="A1731"/>
      <c r="B1731"/>
      <c r="C1731"/>
      <c r="D1731"/>
      <c r="E1731"/>
      <c r="F1731"/>
      <c r="G1731"/>
      <c r="H1731"/>
    </row>
    <row r="1732" spans="1:8" ht="15">
      <c r="A1732"/>
      <c r="B1732"/>
      <c r="C1732"/>
      <c r="D1732"/>
      <c r="E1732"/>
      <c r="F1732"/>
      <c r="G1732"/>
      <c r="H1732"/>
    </row>
    <row r="1733" spans="1:8" ht="15">
      <c r="A1733"/>
      <c r="B1733"/>
      <c r="C1733"/>
      <c r="D1733"/>
      <c r="E1733"/>
      <c r="F1733"/>
      <c r="G1733"/>
      <c r="H1733"/>
    </row>
    <row r="1734" spans="1:8" ht="15">
      <c r="A1734"/>
      <c r="B1734"/>
      <c r="C1734"/>
      <c r="D1734"/>
      <c r="E1734"/>
      <c r="F1734"/>
      <c r="G1734"/>
      <c r="H1734"/>
    </row>
    <row r="1735" spans="1:8" ht="15">
      <c r="A1735"/>
      <c r="B1735"/>
      <c r="C1735"/>
      <c r="D1735"/>
      <c r="E1735"/>
      <c r="F1735"/>
      <c r="G1735"/>
      <c r="H1735"/>
    </row>
    <row r="1736" spans="1:8" ht="15">
      <c r="A1736"/>
      <c r="B1736"/>
      <c r="C1736"/>
      <c r="D1736"/>
      <c r="E1736"/>
      <c r="F1736"/>
      <c r="G1736"/>
      <c r="H1736"/>
    </row>
    <row r="1737" spans="1:8" ht="15">
      <c r="A1737"/>
      <c r="B1737"/>
      <c r="C1737"/>
      <c r="D1737"/>
      <c r="E1737"/>
      <c r="F1737"/>
      <c r="G1737"/>
      <c r="H1737"/>
    </row>
    <row r="1738" spans="1:8" ht="15">
      <c r="A1738"/>
      <c r="B1738"/>
      <c r="C1738"/>
      <c r="D1738"/>
      <c r="E1738"/>
      <c r="F1738"/>
      <c r="G1738"/>
      <c r="H1738"/>
    </row>
    <row r="1739" spans="1:8" ht="15">
      <c r="A1739"/>
      <c r="B1739"/>
      <c r="C1739"/>
      <c r="D1739"/>
      <c r="E1739"/>
      <c r="F1739"/>
      <c r="G1739"/>
      <c r="H1739"/>
    </row>
    <row r="1740" spans="1:8" ht="15">
      <c r="A1740"/>
      <c r="B1740"/>
      <c r="C1740"/>
      <c r="D1740"/>
      <c r="E1740"/>
      <c r="F1740"/>
      <c r="G1740"/>
      <c r="H1740"/>
    </row>
    <row r="1741" spans="1:8" ht="15">
      <c r="A1741"/>
      <c r="B1741"/>
      <c r="C1741"/>
      <c r="D1741"/>
      <c r="E1741"/>
      <c r="F1741"/>
      <c r="G1741"/>
      <c r="H1741"/>
    </row>
    <row r="1742" spans="1:8" ht="15">
      <c r="A1742"/>
      <c r="B1742"/>
      <c r="C1742"/>
      <c r="D1742"/>
      <c r="E1742"/>
      <c r="F1742"/>
      <c r="G1742"/>
      <c r="H1742"/>
    </row>
    <row r="1743" spans="1:8" ht="15">
      <c r="A1743"/>
      <c r="B1743"/>
      <c r="C1743"/>
      <c r="D1743"/>
      <c r="E1743"/>
      <c r="F1743"/>
      <c r="G1743"/>
      <c r="H1743"/>
    </row>
    <row r="1744" spans="1:8" ht="15">
      <c r="A1744"/>
      <c r="B1744"/>
      <c r="C1744"/>
      <c r="D1744"/>
      <c r="E1744"/>
      <c r="F1744"/>
      <c r="G1744"/>
      <c r="H1744"/>
    </row>
    <row r="1745" spans="1:8" ht="15">
      <c r="A1745"/>
      <c r="B1745"/>
      <c r="C1745"/>
      <c r="D1745"/>
      <c r="E1745"/>
      <c r="F1745"/>
      <c r="G1745"/>
      <c r="H1745"/>
    </row>
    <row r="1746" spans="1:8" ht="15">
      <c r="A1746"/>
      <c r="B1746"/>
      <c r="C1746"/>
      <c r="D1746"/>
      <c r="E1746"/>
      <c r="F1746"/>
      <c r="G1746"/>
      <c r="H1746"/>
    </row>
    <row r="1747" spans="1:8" ht="15">
      <c r="A1747"/>
      <c r="B1747"/>
      <c r="C1747"/>
      <c r="D1747"/>
      <c r="E1747"/>
      <c r="F1747"/>
      <c r="G1747"/>
      <c r="H1747"/>
    </row>
    <row r="1748" spans="1:8" ht="15">
      <c r="A1748"/>
      <c r="B1748"/>
      <c r="C1748"/>
      <c r="D1748"/>
      <c r="E1748"/>
      <c r="F1748"/>
      <c r="G1748"/>
      <c r="H1748"/>
    </row>
    <row r="1749" spans="1:8" ht="15">
      <c r="A1749"/>
      <c r="B1749"/>
      <c r="C1749"/>
      <c r="D1749"/>
      <c r="E1749"/>
      <c r="F1749"/>
      <c r="G1749"/>
      <c r="H1749"/>
    </row>
    <row r="1750" spans="1:8" ht="15">
      <c r="A1750"/>
      <c r="B1750"/>
      <c r="C1750"/>
      <c r="D1750"/>
      <c r="E1750"/>
      <c r="F1750"/>
      <c r="G1750"/>
      <c r="H1750"/>
    </row>
    <row r="1751" spans="1:8" ht="15">
      <c r="A1751"/>
      <c r="B1751"/>
      <c r="C1751"/>
      <c r="D1751"/>
      <c r="E1751"/>
      <c r="F1751"/>
      <c r="G1751"/>
      <c r="H1751"/>
    </row>
    <row r="1752" spans="1:8" ht="15">
      <c r="A1752"/>
      <c r="B1752"/>
      <c r="C1752"/>
      <c r="D1752"/>
      <c r="E1752"/>
      <c r="F1752"/>
      <c r="G1752"/>
      <c r="H1752"/>
    </row>
    <row r="1753" spans="1:8" ht="15">
      <c r="A1753"/>
      <c r="B1753"/>
      <c r="C1753"/>
      <c r="D1753"/>
      <c r="E1753"/>
      <c r="F1753"/>
      <c r="G1753"/>
      <c r="H1753"/>
    </row>
    <row r="1754" spans="1:8" ht="15">
      <c r="A1754"/>
      <c r="B1754"/>
      <c r="C1754"/>
      <c r="D1754"/>
      <c r="E1754"/>
      <c r="F1754"/>
      <c r="G1754"/>
      <c r="H1754"/>
    </row>
    <row r="1755" spans="1:8" ht="15">
      <c r="A1755"/>
      <c r="B1755"/>
      <c r="C1755"/>
      <c r="D1755"/>
      <c r="E1755"/>
      <c r="F1755"/>
      <c r="G1755"/>
      <c r="H1755"/>
    </row>
    <row r="1756" spans="1:8" ht="15">
      <c r="A1756"/>
      <c r="B1756"/>
      <c r="C1756"/>
      <c r="D1756"/>
      <c r="E1756"/>
      <c r="F1756"/>
      <c r="G1756"/>
      <c r="H1756"/>
    </row>
    <row r="1757" spans="1:8" ht="15">
      <c r="A1757"/>
      <c r="B1757"/>
      <c r="C1757"/>
      <c r="D1757"/>
      <c r="E1757"/>
      <c r="F1757"/>
      <c r="G1757"/>
      <c r="H1757"/>
    </row>
    <row r="1758" spans="1:8" ht="15">
      <c r="A1758"/>
      <c r="B1758"/>
      <c r="C1758"/>
      <c r="D1758"/>
      <c r="E1758"/>
      <c r="F1758"/>
      <c r="G1758"/>
      <c r="H1758"/>
    </row>
    <row r="1759" spans="1:8" ht="15">
      <c r="A1759"/>
      <c r="B1759"/>
      <c r="C1759"/>
      <c r="D1759"/>
      <c r="E1759"/>
      <c r="F1759"/>
      <c r="G1759"/>
      <c r="H1759"/>
    </row>
    <row r="1760" spans="1:8" ht="15">
      <c r="A1760"/>
      <c r="B1760"/>
      <c r="C1760"/>
      <c r="D1760"/>
      <c r="E1760"/>
      <c r="F1760"/>
      <c r="G1760"/>
      <c r="H1760"/>
    </row>
    <row r="1761" spans="1:8" ht="15">
      <c r="A1761"/>
      <c r="B1761"/>
      <c r="C1761"/>
      <c r="D1761"/>
      <c r="E1761"/>
      <c r="F1761"/>
      <c r="G1761"/>
      <c r="H1761"/>
    </row>
    <row r="1762" spans="1:8" ht="15">
      <c r="A1762"/>
      <c r="B1762"/>
      <c r="C1762"/>
      <c r="D1762"/>
      <c r="E1762"/>
      <c r="F1762"/>
      <c r="G1762"/>
      <c r="H1762"/>
    </row>
    <row r="1763" spans="1:8" ht="15">
      <c r="A1763"/>
      <c r="B1763"/>
      <c r="C1763"/>
      <c r="D1763"/>
      <c r="E1763"/>
      <c r="F1763"/>
      <c r="G1763"/>
      <c r="H1763"/>
    </row>
    <row r="1764" spans="1:8" ht="15">
      <c r="A1764"/>
      <c r="B1764"/>
      <c r="C1764"/>
      <c r="D1764"/>
      <c r="E1764"/>
      <c r="F1764"/>
      <c r="G1764"/>
      <c r="H1764"/>
    </row>
    <row r="1765" spans="1:8" ht="15">
      <c r="A1765"/>
      <c r="B1765"/>
      <c r="C1765"/>
      <c r="D1765"/>
      <c r="E1765"/>
      <c r="F1765"/>
      <c r="G1765"/>
      <c r="H1765"/>
    </row>
    <row r="1766" spans="1:8" ht="15">
      <c r="A1766"/>
      <c r="B1766"/>
      <c r="C1766"/>
      <c r="D1766"/>
      <c r="E1766"/>
      <c r="F1766"/>
      <c r="G1766"/>
      <c r="H1766"/>
    </row>
    <row r="1767" spans="1:8" ht="15">
      <c r="A1767"/>
      <c r="B1767"/>
      <c r="C1767"/>
      <c r="D1767"/>
      <c r="E1767"/>
      <c r="F1767"/>
      <c r="G1767"/>
      <c r="H1767"/>
    </row>
    <row r="1768" spans="1:8" ht="15">
      <c r="A1768"/>
      <c r="B1768"/>
      <c r="C1768"/>
      <c r="D1768"/>
      <c r="E1768"/>
      <c r="F1768"/>
      <c r="G1768"/>
      <c r="H1768"/>
    </row>
    <row r="1769" spans="1:8" ht="15">
      <c r="A1769"/>
      <c r="B1769"/>
      <c r="C1769"/>
      <c r="D1769"/>
      <c r="E1769"/>
      <c r="F1769"/>
      <c r="G1769"/>
      <c r="H1769"/>
    </row>
    <row r="1770" spans="1:8" ht="15">
      <c r="A1770"/>
      <c r="B1770"/>
      <c r="C1770"/>
      <c r="D1770"/>
      <c r="E1770"/>
      <c r="F1770"/>
      <c r="G1770"/>
      <c r="H1770"/>
    </row>
    <row r="1771" spans="1:8" ht="15">
      <c r="A1771"/>
      <c r="B1771"/>
      <c r="C1771"/>
      <c r="D1771"/>
      <c r="E1771"/>
      <c r="F1771"/>
      <c r="G1771"/>
      <c r="H1771"/>
    </row>
    <row r="1772" spans="1:8" ht="15">
      <c r="A1772"/>
      <c r="B1772"/>
      <c r="C1772"/>
      <c r="D1772"/>
      <c r="E1772"/>
      <c r="F1772"/>
      <c r="G1772"/>
      <c r="H1772"/>
    </row>
    <row r="1773" spans="1:8" ht="15">
      <c r="A1773"/>
      <c r="B1773"/>
      <c r="C1773"/>
      <c r="D1773"/>
      <c r="E1773"/>
      <c r="F1773"/>
      <c r="G1773"/>
      <c r="H1773"/>
    </row>
    <row r="1774" spans="1:8" ht="15">
      <c r="A1774"/>
      <c r="B1774"/>
      <c r="C1774"/>
      <c r="D1774"/>
      <c r="E1774"/>
      <c r="F1774"/>
      <c r="G1774"/>
      <c r="H1774"/>
    </row>
    <row r="1775" spans="1:8" ht="15">
      <c r="A1775"/>
      <c r="B1775"/>
      <c r="C1775"/>
      <c r="D1775"/>
      <c r="E1775"/>
      <c r="F1775"/>
      <c r="G1775"/>
      <c r="H1775"/>
    </row>
    <row r="1776" spans="1:8" ht="15">
      <c r="A1776"/>
      <c r="B1776"/>
      <c r="C1776"/>
      <c r="D1776"/>
      <c r="E1776"/>
      <c r="F1776"/>
      <c r="G1776"/>
      <c r="H1776"/>
    </row>
    <row r="1777" spans="1:8" ht="15">
      <c r="A1777"/>
      <c r="B1777"/>
      <c r="C1777"/>
      <c r="D1777"/>
      <c r="E1777"/>
      <c r="F1777"/>
      <c r="G1777"/>
      <c r="H1777"/>
    </row>
    <row r="1778" spans="1:8" ht="15">
      <c r="A1778"/>
      <c r="B1778"/>
      <c r="C1778"/>
      <c r="D1778"/>
      <c r="E1778"/>
      <c r="F1778"/>
      <c r="G1778"/>
      <c r="H1778"/>
    </row>
    <row r="1779" spans="1:8" ht="15">
      <c r="A1779"/>
      <c r="B1779"/>
      <c r="C1779"/>
      <c r="D1779"/>
      <c r="E1779"/>
      <c r="F1779"/>
      <c r="G1779"/>
      <c r="H1779"/>
    </row>
    <row r="1780" spans="1:8" ht="15">
      <c r="A1780"/>
      <c r="B1780"/>
      <c r="C1780"/>
      <c r="D1780"/>
      <c r="E1780"/>
      <c r="F1780"/>
      <c r="G1780"/>
      <c r="H1780"/>
    </row>
    <row r="1781" spans="1:8" ht="15">
      <c r="A1781"/>
      <c r="B1781"/>
      <c r="C1781"/>
      <c r="D1781"/>
      <c r="E1781"/>
      <c r="F1781"/>
      <c r="G1781"/>
      <c r="H1781"/>
    </row>
    <row r="1782" spans="1:8" ht="15">
      <c r="A1782"/>
      <c r="B1782"/>
      <c r="C1782"/>
      <c r="D1782"/>
      <c r="E1782"/>
      <c r="F1782"/>
      <c r="G1782"/>
      <c r="H1782"/>
    </row>
    <row r="1783" spans="1:8" ht="15">
      <c r="A1783"/>
      <c r="B1783"/>
      <c r="C1783"/>
      <c r="D1783"/>
      <c r="E1783"/>
      <c r="F1783"/>
      <c r="G1783"/>
      <c r="H1783"/>
    </row>
    <row r="1784" spans="1:8" ht="15">
      <c r="A1784"/>
      <c r="B1784"/>
      <c r="C1784"/>
      <c r="D1784"/>
      <c r="E1784"/>
      <c r="F1784"/>
      <c r="G1784"/>
      <c r="H1784"/>
    </row>
    <row r="1785" spans="1:8" ht="15">
      <c r="A1785"/>
      <c r="B1785"/>
      <c r="C1785"/>
      <c r="D1785"/>
      <c r="E1785"/>
      <c r="F1785"/>
      <c r="G1785"/>
      <c r="H1785"/>
    </row>
    <row r="1786" spans="1:8" ht="15">
      <c r="A1786"/>
      <c r="B1786"/>
      <c r="C1786"/>
      <c r="D1786"/>
      <c r="E1786"/>
      <c r="F1786"/>
      <c r="G1786"/>
      <c r="H1786"/>
    </row>
    <row r="1787" spans="1:8" ht="15">
      <c r="A1787"/>
      <c r="B1787"/>
      <c r="C1787"/>
      <c r="D1787"/>
      <c r="E1787"/>
      <c r="F1787"/>
      <c r="G1787"/>
      <c r="H1787"/>
    </row>
    <row r="1788" spans="1:8" ht="15">
      <c r="A1788"/>
      <c r="B1788"/>
      <c r="C1788"/>
      <c r="D1788"/>
      <c r="E1788"/>
      <c r="F1788"/>
      <c r="G1788"/>
      <c r="H1788"/>
    </row>
    <row r="1789" spans="1:8" ht="15">
      <c r="A1789"/>
      <c r="B1789"/>
      <c r="C1789"/>
      <c r="D1789"/>
      <c r="E1789"/>
      <c r="F1789"/>
      <c r="G1789"/>
      <c r="H1789"/>
    </row>
    <row r="1790" spans="1:8" ht="15">
      <c r="A1790"/>
      <c r="B1790"/>
      <c r="C1790"/>
      <c r="D1790"/>
      <c r="E1790"/>
      <c r="F1790"/>
      <c r="G1790"/>
      <c r="H1790"/>
    </row>
    <row r="1791" spans="1:8" ht="15">
      <c r="A1791"/>
      <c r="B1791"/>
      <c r="C1791"/>
      <c r="D1791"/>
      <c r="E1791"/>
      <c r="F1791"/>
      <c r="G1791"/>
      <c r="H1791"/>
    </row>
    <row r="1792" spans="1:8" ht="15">
      <c r="A1792"/>
      <c r="B1792"/>
      <c r="C1792"/>
      <c r="D1792"/>
      <c r="E1792"/>
      <c r="F1792"/>
      <c r="G1792"/>
      <c r="H1792"/>
    </row>
    <row r="1793" spans="1:8" ht="15">
      <c r="A1793"/>
      <c r="B1793"/>
      <c r="C1793"/>
      <c r="D1793"/>
      <c r="E1793"/>
      <c r="F1793"/>
      <c r="G1793"/>
      <c r="H1793"/>
    </row>
    <row r="1794" spans="1:8" ht="15">
      <c r="A1794"/>
      <c r="B1794"/>
      <c r="C1794"/>
      <c r="D1794"/>
      <c r="E1794"/>
      <c r="F1794"/>
      <c r="G1794"/>
      <c r="H1794"/>
    </row>
    <row r="1795" spans="1:8" ht="15">
      <c r="A1795"/>
      <c r="B1795"/>
      <c r="C1795"/>
      <c r="D1795"/>
      <c r="E1795"/>
      <c r="F1795"/>
      <c r="G1795"/>
      <c r="H1795"/>
    </row>
    <row r="1796" spans="1:8" ht="15">
      <c r="A1796"/>
      <c r="B1796"/>
      <c r="C1796"/>
      <c r="D1796"/>
      <c r="E1796"/>
      <c r="F1796"/>
      <c r="G1796"/>
      <c r="H1796"/>
    </row>
    <row r="1797" spans="1:8" ht="15">
      <c r="A1797"/>
      <c r="B1797"/>
      <c r="C1797"/>
      <c r="D1797"/>
      <c r="E1797"/>
      <c r="F1797"/>
      <c r="G1797"/>
      <c r="H1797"/>
    </row>
    <row r="1798" spans="1:8" ht="15">
      <c r="A1798"/>
      <c r="B1798"/>
      <c r="C1798"/>
      <c r="D1798"/>
      <c r="E1798"/>
      <c r="F1798"/>
      <c r="G1798"/>
      <c r="H1798"/>
    </row>
    <row r="1799" spans="1:8" ht="15">
      <c r="A1799"/>
      <c r="B1799"/>
      <c r="C1799"/>
      <c r="D1799"/>
      <c r="E1799"/>
      <c r="F1799"/>
      <c r="G1799"/>
      <c r="H1799"/>
    </row>
    <row r="1800" spans="1:8" ht="15">
      <c r="A1800"/>
      <c r="B1800"/>
      <c r="C1800"/>
      <c r="D1800"/>
      <c r="E1800"/>
      <c r="F1800"/>
      <c r="G1800"/>
      <c r="H1800"/>
    </row>
    <row r="1801" spans="1:8" ht="15">
      <c r="A1801"/>
      <c r="B1801"/>
      <c r="C1801"/>
      <c r="D1801"/>
      <c r="E1801"/>
      <c r="F1801"/>
      <c r="G1801"/>
      <c r="H1801"/>
    </row>
    <row r="1802" spans="1:8" ht="15">
      <c r="A1802"/>
      <c r="B1802"/>
      <c r="C1802"/>
      <c r="D1802"/>
      <c r="E1802"/>
      <c r="F1802"/>
      <c r="G1802"/>
      <c r="H1802"/>
    </row>
    <row r="1803" spans="1:8" ht="15">
      <c r="A1803"/>
      <c r="B1803"/>
      <c r="C1803"/>
      <c r="D1803"/>
      <c r="E1803"/>
      <c r="F1803"/>
      <c r="G1803"/>
      <c r="H1803"/>
    </row>
    <row r="1804" spans="1:8" ht="15">
      <c r="A1804"/>
      <c r="B1804"/>
      <c r="C1804"/>
      <c r="D1804"/>
      <c r="E1804"/>
      <c r="F1804"/>
      <c r="G1804"/>
      <c r="H1804"/>
    </row>
    <row r="1805" spans="1:8" ht="15">
      <c r="A1805"/>
      <c r="B1805"/>
      <c r="C1805"/>
      <c r="D1805"/>
      <c r="E1805"/>
      <c r="F1805"/>
      <c r="G1805"/>
      <c r="H1805"/>
    </row>
    <row r="1806" spans="1:8" ht="15">
      <c r="A1806"/>
      <c r="B1806"/>
      <c r="C1806"/>
      <c r="D1806"/>
      <c r="E1806"/>
      <c r="F1806"/>
      <c r="G1806"/>
      <c r="H1806"/>
    </row>
    <row r="1807" spans="1:8" ht="15">
      <c r="A1807"/>
      <c r="B1807"/>
      <c r="C1807"/>
      <c r="D1807"/>
      <c r="E1807"/>
      <c r="F1807"/>
      <c r="G1807"/>
      <c r="H1807"/>
    </row>
    <row r="1808" spans="1:8" ht="15">
      <c r="A1808"/>
      <c r="B1808"/>
      <c r="C1808"/>
      <c r="D1808"/>
      <c r="E1808"/>
      <c r="F1808"/>
      <c r="G1808"/>
      <c r="H1808"/>
    </row>
    <row r="1809" spans="1:8" ht="15">
      <c r="A1809"/>
      <c r="B1809"/>
      <c r="C1809"/>
      <c r="D1809"/>
      <c r="E1809"/>
      <c r="F1809"/>
      <c r="G1809"/>
      <c r="H1809"/>
    </row>
    <row r="1810" spans="1:8" ht="15">
      <c r="A1810"/>
      <c r="B1810"/>
      <c r="C1810"/>
      <c r="D1810"/>
      <c r="E1810"/>
      <c r="F1810"/>
      <c r="G1810"/>
      <c r="H1810"/>
    </row>
    <row r="1811" spans="1:8" ht="15">
      <c r="A1811"/>
      <c r="B1811"/>
      <c r="C1811"/>
      <c r="D1811"/>
      <c r="E1811"/>
      <c r="F1811"/>
      <c r="G1811"/>
      <c r="H1811"/>
    </row>
    <row r="1812" spans="1:8" ht="15">
      <c r="A1812"/>
      <c r="B1812"/>
      <c r="C1812"/>
      <c r="D1812"/>
      <c r="E1812"/>
      <c r="F1812"/>
      <c r="G1812"/>
      <c r="H1812"/>
    </row>
    <row r="1813" spans="1:8" ht="15">
      <c r="A1813"/>
      <c r="B1813"/>
      <c r="C1813"/>
      <c r="D1813"/>
      <c r="E1813"/>
      <c r="F1813"/>
      <c r="G1813"/>
      <c r="H1813"/>
    </row>
    <row r="1814" spans="1:8" ht="15">
      <c r="A1814"/>
      <c r="B1814"/>
      <c r="C1814"/>
      <c r="D1814"/>
      <c r="E1814"/>
      <c r="F1814"/>
      <c r="G1814"/>
      <c r="H1814"/>
    </row>
    <row r="1815" spans="1:8" ht="15">
      <c r="A1815"/>
      <c r="B1815"/>
      <c r="C1815"/>
      <c r="D1815"/>
      <c r="E1815"/>
      <c r="F1815"/>
      <c r="G1815"/>
      <c r="H1815"/>
    </row>
    <row r="1816" spans="1:8" ht="15">
      <c r="A1816"/>
      <c r="B1816"/>
      <c r="C1816"/>
      <c r="D1816"/>
      <c r="E1816"/>
      <c r="F1816"/>
      <c r="G1816"/>
      <c r="H1816"/>
    </row>
    <row r="1817" spans="1:8" ht="15">
      <c r="A1817"/>
      <c r="B1817"/>
      <c r="C1817"/>
      <c r="D1817"/>
      <c r="E1817"/>
      <c r="F1817"/>
      <c r="G1817"/>
      <c r="H1817"/>
    </row>
    <row r="1818" spans="1:8" ht="15">
      <c r="A1818"/>
      <c r="B1818"/>
      <c r="C1818"/>
      <c r="D1818"/>
      <c r="E1818"/>
      <c r="F1818"/>
      <c r="G1818"/>
      <c r="H1818"/>
    </row>
    <row r="1819" spans="1:8" ht="15">
      <c r="A1819"/>
      <c r="B1819"/>
      <c r="C1819"/>
      <c r="D1819"/>
      <c r="E1819"/>
      <c r="F1819"/>
      <c r="G1819"/>
      <c r="H1819"/>
    </row>
    <row r="1820" spans="1:8" ht="15">
      <c r="A1820"/>
      <c r="B1820"/>
      <c r="C1820"/>
      <c r="D1820"/>
      <c r="E1820"/>
      <c r="F1820"/>
      <c r="G1820"/>
      <c r="H1820"/>
    </row>
    <row r="1821" spans="1:8" ht="15">
      <c r="A1821"/>
      <c r="B1821"/>
      <c r="C1821"/>
      <c r="D1821"/>
      <c r="E1821"/>
      <c r="F1821"/>
      <c r="G1821"/>
      <c r="H1821"/>
    </row>
    <row r="1822" spans="1:8" ht="15">
      <c r="A1822"/>
      <c r="B1822"/>
      <c r="C1822"/>
      <c r="D1822"/>
      <c r="E1822"/>
      <c r="F1822"/>
      <c r="G1822"/>
      <c r="H1822"/>
    </row>
    <row r="1823" spans="1:8" ht="15">
      <c r="A1823"/>
      <c r="B1823"/>
      <c r="C1823"/>
      <c r="D1823"/>
      <c r="E1823"/>
      <c r="F1823"/>
      <c r="G1823"/>
      <c r="H1823"/>
    </row>
    <row r="1824" spans="1:8" ht="15">
      <c r="A1824"/>
      <c r="B1824"/>
      <c r="C1824"/>
      <c r="D1824"/>
      <c r="E1824"/>
      <c r="F1824"/>
      <c r="G1824"/>
      <c r="H1824"/>
    </row>
    <row r="1825" spans="1:8" ht="15">
      <c r="A1825"/>
      <c r="B1825"/>
      <c r="C1825"/>
      <c r="D1825"/>
      <c r="E1825"/>
      <c r="F1825"/>
      <c r="G1825"/>
      <c r="H1825"/>
    </row>
    <row r="1826" spans="1:8" ht="15">
      <c r="A1826"/>
      <c r="B1826"/>
      <c r="C1826"/>
      <c r="D1826"/>
      <c r="E1826"/>
      <c r="F1826"/>
      <c r="G1826"/>
      <c r="H1826"/>
    </row>
    <row r="1827" spans="1:8" ht="15">
      <c r="A1827"/>
      <c r="B1827"/>
      <c r="C1827"/>
      <c r="D1827"/>
      <c r="E1827"/>
      <c r="F1827"/>
      <c r="G1827"/>
      <c r="H1827"/>
    </row>
    <row r="1828" spans="1:8" ht="15">
      <c r="A1828"/>
      <c r="B1828"/>
      <c r="C1828"/>
      <c r="D1828"/>
      <c r="E1828"/>
      <c r="F1828"/>
      <c r="G1828"/>
      <c r="H1828"/>
    </row>
    <row r="1829" spans="1:8" ht="15">
      <c r="A1829"/>
      <c r="B1829"/>
      <c r="C1829"/>
      <c r="D1829"/>
      <c r="E1829"/>
      <c r="F1829"/>
      <c r="G1829"/>
      <c r="H1829"/>
    </row>
    <row r="1830" spans="1:8" ht="15">
      <c r="A1830"/>
      <c r="B1830"/>
      <c r="C1830"/>
      <c r="D1830"/>
      <c r="E1830"/>
      <c r="F1830"/>
      <c r="G1830"/>
      <c r="H1830"/>
    </row>
    <row r="1831" spans="1:8" ht="15">
      <c r="A1831"/>
      <c r="B1831"/>
      <c r="C1831"/>
      <c r="D1831"/>
      <c r="E1831"/>
      <c r="F1831"/>
      <c r="G1831"/>
      <c r="H1831"/>
    </row>
    <row r="1832" spans="1:8" ht="15">
      <c r="A1832"/>
      <c r="B1832"/>
      <c r="C1832"/>
      <c r="D1832"/>
      <c r="E1832"/>
      <c r="F1832"/>
      <c r="G1832"/>
      <c r="H1832"/>
    </row>
    <row r="1833" spans="1:8" ht="15">
      <c r="A1833"/>
      <c r="B1833"/>
      <c r="C1833"/>
      <c r="D1833"/>
      <c r="E1833"/>
      <c r="F1833"/>
      <c r="G1833"/>
      <c r="H1833"/>
    </row>
    <row r="1834" spans="1:8" ht="15">
      <c r="A1834"/>
      <c r="B1834"/>
      <c r="C1834"/>
      <c r="D1834"/>
      <c r="E1834"/>
      <c r="F1834"/>
      <c r="G1834"/>
      <c r="H1834"/>
    </row>
    <row r="1835" spans="1:8" ht="15">
      <c r="A1835"/>
      <c r="B1835"/>
      <c r="C1835"/>
      <c r="D1835"/>
      <c r="E1835"/>
      <c r="F1835"/>
      <c r="G1835"/>
      <c r="H1835"/>
    </row>
    <row r="1836" spans="1:8" ht="15">
      <c r="A1836"/>
      <c r="B1836"/>
      <c r="C1836"/>
      <c r="D1836"/>
      <c r="E1836"/>
      <c r="F1836"/>
      <c r="G1836"/>
      <c r="H1836"/>
    </row>
    <row r="1837" spans="1:8" ht="15">
      <c r="A1837"/>
      <c r="B1837"/>
      <c r="C1837"/>
      <c r="D1837"/>
      <c r="E1837"/>
      <c r="F1837"/>
      <c r="G1837"/>
      <c r="H1837"/>
    </row>
    <row r="1838" spans="1:8" ht="15">
      <c r="A1838"/>
      <c r="B1838"/>
      <c r="C1838"/>
      <c r="D1838"/>
      <c r="E1838"/>
      <c r="F1838"/>
      <c r="G1838"/>
      <c r="H1838"/>
    </row>
    <row r="1839" spans="1:8" ht="15">
      <c r="A1839"/>
      <c r="B1839"/>
      <c r="C1839"/>
      <c r="D1839"/>
      <c r="E1839"/>
      <c r="F1839"/>
      <c r="G1839"/>
      <c r="H1839"/>
    </row>
    <row r="1840" spans="1:8" ht="15">
      <c r="A1840"/>
      <c r="B1840"/>
      <c r="C1840"/>
      <c r="D1840"/>
      <c r="E1840"/>
      <c r="F1840"/>
      <c r="G1840"/>
      <c r="H1840"/>
    </row>
    <row r="1841" spans="1:8" ht="15">
      <c r="A1841"/>
      <c r="B1841"/>
      <c r="C1841"/>
      <c r="D1841"/>
      <c r="E1841"/>
      <c r="F1841"/>
      <c r="G1841"/>
      <c r="H1841"/>
    </row>
    <row r="1842" spans="1:8" ht="15">
      <c r="A1842"/>
      <c r="B1842"/>
      <c r="C1842"/>
      <c r="D1842"/>
      <c r="E1842"/>
      <c r="F1842"/>
      <c r="G1842"/>
      <c r="H1842"/>
    </row>
    <row r="1843" spans="1:8" ht="15">
      <c r="A1843"/>
      <c r="B1843"/>
      <c r="C1843"/>
      <c r="D1843"/>
      <c r="E1843"/>
      <c r="F1843"/>
      <c r="G1843"/>
      <c r="H1843"/>
    </row>
    <row r="1844" spans="1:8" ht="15">
      <c r="A1844"/>
      <c r="B1844"/>
      <c r="C1844"/>
      <c r="D1844"/>
      <c r="E1844"/>
      <c r="F1844"/>
      <c r="G1844"/>
      <c r="H1844"/>
    </row>
    <row r="1845" spans="1:8" ht="15">
      <c r="A1845"/>
      <c r="B1845"/>
      <c r="C1845"/>
      <c r="D1845"/>
      <c r="E1845"/>
      <c r="F1845"/>
      <c r="G1845"/>
      <c r="H1845"/>
    </row>
    <row r="1846" spans="1:8" ht="15">
      <c r="A1846"/>
      <c r="B1846"/>
      <c r="C1846"/>
      <c r="D1846"/>
      <c r="E1846"/>
      <c r="F1846"/>
      <c r="G1846"/>
      <c r="H1846"/>
    </row>
    <row r="1847" spans="1:8" ht="15">
      <c r="A1847"/>
      <c r="B1847"/>
      <c r="C1847"/>
      <c r="D1847"/>
      <c r="E1847"/>
      <c r="F1847"/>
      <c r="G1847"/>
      <c r="H1847"/>
    </row>
    <row r="1848" spans="1:8" ht="15">
      <c r="A1848"/>
      <c r="B1848"/>
      <c r="C1848"/>
      <c r="D1848"/>
      <c r="E1848"/>
      <c r="F1848"/>
      <c r="G1848"/>
      <c r="H1848"/>
    </row>
    <row r="1849" spans="1:8" ht="15">
      <c r="A1849"/>
      <c r="B1849"/>
      <c r="C1849"/>
      <c r="D1849"/>
      <c r="E1849"/>
      <c r="F1849"/>
      <c r="G1849"/>
      <c r="H1849"/>
    </row>
    <row r="1850" spans="1:8" ht="15">
      <c r="A1850"/>
      <c r="B1850"/>
      <c r="C1850"/>
      <c r="D1850"/>
      <c r="E1850"/>
      <c r="F1850"/>
      <c r="G1850"/>
      <c r="H1850"/>
    </row>
    <row r="1851" spans="1:8" ht="15">
      <c r="A1851"/>
      <c r="B1851"/>
      <c r="C1851"/>
      <c r="D1851"/>
      <c r="E1851"/>
      <c r="F1851"/>
      <c r="G1851"/>
      <c r="H1851"/>
    </row>
    <row r="1852" spans="1:8" ht="15">
      <c r="A1852"/>
      <c r="B1852"/>
      <c r="C1852"/>
      <c r="D1852"/>
      <c r="E1852"/>
      <c r="F1852"/>
      <c r="G1852"/>
      <c r="H1852"/>
    </row>
    <row r="1853" spans="1:8" ht="15">
      <c r="A1853"/>
      <c r="B1853"/>
      <c r="C1853"/>
      <c r="D1853"/>
      <c r="E1853"/>
      <c r="F1853"/>
      <c r="G1853"/>
      <c r="H1853"/>
    </row>
    <row r="1854" spans="1:8" ht="15">
      <c r="A1854"/>
      <c r="B1854"/>
      <c r="C1854"/>
      <c r="D1854"/>
      <c r="E1854"/>
      <c r="F1854"/>
      <c r="G1854"/>
      <c r="H1854"/>
    </row>
    <row r="1855" spans="1:8" ht="15">
      <c r="A1855"/>
      <c r="B1855"/>
      <c r="C1855"/>
      <c r="D1855"/>
      <c r="E1855"/>
      <c r="F1855"/>
      <c r="G1855"/>
      <c r="H1855"/>
    </row>
    <row r="1856" spans="1:8" ht="15">
      <c r="A1856"/>
      <c r="B1856"/>
      <c r="C1856"/>
      <c r="D1856"/>
      <c r="E1856"/>
      <c r="F1856"/>
      <c r="G1856"/>
      <c r="H1856"/>
    </row>
    <row r="1857" spans="1:8" ht="15">
      <c r="A1857"/>
      <c r="B1857"/>
      <c r="C1857"/>
      <c r="D1857"/>
      <c r="E1857"/>
      <c r="F1857"/>
      <c r="G1857"/>
      <c r="H1857"/>
    </row>
    <row r="1858" spans="1:8" ht="15">
      <c r="A1858"/>
      <c r="B1858"/>
      <c r="C1858"/>
      <c r="D1858"/>
      <c r="E1858"/>
      <c r="F1858"/>
      <c r="G1858"/>
      <c r="H1858"/>
    </row>
    <row r="1859" spans="1:8" ht="15">
      <c r="A1859"/>
      <c r="B1859"/>
      <c r="C1859"/>
      <c r="D1859"/>
      <c r="E1859"/>
      <c r="F1859"/>
      <c r="G1859"/>
      <c r="H1859"/>
    </row>
    <row r="1860" spans="1:8" ht="15">
      <c r="A1860"/>
      <c r="B1860"/>
      <c r="C1860"/>
      <c r="D1860"/>
      <c r="E1860"/>
      <c r="F1860"/>
      <c r="G1860"/>
      <c r="H1860"/>
    </row>
    <row r="1861" spans="1:8" ht="15">
      <c r="A1861"/>
      <c r="B1861"/>
      <c r="C1861"/>
      <c r="D1861"/>
      <c r="E1861"/>
      <c r="F1861"/>
      <c r="G1861"/>
      <c r="H1861"/>
    </row>
    <row r="1862" spans="1:8" ht="15">
      <c r="A1862"/>
      <c r="B1862"/>
      <c r="C1862"/>
      <c r="D1862"/>
      <c r="E1862"/>
      <c r="F1862"/>
      <c r="G1862"/>
      <c r="H1862"/>
    </row>
    <row r="1863" spans="1:8" ht="15">
      <c r="A1863"/>
      <c r="B1863"/>
      <c r="C1863"/>
      <c r="D1863"/>
      <c r="E1863"/>
      <c r="F1863"/>
      <c r="G1863"/>
      <c r="H1863"/>
    </row>
    <row r="1864" spans="1:8" ht="15">
      <c r="A1864"/>
      <c r="B1864"/>
      <c r="C1864"/>
      <c r="D1864"/>
      <c r="E1864"/>
      <c r="F1864"/>
      <c r="G1864"/>
      <c r="H1864"/>
    </row>
    <row r="1865" spans="1:8" ht="15">
      <c r="A1865"/>
      <c r="B1865"/>
      <c r="C1865"/>
      <c r="D1865"/>
      <c r="E1865"/>
      <c r="F1865"/>
      <c r="G1865"/>
      <c r="H1865"/>
    </row>
    <row r="1866" spans="1:8" ht="15">
      <c r="A1866"/>
      <c r="B1866"/>
      <c r="C1866"/>
      <c r="D1866"/>
      <c r="E1866"/>
      <c r="F1866"/>
      <c r="G1866"/>
      <c r="H1866"/>
    </row>
    <row r="1867" spans="1:8" ht="15">
      <c r="A1867"/>
      <c r="B1867"/>
      <c r="C1867"/>
      <c r="D1867"/>
      <c r="E1867"/>
      <c r="F1867"/>
      <c r="G1867"/>
      <c r="H1867"/>
    </row>
    <row r="1868" spans="1:8" ht="15">
      <c r="A1868"/>
      <c r="B1868"/>
      <c r="C1868"/>
      <c r="D1868"/>
      <c r="E1868"/>
      <c r="F1868"/>
      <c r="G1868"/>
      <c r="H1868"/>
    </row>
    <row r="1869" spans="1:8" ht="15">
      <c r="A1869"/>
      <c r="B1869"/>
      <c r="C1869"/>
      <c r="D1869"/>
      <c r="E1869"/>
      <c r="F1869"/>
      <c r="G1869"/>
      <c r="H1869"/>
    </row>
    <row r="1870" spans="1:8" ht="15">
      <c r="A1870"/>
      <c r="B1870"/>
      <c r="C1870"/>
      <c r="D1870"/>
      <c r="E1870"/>
      <c r="F1870"/>
      <c r="G1870"/>
      <c r="H1870"/>
    </row>
    <row r="1871" spans="1:8" ht="15">
      <c r="A1871"/>
      <c r="B1871"/>
      <c r="C1871"/>
      <c r="D1871"/>
      <c r="E1871"/>
      <c r="F1871"/>
      <c r="G1871"/>
      <c r="H1871"/>
    </row>
    <row r="1872" spans="1:8" ht="15">
      <c r="A1872"/>
      <c r="B1872"/>
      <c r="C1872"/>
      <c r="D1872"/>
      <c r="E1872"/>
      <c r="F1872"/>
      <c r="G1872"/>
      <c r="H1872"/>
    </row>
    <row r="1873" spans="1:8" ht="15">
      <c r="A1873"/>
      <c r="B1873"/>
      <c r="C1873"/>
      <c r="D1873"/>
      <c r="E1873"/>
      <c r="F1873"/>
      <c r="G1873"/>
      <c r="H1873"/>
    </row>
    <row r="1874" spans="1:8" ht="15">
      <c r="A1874"/>
      <c r="B1874"/>
      <c r="C1874"/>
      <c r="D1874"/>
      <c r="E1874"/>
      <c r="F1874"/>
      <c r="G1874"/>
      <c r="H1874"/>
    </row>
    <row r="1875" spans="1:8" ht="15">
      <c r="A1875"/>
      <c r="B1875"/>
      <c r="C1875"/>
      <c r="D1875"/>
      <c r="E1875"/>
      <c r="F1875"/>
      <c r="G1875"/>
      <c r="H1875"/>
    </row>
    <row r="1876" spans="1:8" ht="15">
      <c r="A1876"/>
      <c r="B1876"/>
      <c r="C1876"/>
      <c r="D1876"/>
      <c r="E1876"/>
      <c r="F1876"/>
      <c r="G1876"/>
      <c r="H1876"/>
    </row>
    <row r="1877" spans="1:8" ht="15">
      <c r="A1877"/>
      <c r="B1877"/>
      <c r="C1877"/>
      <c r="D1877"/>
      <c r="E1877"/>
      <c r="F1877"/>
      <c r="G1877"/>
      <c r="H1877"/>
    </row>
    <row r="1878" spans="1:8" ht="15">
      <c r="A1878"/>
      <c r="B1878"/>
      <c r="C1878"/>
      <c r="D1878"/>
      <c r="E1878"/>
      <c r="F1878"/>
      <c r="G1878"/>
      <c r="H1878"/>
    </row>
    <row r="1879" spans="1:8" ht="15">
      <c r="A1879"/>
      <c r="B1879"/>
      <c r="C1879"/>
      <c r="D1879"/>
      <c r="E1879"/>
      <c r="F1879"/>
      <c r="G1879"/>
      <c r="H1879"/>
    </row>
    <row r="1880" spans="1:8" ht="15">
      <c r="A1880"/>
      <c r="B1880"/>
      <c r="C1880"/>
      <c r="D1880"/>
      <c r="E1880"/>
      <c r="F1880"/>
      <c r="G1880"/>
      <c r="H1880"/>
    </row>
    <row r="1881" spans="1:8" ht="15">
      <c r="A1881"/>
      <c r="B1881"/>
      <c r="C1881"/>
      <c r="D1881"/>
      <c r="E1881"/>
      <c r="F1881"/>
      <c r="G1881"/>
      <c r="H1881"/>
    </row>
    <row r="1882" spans="1:8" ht="15">
      <c r="A1882"/>
      <c r="B1882"/>
      <c r="C1882"/>
      <c r="D1882"/>
      <c r="E1882"/>
      <c r="F1882"/>
      <c r="G1882"/>
      <c r="H1882"/>
    </row>
    <row r="1883" spans="1:8" ht="15">
      <c r="A1883"/>
      <c r="B1883"/>
      <c r="C1883"/>
      <c r="D1883"/>
      <c r="E1883"/>
      <c r="F1883"/>
      <c r="G1883"/>
      <c r="H1883"/>
    </row>
    <row r="1884" spans="1:8" ht="15">
      <c r="A1884"/>
      <c r="B1884"/>
      <c r="C1884"/>
      <c r="D1884"/>
      <c r="E1884"/>
      <c r="F1884"/>
      <c r="G1884"/>
      <c r="H1884"/>
    </row>
    <row r="1885" spans="1:8" ht="15">
      <c r="A1885"/>
      <c r="B1885"/>
      <c r="C1885"/>
      <c r="D1885"/>
      <c r="E1885"/>
      <c r="F1885"/>
      <c r="G1885"/>
      <c r="H1885"/>
    </row>
    <row r="1886" spans="1:8" ht="15">
      <c r="A1886"/>
      <c r="B1886"/>
      <c r="C1886"/>
      <c r="D1886"/>
      <c r="E1886"/>
      <c r="F1886"/>
      <c r="G1886"/>
      <c r="H1886"/>
    </row>
    <row r="1887" spans="1:8" ht="15">
      <c r="A1887"/>
      <c r="B1887"/>
      <c r="C1887"/>
      <c r="D1887"/>
      <c r="E1887"/>
      <c r="F1887"/>
      <c r="G1887"/>
      <c r="H1887"/>
    </row>
    <row r="1888" spans="1:8" ht="15">
      <c r="A1888"/>
      <c r="B1888"/>
      <c r="C1888"/>
      <c r="D1888"/>
      <c r="E1888"/>
      <c r="F1888"/>
      <c r="G1888"/>
      <c r="H1888"/>
    </row>
    <row r="1889" spans="1:8" ht="15">
      <c r="A1889"/>
      <c r="B1889"/>
      <c r="C1889"/>
      <c r="D1889"/>
      <c r="E1889"/>
      <c r="F1889"/>
      <c r="G1889"/>
      <c r="H1889"/>
    </row>
    <row r="1890" spans="1:8" ht="15">
      <c r="A1890"/>
      <c r="B1890"/>
      <c r="C1890"/>
      <c r="D1890"/>
      <c r="E1890"/>
      <c r="F1890"/>
      <c r="G1890"/>
      <c r="H1890"/>
    </row>
    <row r="1891" spans="1:8" ht="15">
      <c r="A1891"/>
      <c r="B1891"/>
      <c r="C1891"/>
      <c r="D1891"/>
      <c r="E1891"/>
      <c r="F1891"/>
      <c r="G1891"/>
      <c r="H1891"/>
    </row>
    <row r="1892" spans="1:8" ht="15">
      <c r="A1892"/>
      <c r="B1892"/>
      <c r="C1892"/>
      <c r="D1892"/>
      <c r="E1892"/>
      <c r="F1892"/>
      <c r="G1892"/>
      <c r="H1892"/>
    </row>
    <row r="1893" spans="1:8" ht="15">
      <c r="A1893"/>
      <c r="B1893"/>
      <c r="C1893"/>
      <c r="D1893"/>
      <c r="E1893"/>
      <c r="F1893"/>
      <c r="G1893"/>
      <c r="H1893"/>
    </row>
    <row r="1894" spans="1:8" ht="15">
      <c r="A1894"/>
      <c r="B1894"/>
      <c r="C1894"/>
      <c r="D1894"/>
      <c r="E1894"/>
      <c r="F1894"/>
      <c r="G1894"/>
      <c r="H1894"/>
    </row>
    <row r="1895" spans="1:8" ht="15">
      <c r="A1895"/>
      <c r="B1895"/>
      <c r="C1895"/>
      <c r="D1895"/>
      <c r="E1895"/>
      <c r="F1895"/>
      <c r="G1895"/>
      <c r="H1895"/>
    </row>
    <row r="1896" spans="1:8" ht="15">
      <c r="A1896"/>
      <c r="B1896"/>
      <c r="C1896"/>
      <c r="D1896"/>
      <c r="E1896"/>
      <c r="F1896"/>
      <c r="G1896"/>
      <c r="H1896"/>
    </row>
    <row r="1897" spans="1:8" ht="15">
      <c r="A1897"/>
      <c r="B1897"/>
      <c r="C1897"/>
      <c r="D1897"/>
      <c r="E1897"/>
      <c r="F1897"/>
      <c r="G1897"/>
      <c r="H1897"/>
    </row>
    <row r="1898" spans="1:8" ht="15">
      <c r="A1898"/>
      <c r="B1898"/>
      <c r="C1898"/>
      <c r="D1898"/>
      <c r="E1898"/>
      <c r="F1898"/>
      <c r="G1898"/>
      <c r="H1898"/>
    </row>
    <row r="1899" spans="1:8" ht="15">
      <c r="A1899"/>
      <c r="B1899"/>
      <c r="C1899"/>
      <c r="D1899"/>
      <c r="E1899"/>
      <c r="F1899"/>
      <c r="G1899"/>
      <c r="H1899"/>
    </row>
    <row r="1900" spans="1:8" ht="15">
      <c r="A1900"/>
      <c r="B1900"/>
      <c r="C1900"/>
      <c r="D1900"/>
      <c r="E1900"/>
      <c r="F1900"/>
      <c r="G1900"/>
      <c r="H1900"/>
    </row>
    <row r="1901" spans="1:8" ht="15">
      <c r="A1901"/>
      <c r="B1901"/>
      <c r="C1901"/>
      <c r="D1901"/>
      <c r="E1901"/>
      <c r="F1901"/>
      <c r="G1901"/>
      <c r="H1901"/>
    </row>
    <row r="1902" spans="1:8" ht="15">
      <c r="A1902"/>
      <c r="B1902"/>
      <c r="C1902"/>
      <c r="D1902"/>
      <c r="E1902"/>
      <c r="F1902"/>
      <c r="G1902"/>
      <c r="H1902"/>
    </row>
    <row r="1903" spans="1:8" ht="15">
      <c r="A1903"/>
      <c r="B1903"/>
      <c r="C1903"/>
      <c r="D1903"/>
      <c r="E1903"/>
      <c r="F1903"/>
      <c r="G1903"/>
      <c r="H1903"/>
    </row>
    <row r="1904" spans="1:8" ht="15">
      <c r="A1904"/>
      <c r="B1904"/>
      <c r="C1904"/>
      <c r="D1904"/>
      <c r="E1904"/>
      <c r="F1904"/>
      <c r="G1904"/>
      <c r="H1904"/>
    </row>
    <row r="1905" spans="1:8" ht="15">
      <c r="A1905"/>
      <c r="B1905"/>
      <c r="C1905"/>
      <c r="D1905"/>
      <c r="E1905"/>
      <c r="F1905"/>
      <c r="G1905"/>
      <c r="H1905"/>
    </row>
    <row r="1906" spans="1:8" ht="15">
      <c r="A1906"/>
      <c r="B1906"/>
      <c r="C1906"/>
      <c r="D1906"/>
      <c r="E1906"/>
      <c r="F1906"/>
      <c r="G1906"/>
      <c r="H1906"/>
    </row>
    <row r="1907" spans="1:8" ht="15">
      <c r="A1907"/>
      <c r="B1907"/>
      <c r="C1907"/>
      <c r="D1907"/>
      <c r="E1907"/>
      <c r="F1907"/>
      <c r="G1907"/>
      <c r="H1907"/>
    </row>
    <row r="1908" spans="1:8" ht="15">
      <c r="A1908"/>
      <c r="B1908"/>
      <c r="C1908"/>
      <c r="D1908"/>
      <c r="E1908"/>
      <c r="F1908"/>
      <c r="G1908"/>
      <c r="H1908"/>
    </row>
    <row r="1909" spans="1:8" ht="15">
      <c r="A1909"/>
      <c r="B1909"/>
      <c r="C1909"/>
      <c r="D1909"/>
      <c r="E1909"/>
      <c r="F1909"/>
      <c r="G1909"/>
      <c r="H1909"/>
    </row>
    <row r="1910" spans="1:8" ht="15">
      <c r="A1910"/>
      <c r="B1910"/>
      <c r="C1910"/>
      <c r="D1910"/>
      <c r="E1910"/>
      <c r="F1910"/>
      <c r="G1910"/>
      <c r="H1910"/>
    </row>
    <row r="1911" spans="1:8" ht="15">
      <c r="A1911"/>
      <c r="B1911"/>
      <c r="C1911"/>
      <c r="D1911"/>
      <c r="E1911"/>
      <c r="F1911"/>
      <c r="G1911"/>
      <c r="H1911"/>
    </row>
    <row r="1912" spans="1:8" ht="15">
      <c r="A1912"/>
      <c r="B1912"/>
      <c r="C1912"/>
      <c r="D1912"/>
      <c r="E1912"/>
      <c r="F1912"/>
      <c r="G1912"/>
      <c r="H1912"/>
    </row>
    <row r="1913" spans="1:8" ht="15">
      <c r="A1913"/>
      <c r="B1913"/>
      <c r="C1913"/>
      <c r="D1913"/>
      <c r="E1913"/>
      <c r="F1913"/>
      <c r="G1913"/>
      <c r="H1913"/>
    </row>
    <row r="1914" spans="1:8" ht="15">
      <c r="A1914"/>
      <c r="B1914"/>
      <c r="C1914"/>
      <c r="D1914"/>
      <c r="E1914"/>
      <c r="F1914"/>
      <c r="G1914"/>
      <c r="H1914"/>
    </row>
    <row r="1915" spans="1:8" ht="15">
      <c r="A1915"/>
      <c r="B1915"/>
      <c r="C1915"/>
      <c r="D1915"/>
      <c r="E1915"/>
      <c r="F1915"/>
      <c r="G1915"/>
      <c r="H1915"/>
    </row>
    <row r="1916" spans="1:8" ht="15">
      <c r="A1916"/>
      <c r="B1916"/>
      <c r="C1916"/>
      <c r="D1916"/>
      <c r="E1916"/>
      <c r="F1916"/>
      <c r="G1916"/>
      <c r="H1916"/>
    </row>
    <row r="1917" spans="1:8" ht="15">
      <c r="A1917"/>
      <c r="B1917"/>
      <c r="C1917"/>
      <c r="D1917"/>
      <c r="E1917"/>
      <c r="F1917"/>
      <c r="G1917"/>
      <c r="H1917"/>
    </row>
    <row r="1918" spans="1:8" ht="15">
      <c r="A1918"/>
      <c r="B1918"/>
      <c r="C1918"/>
      <c r="D1918"/>
      <c r="E1918"/>
      <c r="F1918"/>
      <c r="G1918"/>
      <c r="H1918"/>
    </row>
    <row r="1919" spans="1:8" ht="15">
      <c r="A1919"/>
      <c r="B1919"/>
      <c r="C1919"/>
      <c r="D1919"/>
      <c r="E1919"/>
      <c r="F1919"/>
      <c r="G1919"/>
      <c r="H1919"/>
    </row>
    <row r="1920" spans="1:8" ht="15">
      <c r="A1920"/>
      <c r="B1920"/>
      <c r="C1920"/>
      <c r="D1920"/>
      <c r="E1920"/>
      <c r="F1920"/>
      <c r="G1920"/>
      <c r="H1920"/>
    </row>
    <row r="1921" spans="1:8" ht="15">
      <c r="A1921"/>
      <c r="B1921"/>
      <c r="C1921"/>
      <c r="D1921"/>
      <c r="E1921"/>
      <c r="F1921"/>
      <c r="G1921"/>
      <c r="H1921"/>
    </row>
    <row r="1922" spans="1:8" ht="15">
      <c r="A1922"/>
      <c r="B1922"/>
      <c r="C1922"/>
      <c r="D1922"/>
      <c r="E1922"/>
      <c r="F1922"/>
      <c r="G1922"/>
      <c r="H1922"/>
    </row>
    <row r="1923" spans="1:8" ht="15">
      <c r="A1923"/>
      <c r="B1923"/>
      <c r="C1923"/>
      <c r="D1923"/>
      <c r="E1923"/>
      <c r="F1923"/>
      <c r="G1923"/>
      <c r="H1923"/>
    </row>
    <row r="1924" spans="1:8" ht="15">
      <c r="A1924"/>
      <c r="B1924"/>
      <c r="C1924"/>
      <c r="D1924"/>
      <c r="E1924"/>
      <c r="F1924"/>
      <c r="G1924"/>
      <c r="H1924"/>
    </row>
    <row r="1925" spans="1:8" ht="15">
      <c r="A1925"/>
      <c r="B1925"/>
      <c r="C1925"/>
      <c r="D1925"/>
      <c r="E1925"/>
      <c r="F1925"/>
      <c r="G1925"/>
      <c r="H1925"/>
    </row>
    <row r="1926" spans="1:8" ht="15">
      <c r="A1926"/>
      <c r="B1926"/>
      <c r="C1926"/>
      <c r="D1926"/>
      <c r="E1926"/>
      <c r="F1926"/>
      <c r="G1926"/>
      <c r="H1926"/>
    </row>
    <row r="1927" spans="1:8" ht="15">
      <c r="A1927"/>
      <c r="B1927"/>
      <c r="C1927"/>
      <c r="D1927"/>
      <c r="E1927"/>
      <c r="F1927"/>
      <c r="G1927"/>
      <c r="H1927"/>
    </row>
    <row r="1928" spans="1:8" ht="15">
      <c r="A1928"/>
      <c r="B1928"/>
      <c r="C1928"/>
      <c r="D1928"/>
      <c r="E1928"/>
      <c r="F1928"/>
      <c r="G1928"/>
      <c r="H1928"/>
    </row>
    <row r="1929" spans="1:8" ht="15">
      <c r="A1929"/>
      <c r="B1929"/>
      <c r="C1929"/>
      <c r="D1929"/>
      <c r="E1929"/>
      <c r="F1929"/>
      <c r="G1929"/>
      <c r="H1929"/>
    </row>
    <row r="1930" spans="1:8" ht="15">
      <c r="A1930"/>
      <c r="B1930"/>
      <c r="C1930"/>
      <c r="D1930"/>
      <c r="E1930"/>
      <c r="F1930"/>
      <c r="G1930"/>
      <c r="H1930"/>
    </row>
    <row r="1931" spans="1:8" ht="15">
      <c r="A1931"/>
      <c r="B1931"/>
      <c r="C1931"/>
      <c r="D1931"/>
      <c r="E1931"/>
      <c r="F1931"/>
      <c r="G1931"/>
      <c r="H1931"/>
    </row>
    <row r="1932" spans="1:8" ht="15">
      <c r="A1932"/>
      <c r="B1932"/>
      <c r="C1932"/>
      <c r="D1932"/>
      <c r="E1932"/>
      <c r="F1932"/>
      <c r="G1932"/>
      <c r="H1932"/>
    </row>
    <row r="1933" spans="1:8" ht="15">
      <c r="A1933"/>
      <c r="B1933"/>
      <c r="C1933"/>
      <c r="D1933"/>
      <c r="E1933"/>
      <c r="F1933"/>
      <c r="G1933"/>
      <c r="H1933"/>
    </row>
    <row r="1934" spans="1:8" ht="15">
      <c r="A1934"/>
      <c r="B1934"/>
      <c r="C1934"/>
      <c r="D1934"/>
      <c r="E1934"/>
      <c r="F1934"/>
      <c r="G1934"/>
      <c r="H1934"/>
    </row>
    <row r="1935" spans="1:8" ht="15">
      <c r="A1935"/>
      <c r="B1935"/>
      <c r="C1935"/>
      <c r="D1935"/>
      <c r="E1935"/>
      <c r="F1935"/>
      <c r="G1935"/>
      <c r="H1935"/>
    </row>
    <row r="1936" spans="1:8" ht="15">
      <c r="A1936"/>
      <c r="B1936"/>
      <c r="C1936"/>
      <c r="D1936"/>
      <c r="E1936"/>
      <c r="F1936"/>
      <c r="G1936"/>
      <c r="H1936"/>
    </row>
    <row r="1937" spans="1:8" ht="15">
      <c r="A1937"/>
      <c r="B1937"/>
      <c r="C1937"/>
      <c r="D1937"/>
      <c r="E1937"/>
      <c r="F1937"/>
      <c r="G1937"/>
      <c r="H1937"/>
    </row>
    <row r="1938" spans="1:8" ht="15">
      <c r="A1938"/>
      <c r="B1938"/>
      <c r="C1938"/>
      <c r="D1938"/>
      <c r="E1938"/>
      <c r="F1938"/>
      <c r="G1938"/>
      <c r="H1938"/>
    </row>
    <row r="1939" spans="1:8" ht="15">
      <c r="A1939"/>
      <c r="B1939"/>
      <c r="C1939"/>
      <c r="D1939"/>
      <c r="E1939"/>
      <c r="F1939"/>
      <c r="G1939"/>
      <c r="H1939"/>
    </row>
    <row r="1940" spans="1:8" ht="15">
      <c r="A1940"/>
      <c r="B1940"/>
      <c r="C1940"/>
      <c r="D1940"/>
      <c r="E1940"/>
      <c r="F1940"/>
      <c r="G1940"/>
      <c r="H1940"/>
    </row>
    <row r="1941" spans="1:8" ht="15">
      <c r="A1941"/>
      <c r="B1941"/>
      <c r="C1941"/>
      <c r="D1941"/>
      <c r="E1941"/>
      <c r="F1941"/>
      <c r="G1941"/>
      <c r="H1941"/>
    </row>
    <row r="1942" spans="1:8" ht="15">
      <c r="A1942"/>
      <c r="B1942"/>
      <c r="C1942"/>
      <c r="D1942"/>
      <c r="E1942"/>
      <c r="F1942"/>
      <c r="G1942"/>
      <c r="H1942"/>
    </row>
    <row r="1943" spans="1:8" ht="15">
      <c r="A1943"/>
      <c r="B1943"/>
      <c r="C1943"/>
      <c r="D1943"/>
      <c r="E1943"/>
      <c r="F1943"/>
      <c r="G1943"/>
      <c r="H1943"/>
    </row>
    <row r="1944" spans="1:8" ht="15">
      <c r="A1944"/>
      <c r="B1944"/>
      <c r="C1944"/>
      <c r="D1944"/>
      <c r="E1944"/>
      <c r="F1944"/>
      <c r="G1944"/>
      <c r="H1944"/>
    </row>
    <row r="1945" spans="1:8" ht="15">
      <c r="A1945"/>
      <c r="B1945"/>
      <c r="C1945"/>
      <c r="D1945"/>
      <c r="E1945"/>
      <c r="F1945"/>
      <c r="G1945"/>
      <c r="H1945"/>
    </row>
    <row r="1946" spans="1:8" ht="15">
      <c r="A1946"/>
      <c r="B1946"/>
      <c r="C1946"/>
      <c r="D1946"/>
      <c r="E1946"/>
      <c r="F1946"/>
      <c r="G1946"/>
      <c r="H1946"/>
    </row>
    <row r="1947" spans="1:8" ht="15">
      <c r="A1947"/>
      <c r="B1947"/>
      <c r="C1947"/>
      <c r="D1947"/>
      <c r="E1947"/>
      <c r="F1947"/>
      <c r="G1947"/>
      <c r="H1947"/>
    </row>
    <row r="1948" spans="1:8" ht="15">
      <c r="A1948"/>
      <c r="B1948"/>
      <c r="C1948"/>
      <c r="D1948"/>
      <c r="E1948"/>
      <c r="F1948"/>
      <c r="G1948"/>
      <c r="H1948"/>
    </row>
    <row r="1949" spans="1:8" ht="15">
      <c r="A1949"/>
      <c r="B1949"/>
      <c r="C1949"/>
      <c r="D1949"/>
      <c r="E1949"/>
      <c r="F1949"/>
      <c r="G1949"/>
      <c r="H1949"/>
    </row>
    <row r="1950" spans="1:8" ht="15">
      <c r="A1950"/>
      <c r="B1950"/>
      <c r="C1950"/>
      <c r="D1950"/>
      <c r="E1950"/>
      <c r="F1950"/>
      <c r="G1950"/>
      <c r="H1950"/>
    </row>
    <row r="1951" spans="1:8" ht="15">
      <c r="A1951"/>
      <c r="B1951"/>
      <c r="C1951"/>
      <c r="D1951"/>
      <c r="E1951"/>
      <c r="F1951"/>
      <c r="G1951"/>
      <c r="H1951"/>
    </row>
    <row r="1952" spans="1:8" ht="15">
      <c r="A1952"/>
      <c r="B1952"/>
      <c r="C1952"/>
      <c r="D1952"/>
      <c r="E1952"/>
      <c r="F1952"/>
      <c r="G1952"/>
      <c r="H1952"/>
    </row>
    <row r="1953" spans="1:8" ht="15">
      <c r="A1953"/>
      <c r="B1953"/>
      <c r="C1953"/>
      <c r="D1953"/>
      <c r="E1953"/>
      <c r="F1953"/>
      <c r="G1953"/>
      <c r="H1953"/>
    </row>
    <row r="1954" spans="1:8" ht="15">
      <c r="A1954"/>
      <c r="B1954"/>
      <c r="C1954"/>
      <c r="D1954"/>
      <c r="E1954"/>
      <c r="F1954"/>
      <c r="G1954"/>
      <c r="H1954"/>
    </row>
    <row r="1955" spans="1:8" ht="15">
      <c r="A1955"/>
      <c r="B1955"/>
      <c r="C1955"/>
      <c r="D1955"/>
      <c r="E1955"/>
      <c r="F1955"/>
      <c r="G1955"/>
      <c r="H1955"/>
    </row>
    <row r="1956" spans="1:8" ht="15">
      <c r="A1956"/>
      <c r="B1956"/>
      <c r="C1956"/>
      <c r="D1956"/>
      <c r="E1956"/>
      <c r="F1956"/>
      <c r="G1956"/>
      <c r="H1956"/>
    </row>
    <row r="1957" spans="1:8" ht="15">
      <c r="A1957"/>
      <c r="B1957"/>
      <c r="C1957"/>
      <c r="D1957"/>
      <c r="E1957"/>
      <c r="F1957"/>
      <c r="G1957"/>
      <c r="H1957"/>
    </row>
    <row r="1958" spans="1:8" ht="15">
      <c r="A1958"/>
      <c r="B1958"/>
      <c r="C1958"/>
      <c r="D1958"/>
      <c r="E1958"/>
      <c r="F1958"/>
      <c r="G1958"/>
      <c r="H1958"/>
    </row>
    <row r="1959" spans="1:8" ht="15">
      <c r="A1959"/>
      <c r="B1959"/>
      <c r="C1959"/>
      <c r="D1959"/>
      <c r="E1959"/>
      <c r="F1959"/>
      <c r="G1959"/>
      <c r="H1959"/>
    </row>
    <row r="1960" spans="1:8" ht="15">
      <c r="A1960"/>
      <c r="B1960"/>
      <c r="C1960"/>
      <c r="D1960"/>
      <c r="E1960"/>
      <c r="F1960"/>
      <c r="G1960"/>
      <c r="H1960"/>
    </row>
    <row r="1961" spans="1:8" ht="15">
      <c r="A1961"/>
      <c r="B1961"/>
      <c r="C1961"/>
      <c r="D1961"/>
      <c r="E1961"/>
      <c r="F1961"/>
      <c r="G1961"/>
      <c r="H1961"/>
    </row>
    <row r="1962" spans="1:8" ht="15">
      <c r="A1962"/>
      <c r="B1962"/>
      <c r="C1962"/>
      <c r="D1962"/>
      <c r="E1962"/>
      <c r="F1962"/>
      <c r="G1962"/>
      <c r="H1962"/>
    </row>
    <row r="1963" spans="1:8" ht="15">
      <c r="A1963"/>
      <c r="B1963"/>
      <c r="C1963"/>
      <c r="D1963"/>
      <c r="E1963"/>
      <c r="F1963"/>
      <c r="G1963"/>
      <c r="H1963"/>
    </row>
    <row r="1964" spans="1:8" ht="15">
      <c r="A1964"/>
      <c r="B1964"/>
      <c r="C1964"/>
      <c r="D1964"/>
      <c r="E1964"/>
      <c r="F1964"/>
      <c r="G1964"/>
      <c r="H1964"/>
    </row>
    <row r="1965" spans="1:8" ht="15">
      <c r="A1965"/>
      <c r="B1965"/>
      <c r="C1965"/>
      <c r="D1965"/>
      <c r="E1965"/>
      <c r="F1965"/>
      <c r="G1965"/>
      <c r="H1965"/>
    </row>
    <row r="1966" spans="1:8" ht="15">
      <c r="A1966"/>
      <c r="B1966"/>
      <c r="C1966"/>
      <c r="D1966"/>
      <c r="E1966"/>
      <c r="F1966"/>
      <c r="G1966"/>
      <c r="H1966"/>
    </row>
    <row r="1967" spans="1:8" ht="15">
      <c r="A1967"/>
      <c r="B1967"/>
      <c r="C1967"/>
      <c r="D1967"/>
      <c r="E1967"/>
      <c r="F1967"/>
      <c r="G1967"/>
      <c r="H1967"/>
    </row>
    <row r="1968" spans="1:8" ht="15">
      <c r="A1968"/>
      <c r="B1968"/>
      <c r="C1968"/>
      <c r="D1968"/>
      <c r="E1968"/>
      <c r="F1968"/>
      <c r="G1968"/>
      <c r="H1968"/>
    </row>
    <row r="1969" spans="1:8" ht="15">
      <c r="A1969"/>
      <c r="B1969"/>
      <c r="C1969"/>
      <c r="D1969"/>
      <c r="E1969"/>
      <c r="F1969"/>
      <c r="G1969"/>
      <c r="H1969"/>
    </row>
    <row r="1970" spans="1:8" ht="15">
      <c r="A1970"/>
      <c r="B1970"/>
      <c r="C1970"/>
      <c r="D1970"/>
      <c r="E1970"/>
      <c r="F1970"/>
      <c r="G1970"/>
      <c r="H1970"/>
    </row>
    <row r="1971" spans="1:8" ht="15">
      <c r="A1971"/>
      <c r="B1971"/>
      <c r="C1971"/>
      <c r="D1971"/>
      <c r="E1971"/>
      <c r="F1971"/>
      <c r="G1971"/>
      <c r="H1971"/>
    </row>
    <row r="1972" spans="1:8" ht="15">
      <c r="A1972"/>
      <c r="B1972"/>
      <c r="C1972"/>
      <c r="D1972"/>
      <c r="E1972"/>
      <c r="F1972"/>
      <c r="G1972"/>
      <c r="H1972"/>
    </row>
    <row r="1973" spans="1:8" ht="15">
      <c r="A1973"/>
      <c r="B1973"/>
      <c r="C1973"/>
      <c r="D1973"/>
      <c r="E1973"/>
      <c r="F1973"/>
      <c r="G1973"/>
      <c r="H1973"/>
    </row>
    <row r="1974" spans="1:8" ht="15">
      <c r="A1974"/>
      <c r="B1974"/>
      <c r="C1974"/>
      <c r="D1974"/>
      <c r="E1974"/>
      <c r="F1974"/>
      <c r="G1974"/>
      <c r="H1974"/>
    </row>
    <row r="1975" spans="1:8" ht="15">
      <c r="A1975"/>
      <c r="B1975"/>
      <c r="C1975"/>
      <c r="D1975"/>
      <c r="E1975"/>
      <c r="F1975"/>
      <c r="G1975"/>
      <c r="H1975"/>
    </row>
    <row r="1976" spans="1:8" ht="15">
      <c r="A1976"/>
      <c r="B1976"/>
      <c r="C1976"/>
      <c r="D1976"/>
      <c r="E1976"/>
      <c r="F1976"/>
      <c r="G1976"/>
      <c r="H1976"/>
    </row>
    <row r="1977" spans="1:8" ht="15">
      <c r="A1977"/>
      <c r="B1977"/>
      <c r="C1977"/>
      <c r="D1977"/>
      <c r="E1977"/>
      <c r="F1977"/>
      <c r="G1977"/>
      <c r="H1977"/>
    </row>
    <row r="1978" spans="1:8" ht="15">
      <c r="A1978"/>
      <c r="B1978"/>
      <c r="C1978"/>
      <c r="D1978"/>
      <c r="E1978"/>
      <c r="F1978"/>
      <c r="G1978"/>
      <c r="H1978"/>
    </row>
    <row r="1979" spans="1:8" ht="15">
      <c r="A1979"/>
      <c r="B1979"/>
      <c r="C1979"/>
      <c r="D1979"/>
      <c r="E1979"/>
      <c r="F1979"/>
      <c r="G1979"/>
      <c r="H1979"/>
    </row>
    <row r="1980" spans="1:8" ht="15">
      <c r="A1980"/>
      <c r="B1980"/>
      <c r="C1980"/>
      <c r="D1980"/>
      <c r="E1980"/>
      <c r="F1980"/>
      <c r="G1980"/>
      <c r="H1980"/>
    </row>
    <row r="1981" spans="1:8" ht="15">
      <c r="A1981"/>
      <c r="B1981"/>
      <c r="C1981"/>
      <c r="D1981"/>
      <c r="E1981"/>
      <c r="F1981"/>
      <c r="G1981"/>
      <c r="H1981"/>
    </row>
    <row r="1982" spans="1:8" ht="15">
      <c r="A1982"/>
      <c r="B1982"/>
      <c r="C1982"/>
      <c r="D1982"/>
      <c r="E1982"/>
      <c r="F1982"/>
      <c r="G1982"/>
      <c r="H1982"/>
    </row>
    <row r="1983" spans="1:8" ht="15">
      <c r="A1983"/>
      <c r="B1983"/>
      <c r="C1983"/>
      <c r="D1983"/>
      <c r="E1983"/>
      <c r="F1983"/>
      <c r="G1983"/>
      <c r="H1983"/>
    </row>
    <row r="1984" spans="1:8" ht="15">
      <c r="A1984"/>
      <c r="B1984"/>
      <c r="C1984"/>
      <c r="D1984"/>
      <c r="E1984"/>
      <c r="F1984"/>
      <c r="G1984"/>
      <c r="H1984"/>
    </row>
    <row r="1985" spans="1:8" ht="15">
      <c r="A1985"/>
      <c r="B1985"/>
      <c r="C1985"/>
      <c r="D1985"/>
      <c r="E1985"/>
      <c r="F1985"/>
      <c r="G1985"/>
      <c r="H1985"/>
    </row>
    <row r="1986" spans="1:8" ht="15">
      <c r="A1986"/>
      <c r="B1986"/>
      <c r="C1986"/>
      <c r="D1986"/>
      <c r="E1986"/>
      <c r="F1986"/>
      <c r="G1986"/>
      <c r="H1986"/>
    </row>
    <row r="1987" spans="1:8" ht="15">
      <c r="A1987"/>
      <c r="B1987"/>
      <c r="C1987"/>
      <c r="D1987"/>
      <c r="E1987"/>
      <c r="F1987"/>
      <c r="G1987"/>
      <c r="H1987"/>
    </row>
    <row r="1988" spans="1:8" ht="15">
      <c r="A1988"/>
      <c r="B1988"/>
      <c r="C1988"/>
      <c r="D1988"/>
      <c r="E1988"/>
      <c r="F1988"/>
      <c r="G1988"/>
      <c r="H1988"/>
    </row>
    <row r="1989" spans="1:8" ht="15">
      <c r="A1989"/>
      <c r="B1989"/>
      <c r="C1989"/>
      <c r="D1989"/>
      <c r="E1989"/>
      <c r="F1989"/>
      <c r="G1989"/>
      <c r="H1989"/>
    </row>
    <row r="1990" spans="1:8" ht="15">
      <c r="A1990"/>
      <c r="B1990"/>
      <c r="C1990"/>
      <c r="D1990"/>
      <c r="E1990"/>
      <c r="F1990"/>
      <c r="G1990"/>
      <c r="H1990"/>
    </row>
    <row r="1991" spans="1:8" ht="15">
      <c r="A1991"/>
      <c r="B1991"/>
      <c r="C1991"/>
      <c r="D1991"/>
      <c r="E1991"/>
      <c r="F1991"/>
      <c r="G1991"/>
      <c r="H1991"/>
    </row>
    <row r="1992" spans="1:8" ht="15">
      <c r="A1992"/>
      <c r="B1992"/>
      <c r="C1992"/>
      <c r="D1992"/>
      <c r="E1992"/>
      <c r="F1992"/>
      <c r="G1992"/>
      <c r="H1992"/>
    </row>
    <row r="1993" spans="1:8" ht="15">
      <c r="A1993"/>
      <c r="B1993"/>
      <c r="C1993"/>
      <c r="D1993"/>
      <c r="E1993"/>
      <c r="F1993"/>
      <c r="G1993"/>
      <c r="H1993"/>
    </row>
    <row r="1994" spans="1:8" ht="15">
      <c r="A1994"/>
      <c r="B1994"/>
      <c r="C1994"/>
      <c r="D1994"/>
      <c r="E1994"/>
      <c r="F1994"/>
      <c r="G1994"/>
      <c r="H1994"/>
    </row>
    <row r="1995" spans="1:8" ht="15">
      <c r="A1995"/>
      <c r="B1995"/>
      <c r="C1995"/>
      <c r="D1995"/>
      <c r="E1995"/>
      <c r="F1995"/>
      <c r="G1995"/>
      <c r="H1995"/>
    </row>
    <row r="1996" spans="1:8" ht="15">
      <c r="A1996"/>
      <c r="B1996"/>
      <c r="C1996"/>
      <c r="D1996"/>
      <c r="E1996"/>
      <c r="F1996"/>
      <c r="G1996"/>
      <c r="H1996"/>
    </row>
    <row r="1997" spans="1:8" ht="15">
      <c r="A1997"/>
      <c r="B1997"/>
      <c r="C1997"/>
      <c r="D1997"/>
      <c r="E1997"/>
      <c r="F1997"/>
      <c r="G1997"/>
      <c r="H1997"/>
    </row>
    <row r="1998" spans="1:8" ht="15">
      <c r="A1998"/>
      <c r="B1998"/>
      <c r="C1998"/>
      <c r="D1998"/>
      <c r="E1998"/>
      <c r="F1998"/>
      <c r="G1998"/>
      <c r="H1998"/>
    </row>
    <row r="1999" spans="1:8" ht="15">
      <c r="A1999"/>
      <c r="B1999"/>
      <c r="C1999"/>
      <c r="D1999"/>
      <c r="E1999"/>
      <c r="F1999"/>
      <c r="G1999"/>
      <c r="H1999"/>
    </row>
    <row r="2000" spans="1:8" ht="15">
      <c r="A2000"/>
      <c r="B2000"/>
      <c r="C2000"/>
      <c r="D2000"/>
      <c r="E2000"/>
      <c r="F2000"/>
      <c r="G2000"/>
      <c r="H2000"/>
    </row>
    <row r="2001" spans="1:8" ht="15">
      <c r="A2001"/>
      <c r="B2001"/>
      <c r="C2001"/>
      <c r="D2001"/>
      <c r="E2001"/>
      <c r="F2001"/>
      <c r="G2001"/>
      <c r="H2001"/>
    </row>
    <row r="2002" spans="1:8" ht="15">
      <c r="A2002"/>
      <c r="B2002"/>
      <c r="C2002"/>
      <c r="D2002"/>
      <c r="E2002"/>
      <c r="F2002"/>
      <c r="G2002"/>
      <c r="H2002"/>
    </row>
    <row r="2003" spans="1:8" ht="15">
      <c r="A2003"/>
      <c r="B2003"/>
      <c r="C2003"/>
      <c r="D2003"/>
      <c r="E2003"/>
      <c r="F2003"/>
      <c r="G2003"/>
      <c r="H2003"/>
    </row>
    <row r="2004" spans="1:8" ht="15">
      <c r="A2004"/>
      <c r="B2004"/>
      <c r="C2004"/>
      <c r="D2004"/>
      <c r="E2004"/>
      <c r="F2004"/>
      <c r="G2004"/>
      <c r="H2004"/>
    </row>
    <row r="2005" spans="1:8" ht="15">
      <c r="A2005"/>
      <c r="B2005"/>
      <c r="C2005"/>
      <c r="D2005"/>
      <c r="E2005"/>
      <c r="F2005"/>
      <c r="G2005"/>
      <c r="H2005"/>
    </row>
    <row r="2006" spans="1:8" ht="15">
      <c r="A2006"/>
      <c r="B2006"/>
      <c r="C2006"/>
      <c r="D2006"/>
      <c r="E2006"/>
      <c r="F2006"/>
      <c r="G2006"/>
      <c r="H2006"/>
    </row>
    <row r="2007" spans="1:8" ht="15">
      <c r="A2007"/>
      <c r="B2007"/>
      <c r="C2007"/>
      <c r="D2007"/>
      <c r="E2007"/>
      <c r="F2007"/>
      <c r="G2007"/>
      <c r="H2007"/>
    </row>
    <row r="2008" spans="1:8" ht="15">
      <c r="A2008"/>
      <c r="B2008"/>
      <c r="C2008"/>
      <c r="D2008"/>
      <c r="E2008"/>
      <c r="F2008"/>
      <c r="G2008"/>
      <c r="H2008"/>
    </row>
    <row r="2009" spans="1:8" ht="15">
      <c r="A2009"/>
      <c r="B2009"/>
      <c r="C2009"/>
      <c r="D2009"/>
      <c r="E2009"/>
      <c r="F2009"/>
      <c r="G2009"/>
      <c r="H2009"/>
    </row>
    <row r="2010" spans="1:8" ht="15">
      <c r="A2010"/>
      <c r="B2010"/>
      <c r="C2010"/>
      <c r="D2010"/>
      <c r="E2010"/>
      <c r="F2010"/>
      <c r="G2010"/>
      <c r="H2010"/>
    </row>
    <row r="2011" spans="1:8" ht="15">
      <c r="A2011"/>
      <c r="B2011"/>
      <c r="C2011"/>
      <c r="D2011"/>
      <c r="E2011"/>
      <c r="F2011"/>
      <c r="G2011"/>
      <c r="H2011"/>
    </row>
    <row r="2012" spans="1:8" ht="15">
      <c r="A2012"/>
      <c r="B2012"/>
      <c r="C2012"/>
      <c r="D2012"/>
      <c r="E2012"/>
      <c r="F2012"/>
      <c r="G2012"/>
      <c r="H2012"/>
    </row>
    <row r="2013" spans="1:8" ht="15">
      <c r="A2013"/>
      <c r="B2013"/>
      <c r="C2013"/>
      <c r="D2013"/>
      <c r="E2013"/>
      <c r="F2013"/>
      <c r="G2013"/>
      <c r="H2013"/>
    </row>
    <row r="2014" spans="1:8" ht="15">
      <c r="A2014"/>
      <c r="B2014"/>
      <c r="C2014"/>
      <c r="D2014"/>
      <c r="E2014"/>
      <c r="F2014"/>
      <c r="G2014"/>
      <c r="H2014"/>
    </row>
    <row r="2015" spans="1:8" ht="15">
      <c r="A2015"/>
      <c r="B2015"/>
      <c r="C2015"/>
      <c r="D2015"/>
      <c r="E2015"/>
      <c r="F2015"/>
      <c r="G2015"/>
      <c r="H2015"/>
    </row>
    <row r="2016" spans="1:8" ht="15">
      <c r="A2016"/>
      <c r="B2016"/>
      <c r="C2016"/>
      <c r="D2016"/>
      <c r="E2016"/>
      <c r="F2016"/>
      <c r="G2016"/>
      <c r="H2016"/>
    </row>
    <row r="2017" spans="1:8" ht="15">
      <c r="A2017"/>
      <c r="B2017"/>
      <c r="C2017"/>
      <c r="D2017"/>
      <c r="E2017"/>
      <c r="F2017"/>
      <c r="G2017"/>
      <c r="H2017"/>
    </row>
    <row r="2018" spans="1:8" ht="15">
      <c r="A2018"/>
      <c r="B2018"/>
      <c r="C2018"/>
      <c r="D2018"/>
      <c r="E2018"/>
      <c r="F2018"/>
      <c r="G2018"/>
      <c r="H2018"/>
    </row>
    <row r="2019" spans="1:8" ht="15">
      <c r="A2019"/>
      <c r="B2019"/>
      <c r="C2019"/>
      <c r="D2019"/>
      <c r="E2019"/>
      <c r="F2019"/>
      <c r="G2019"/>
      <c r="H2019"/>
    </row>
    <row r="2020" spans="1:8" ht="15">
      <c r="A2020"/>
      <c r="B2020"/>
      <c r="C2020"/>
      <c r="D2020"/>
      <c r="E2020"/>
      <c r="F2020"/>
      <c r="G2020"/>
      <c r="H2020"/>
    </row>
    <row r="2021" spans="1:8" ht="15">
      <c r="A2021"/>
      <c r="B2021"/>
      <c r="C2021"/>
      <c r="D2021"/>
      <c r="E2021"/>
      <c r="F2021"/>
      <c r="G2021"/>
      <c r="H2021"/>
    </row>
    <row r="2022" spans="1:8" ht="15">
      <c r="A2022"/>
      <c r="B2022"/>
      <c r="C2022"/>
      <c r="D2022"/>
      <c r="E2022"/>
      <c r="F2022"/>
      <c r="G2022"/>
      <c r="H2022"/>
    </row>
    <row r="2023" spans="1:8" ht="15">
      <c r="A2023"/>
      <c r="B2023"/>
      <c r="C2023"/>
      <c r="D2023"/>
      <c r="E2023"/>
      <c r="F2023"/>
      <c r="G2023"/>
      <c r="H2023"/>
    </row>
    <row r="2024" spans="1:8" ht="15">
      <c r="A2024"/>
      <c r="B2024"/>
      <c r="C2024"/>
      <c r="D2024"/>
      <c r="E2024"/>
      <c r="F2024"/>
      <c r="G2024"/>
      <c r="H2024"/>
    </row>
    <row r="2025" spans="1:8" ht="15">
      <c r="A2025"/>
      <c r="B2025"/>
      <c r="C2025"/>
      <c r="D2025"/>
      <c r="E2025"/>
      <c r="F2025"/>
      <c r="G2025"/>
      <c r="H2025"/>
    </row>
    <row r="2026" spans="1:8" ht="15">
      <c r="A2026"/>
      <c r="B2026"/>
      <c r="C2026"/>
      <c r="D2026"/>
      <c r="E2026"/>
      <c r="F2026"/>
      <c r="G2026"/>
      <c r="H2026"/>
    </row>
    <row r="2027" spans="1:8" ht="15">
      <c r="A2027"/>
      <c r="B2027"/>
      <c r="C2027"/>
      <c r="D2027"/>
      <c r="E2027"/>
      <c r="F2027"/>
      <c r="G2027"/>
      <c r="H2027"/>
    </row>
    <row r="2028" spans="1:8" ht="15">
      <c r="A2028"/>
      <c r="B2028"/>
      <c r="C2028"/>
      <c r="D2028"/>
      <c r="E2028"/>
      <c r="F2028"/>
      <c r="G2028"/>
      <c r="H2028"/>
    </row>
    <row r="2029" spans="1:8" ht="15">
      <c r="A2029"/>
      <c r="B2029"/>
      <c r="C2029"/>
      <c r="D2029"/>
      <c r="E2029"/>
      <c r="F2029"/>
      <c r="G2029"/>
      <c r="H2029"/>
    </row>
    <row r="2030" spans="1:8" ht="15">
      <c r="A2030"/>
      <c r="B2030"/>
      <c r="C2030"/>
      <c r="D2030"/>
      <c r="E2030"/>
      <c r="F2030"/>
      <c r="G2030"/>
      <c r="H2030"/>
    </row>
    <row r="2031" spans="1:8" ht="15">
      <c r="A2031"/>
      <c r="B2031"/>
      <c r="C2031"/>
      <c r="D2031"/>
      <c r="E2031"/>
      <c r="F2031"/>
      <c r="G2031"/>
      <c r="H2031"/>
    </row>
    <row r="2032" spans="1:8" ht="15">
      <c r="A2032"/>
      <c r="B2032"/>
      <c r="C2032"/>
      <c r="D2032"/>
      <c r="E2032"/>
      <c r="F2032"/>
      <c r="G2032"/>
      <c r="H2032"/>
    </row>
    <row r="2033" spans="1:8" ht="15">
      <c r="A2033"/>
      <c r="B2033"/>
      <c r="C2033"/>
      <c r="D2033"/>
      <c r="E2033"/>
      <c r="F2033"/>
      <c r="G2033"/>
      <c r="H2033"/>
    </row>
    <row r="2034" spans="1:8" ht="15">
      <c r="A2034"/>
      <c r="B2034"/>
      <c r="C2034"/>
      <c r="D2034"/>
      <c r="E2034"/>
      <c r="F2034"/>
      <c r="G2034"/>
      <c r="H2034"/>
    </row>
    <row r="2035" spans="1:8" ht="15">
      <c r="A2035"/>
      <c r="B2035"/>
      <c r="C2035"/>
      <c r="D2035"/>
      <c r="E2035"/>
      <c r="F2035"/>
      <c r="G2035"/>
      <c r="H2035"/>
    </row>
    <row r="2036" spans="1:8" ht="15">
      <c r="A2036"/>
      <c r="B2036"/>
      <c r="C2036"/>
      <c r="D2036"/>
      <c r="E2036"/>
      <c r="F2036"/>
      <c r="G2036"/>
      <c r="H2036"/>
    </row>
    <row r="2037" spans="1:8" ht="15">
      <c r="A2037"/>
      <c r="B2037"/>
      <c r="C2037"/>
      <c r="D2037"/>
      <c r="E2037"/>
      <c r="F2037"/>
      <c r="G2037"/>
      <c r="H2037"/>
    </row>
    <row r="2038" spans="1:8" ht="15">
      <c r="A2038"/>
      <c r="B2038"/>
      <c r="C2038"/>
      <c r="D2038"/>
      <c r="E2038"/>
      <c r="F2038"/>
      <c r="G2038"/>
      <c r="H2038"/>
    </row>
    <row r="2039" spans="1:8" ht="15">
      <c r="A2039"/>
      <c r="B2039"/>
      <c r="C2039"/>
      <c r="D2039"/>
      <c r="E2039"/>
      <c r="F2039"/>
      <c r="G2039"/>
      <c r="H2039"/>
    </row>
    <row r="2040" spans="1:8" ht="15">
      <c r="A2040"/>
      <c r="B2040"/>
      <c r="C2040"/>
      <c r="D2040"/>
      <c r="E2040"/>
      <c r="F2040"/>
      <c r="G2040"/>
      <c r="H2040"/>
    </row>
    <row r="2041" spans="1:8" ht="15">
      <c r="A2041"/>
      <c r="B2041"/>
      <c r="C2041"/>
      <c r="D2041"/>
      <c r="E2041"/>
      <c r="F2041"/>
      <c r="G2041"/>
      <c r="H2041"/>
    </row>
    <row r="2042" spans="1:8" ht="15">
      <c r="A2042"/>
      <c r="B2042"/>
      <c r="C2042"/>
      <c r="D2042"/>
      <c r="E2042"/>
      <c r="F2042"/>
      <c r="G2042"/>
      <c r="H2042"/>
    </row>
    <row r="2043" spans="1:8" ht="15">
      <c r="A2043"/>
      <c r="B2043"/>
      <c r="C2043"/>
      <c r="D2043"/>
      <c r="E2043"/>
      <c r="F2043"/>
      <c r="G2043"/>
      <c r="H2043"/>
    </row>
    <row r="2044" spans="1:8" ht="15">
      <c r="A2044"/>
      <c r="B2044"/>
      <c r="C2044"/>
      <c r="D2044"/>
      <c r="E2044"/>
      <c r="F2044"/>
      <c r="G2044"/>
      <c r="H2044"/>
    </row>
    <row r="2045" spans="1:8" ht="15">
      <c r="A2045"/>
      <c r="B2045"/>
      <c r="C2045"/>
      <c r="D2045"/>
      <c r="E2045"/>
      <c r="F2045"/>
      <c r="G2045"/>
      <c r="H2045"/>
    </row>
    <row r="2046" spans="1:8" ht="15">
      <c r="A2046"/>
      <c r="B2046"/>
      <c r="C2046"/>
      <c r="D2046"/>
      <c r="E2046"/>
      <c r="F2046"/>
      <c r="G2046"/>
      <c r="H2046"/>
    </row>
    <row r="2047" spans="1:8" ht="15">
      <c r="A2047"/>
      <c r="B2047"/>
      <c r="C2047"/>
      <c r="D2047"/>
      <c r="E2047"/>
      <c r="F2047"/>
      <c r="G2047"/>
      <c r="H2047"/>
    </row>
    <row r="2048" spans="1:8" ht="15">
      <c r="A2048"/>
      <c r="B2048"/>
      <c r="C2048"/>
      <c r="D2048"/>
      <c r="E2048"/>
      <c r="F2048"/>
      <c r="G2048"/>
      <c r="H2048"/>
    </row>
    <row r="2049" spans="1:8" ht="15">
      <c r="A2049"/>
      <c r="B2049"/>
      <c r="C2049"/>
      <c r="D2049"/>
      <c r="E2049"/>
      <c r="F2049"/>
      <c r="G2049"/>
      <c r="H2049"/>
    </row>
    <row r="2050" spans="1:8" ht="15">
      <c r="A2050"/>
      <c r="B2050"/>
      <c r="C2050"/>
      <c r="D2050"/>
      <c r="E2050"/>
      <c r="F2050"/>
      <c r="G2050"/>
      <c r="H2050"/>
    </row>
    <row r="2051" spans="1:8" ht="15">
      <c r="A2051"/>
      <c r="B2051"/>
      <c r="C2051"/>
      <c r="D2051"/>
      <c r="E2051"/>
      <c r="F2051"/>
      <c r="G2051"/>
      <c r="H2051"/>
    </row>
    <row r="2052" spans="1:8" ht="15">
      <c r="A2052"/>
      <c r="B2052"/>
      <c r="C2052"/>
      <c r="D2052"/>
      <c r="E2052"/>
      <c r="F2052"/>
      <c r="G2052"/>
      <c r="H2052"/>
    </row>
    <row r="2053" spans="1:8" ht="15">
      <c r="A2053"/>
      <c r="B2053"/>
      <c r="C2053"/>
      <c r="D2053"/>
      <c r="E2053"/>
      <c r="F2053"/>
      <c r="G2053"/>
      <c r="H2053"/>
    </row>
    <row r="2054" spans="1:8" ht="15">
      <c r="A2054"/>
      <c r="B2054"/>
      <c r="C2054"/>
      <c r="D2054"/>
      <c r="E2054"/>
      <c r="F2054"/>
      <c r="G2054"/>
      <c r="H2054"/>
    </row>
    <row r="2055" spans="1:8" ht="15">
      <c r="A2055"/>
      <c r="B2055"/>
      <c r="C2055"/>
      <c r="D2055"/>
      <c r="E2055"/>
      <c r="F2055"/>
      <c r="G2055"/>
      <c r="H2055"/>
    </row>
    <row r="2056" spans="1:8" ht="15">
      <c r="A2056"/>
      <c r="B2056"/>
      <c r="C2056"/>
      <c r="D2056"/>
      <c r="E2056"/>
      <c r="F2056"/>
      <c r="G2056"/>
      <c r="H2056"/>
    </row>
    <row r="2057" spans="1:8" ht="15">
      <c r="A2057"/>
      <c r="B2057"/>
      <c r="C2057"/>
      <c r="D2057"/>
      <c r="E2057"/>
      <c r="F2057"/>
      <c r="G2057"/>
      <c r="H2057"/>
    </row>
    <row r="2058" spans="1:8" ht="15">
      <c r="A2058"/>
      <c r="B2058"/>
      <c r="C2058"/>
      <c r="D2058"/>
      <c r="E2058"/>
      <c r="F2058"/>
      <c r="G2058"/>
      <c r="H2058"/>
    </row>
    <row r="2059" spans="1:8" ht="15">
      <c r="A2059"/>
      <c r="B2059"/>
      <c r="C2059"/>
      <c r="D2059"/>
      <c r="E2059"/>
      <c r="F2059"/>
      <c r="G2059"/>
      <c r="H2059"/>
    </row>
    <row r="2060" spans="1:8" ht="15">
      <c r="A2060"/>
      <c r="B2060"/>
      <c r="C2060"/>
      <c r="D2060"/>
      <c r="E2060"/>
      <c r="F2060"/>
      <c r="G2060"/>
      <c r="H2060"/>
    </row>
    <row r="2061" spans="1:8" ht="15">
      <c r="A2061"/>
      <c r="B2061"/>
      <c r="C2061"/>
      <c r="D2061"/>
      <c r="E2061"/>
      <c r="F2061"/>
      <c r="G2061"/>
      <c r="H2061"/>
    </row>
    <row r="2062" spans="1:8" ht="15">
      <c r="A2062"/>
      <c r="B2062"/>
      <c r="C2062"/>
      <c r="D2062"/>
      <c r="E2062"/>
      <c r="F2062"/>
      <c r="G2062"/>
      <c r="H2062"/>
    </row>
    <row r="2063" spans="1:8" ht="15">
      <c r="A2063"/>
      <c r="B2063"/>
      <c r="C2063"/>
      <c r="D2063"/>
      <c r="E2063"/>
      <c r="F2063"/>
      <c r="G2063"/>
      <c r="H2063"/>
    </row>
    <row r="2064" spans="1:8" ht="15">
      <c r="A2064"/>
      <c r="B2064"/>
      <c r="C2064"/>
      <c r="D2064"/>
      <c r="E2064"/>
      <c r="F2064"/>
      <c r="G2064"/>
      <c r="H2064"/>
    </row>
    <row r="2065" spans="1:8" ht="15">
      <c r="A2065"/>
      <c r="B2065"/>
      <c r="C2065"/>
      <c r="D2065"/>
      <c r="E2065"/>
      <c r="F2065"/>
      <c r="G2065"/>
      <c r="H2065"/>
    </row>
    <row r="2066" spans="1:8" ht="15">
      <c r="A2066"/>
      <c r="B2066"/>
      <c r="C2066"/>
      <c r="D2066"/>
      <c r="E2066"/>
      <c r="F2066"/>
      <c r="G2066"/>
      <c r="H2066"/>
    </row>
    <row r="2067" spans="1:8" ht="15">
      <c r="A2067"/>
      <c r="B2067"/>
      <c r="C2067"/>
      <c r="D2067"/>
      <c r="E2067"/>
      <c r="F2067"/>
      <c r="G2067"/>
      <c r="H2067"/>
    </row>
    <row r="2068" spans="1:8" ht="15">
      <c r="A2068"/>
      <c r="B2068"/>
      <c r="C2068"/>
      <c r="D2068"/>
      <c r="E2068"/>
      <c r="F2068"/>
      <c r="G2068"/>
      <c r="H2068"/>
    </row>
    <row r="2069" spans="1:8" ht="15">
      <c r="A2069"/>
      <c r="B2069"/>
      <c r="C2069"/>
      <c r="D2069"/>
      <c r="E2069"/>
      <c r="F2069"/>
      <c r="G2069"/>
      <c r="H2069"/>
    </row>
    <row r="2070" spans="1:8" ht="15">
      <c r="A2070"/>
      <c r="B2070"/>
      <c r="C2070"/>
      <c r="D2070"/>
      <c r="E2070"/>
      <c r="F2070"/>
      <c r="G2070"/>
      <c r="H2070"/>
    </row>
    <row r="2071" spans="1:8" ht="15">
      <c r="A2071"/>
      <c r="B2071"/>
      <c r="C2071"/>
      <c r="D2071"/>
      <c r="E2071"/>
      <c r="F2071"/>
      <c r="G2071"/>
      <c r="H2071"/>
    </row>
    <row r="2072" spans="1:8" ht="15">
      <c r="A2072"/>
      <c r="B2072"/>
      <c r="C2072"/>
      <c r="D2072"/>
      <c r="E2072"/>
      <c r="F2072"/>
      <c r="G2072"/>
      <c r="H2072"/>
    </row>
    <row r="2073" spans="1:8" ht="15">
      <c r="A2073"/>
      <c r="B2073"/>
      <c r="C2073"/>
      <c r="D2073"/>
      <c r="E2073"/>
      <c r="F2073"/>
      <c r="G2073"/>
      <c r="H2073"/>
    </row>
    <row r="2074" spans="1:8" ht="15">
      <c r="A2074"/>
      <c r="B2074"/>
      <c r="C2074"/>
      <c r="D2074"/>
      <c r="E2074"/>
      <c r="F2074"/>
      <c r="G2074"/>
      <c r="H2074"/>
    </row>
    <row r="2075" spans="1:8" ht="15">
      <c r="A2075"/>
      <c r="B2075"/>
      <c r="C2075"/>
      <c r="D2075"/>
      <c r="E2075"/>
      <c r="F2075"/>
      <c r="G2075"/>
      <c r="H2075"/>
    </row>
    <row r="2076" spans="1:8" ht="15">
      <c r="A2076"/>
      <c r="B2076"/>
      <c r="C2076"/>
      <c r="D2076"/>
      <c r="E2076"/>
      <c r="F2076"/>
      <c r="G2076"/>
      <c r="H2076"/>
    </row>
    <row r="2077" spans="1:8" ht="15">
      <c r="A2077"/>
      <c r="B2077"/>
      <c r="C2077"/>
      <c r="D2077"/>
      <c r="E2077"/>
      <c r="F2077"/>
      <c r="G2077"/>
      <c r="H2077"/>
    </row>
    <row r="2078" spans="1:8" ht="15">
      <c r="A2078"/>
      <c r="B2078"/>
      <c r="C2078"/>
      <c r="D2078"/>
      <c r="E2078"/>
      <c r="F2078"/>
      <c r="G2078"/>
      <c r="H2078"/>
    </row>
    <row r="2079" spans="1:8" ht="15">
      <c r="A2079"/>
      <c r="B2079"/>
      <c r="C2079"/>
      <c r="D2079"/>
      <c r="E2079"/>
      <c r="F2079"/>
      <c r="G2079"/>
      <c r="H2079"/>
    </row>
    <row r="2080" spans="1:8" ht="15">
      <c r="A2080"/>
      <c r="B2080"/>
      <c r="C2080"/>
      <c r="D2080"/>
      <c r="E2080"/>
      <c r="F2080"/>
      <c r="G2080"/>
      <c r="H2080"/>
    </row>
    <row r="2081" spans="1:8" ht="15">
      <c r="A2081"/>
      <c r="B2081"/>
      <c r="C2081"/>
      <c r="D2081"/>
      <c r="E2081"/>
      <c r="F2081"/>
      <c r="G2081"/>
      <c r="H2081"/>
    </row>
    <row r="2082" spans="1:8" ht="15">
      <c r="A2082"/>
      <c r="B2082"/>
      <c r="C2082"/>
      <c r="D2082"/>
      <c r="E2082"/>
      <c r="F2082"/>
      <c r="G2082"/>
      <c r="H2082"/>
    </row>
    <row r="2083" spans="1:8" ht="15">
      <c r="A2083"/>
      <c r="B2083"/>
      <c r="C2083"/>
      <c r="D2083"/>
      <c r="E2083"/>
      <c r="F2083"/>
      <c r="G2083"/>
      <c r="H2083"/>
    </row>
    <row r="2084" spans="1:8" ht="15">
      <c r="A2084"/>
      <c r="B2084"/>
      <c r="C2084"/>
      <c r="D2084"/>
      <c r="E2084"/>
      <c r="F2084"/>
      <c r="G2084"/>
      <c r="H2084"/>
    </row>
    <row r="2085" spans="1:8" ht="15">
      <c r="A2085"/>
      <c r="B2085"/>
      <c r="C2085"/>
      <c r="D2085"/>
      <c r="E2085"/>
      <c r="F2085"/>
      <c r="G2085"/>
      <c r="H2085"/>
    </row>
    <row r="2086" spans="1:8" ht="15">
      <c r="A2086"/>
      <c r="B2086"/>
      <c r="C2086"/>
      <c r="D2086"/>
      <c r="E2086"/>
      <c r="F2086"/>
      <c r="G2086"/>
      <c r="H2086"/>
    </row>
    <row r="2087" spans="1:8" ht="15">
      <c r="A2087"/>
      <c r="B2087"/>
      <c r="C2087"/>
      <c r="D2087"/>
      <c r="E2087"/>
      <c r="F2087"/>
      <c r="G2087"/>
      <c r="H2087"/>
    </row>
    <row r="2088" spans="1:8" ht="15">
      <c r="A2088"/>
      <c r="B2088"/>
      <c r="C2088"/>
      <c r="D2088"/>
      <c r="E2088"/>
      <c r="F2088"/>
      <c r="G2088"/>
      <c r="H2088"/>
    </row>
    <row r="2089" spans="1:8" ht="15">
      <c r="A2089"/>
      <c r="B2089"/>
      <c r="C2089"/>
      <c r="D2089"/>
      <c r="E2089"/>
      <c r="F2089"/>
      <c r="G2089"/>
      <c r="H2089"/>
    </row>
    <row r="2090" spans="1:8" ht="15">
      <c r="A2090"/>
      <c r="B2090"/>
      <c r="C2090"/>
      <c r="D2090"/>
      <c r="E2090"/>
      <c r="F2090"/>
      <c r="G2090"/>
      <c r="H2090"/>
    </row>
    <row r="2091" spans="1:8" ht="15">
      <c r="A2091"/>
      <c r="B2091"/>
      <c r="C2091"/>
      <c r="D2091"/>
      <c r="E2091"/>
      <c r="F2091"/>
      <c r="G2091"/>
      <c r="H2091"/>
    </row>
    <row r="2092" spans="1:8" ht="15">
      <c r="A2092"/>
      <c r="B2092"/>
      <c r="C2092"/>
      <c r="D2092"/>
      <c r="E2092"/>
      <c r="F2092"/>
      <c r="G2092"/>
      <c r="H2092"/>
    </row>
    <row r="2093" spans="1:8" ht="15">
      <c r="A2093"/>
      <c r="B2093"/>
      <c r="C2093"/>
      <c r="D2093"/>
      <c r="E2093"/>
      <c r="F2093"/>
      <c r="G2093"/>
      <c r="H2093"/>
    </row>
    <row r="2094" spans="1:8" ht="15">
      <c r="A2094"/>
      <c r="B2094"/>
      <c r="C2094"/>
      <c r="D2094"/>
      <c r="E2094"/>
      <c r="F2094"/>
      <c r="G2094"/>
      <c r="H2094"/>
    </row>
    <row r="2095" spans="1:8" ht="15">
      <c r="A2095"/>
      <c r="B2095"/>
      <c r="C2095"/>
      <c r="D2095"/>
      <c r="E2095"/>
      <c r="F2095"/>
      <c r="G2095"/>
      <c r="H2095"/>
    </row>
    <row r="2096" spans="1:8" ht="15">
      <c r="A2096"/>
      <c r="B2096"/>
      <c r="C2096"/>
      <c r="D2096"/>
      <c r="E2096"/>
      <c r="F2096"/>
      <c r="G2096"/>
      <c r="H2096"/>
    </row>
    <row r="2097" spans="1:8" ht="15">
      <c r="A2097"/>
      <c r="B2097"/>
      <c r="C2097"/>
      <c r="D2097"/>
      <c r="E2097"/>
      <c r="F2097"/>
      <c r="G2097"/>
      <c r="H2097"/>
    </row>
    <row r="2098" spans="1:8" ht="15">
      <c r="A2098"/>
      <c r="B2098"/>
      <c r="C2098"/>
      <c r="D2098"/>
      <c r="E2098"/>
      <c r="F2098"/>
      <c r="G2098"/>
      <c r="H2098"/>
    </row>
    <row r="2099" spans="1:8" ht="15">
      <c r="A2099"/>
      <c r="B2099"/>
      <c r="C2099"/>
      <c r="D2099"/>
      <c r="E2099"/>
      <c r="F2099"/>
      <c r="G2099"/>
      <c r="H2099"/>
    </row>
    <row r="2100" spans="1:8" ht="15">
      <c r="A2100"/>
      <c r="B2100"/>
      <c r="C2100"/>
      <c r="D2100"/>
      <c r="E2100"/>
      <c r="F2100"/>
      <c r="G2100"/>
      <c r="H2100"/>
    </row>
    <row r="2101" spans="1:8" ht="15">
      <c r="A2101"/>
      <c r="B2101"/>
      <c r="C2101"/>
      <c r="D2101"/>
      <c r="E2101"/>
      <c r="F2101"/>
      <c r="G2101"/>
      <c r="H2101"/>
    </row>
    <row r="2102" spans="1:8" ht="15">
      <c r="A2102"/>
      <c r="B2102"/>
      <c r="C2102"/>
      <c r="D2102"/>
      <c r="E2102"/>
      <c r="F2102"/>
      <c r="G2102"/>
      <c r="H2102"/>
    </row>
    <row r="2103" spans="1:8" ht="15">
      <c r="A2103"/>
      <c r="B2103"/>
      <c r="C2103"/>
      <c r="D2103"/>
      <c r="E2103"/>
      <c r="F2103"/>
      <c r="G2103"/>
      <c r="H2103"/>
    </row>
    <row r="2104" spans="1:8" ht="15">
      <c r="A2104"/>
      <c r="B2104"/>
      <c r="C2104"/>
      <c r="D2104"/>
      <c r="E2104"/>
      <c r="F2104"/>
      <c r="G2104"/>
      <c r="H2104"/>
    </row>
    <row r="2105" spans="1:8" ht="15">
      <c r="A2105"/>
      <c r="B2105"/>
      <c r="C2105"/>
      <c r="D2105"/>
      <c r="E2105"/>
      <c r="F2105"/>
      <c r="G2105"/>
      <c r="H2105"/>
    </row>
    <row r="2106" spans="1:8" ht="15">
      <c r="A2106"/>
      <c r="B2106"/>
      <c r="C2106"/>
      <c r="D2106"/>
      <c r="E2106"/>
      <c r="F2106"/>
      <c r="G2106"/>
      <c r="H2106"/>
    </row>
    <row r="2107" spans="1:8" ht="15">
      <c r="A2107"/>
      <c r="B2107"/>
      <c r="C2107"/>
      <c r="D2107"/>
      <c r="E2107"/>
      <c r="F2107"/>
      <c r="G2107"/>
      <c r="H2107"/>
    </row>
    <row r="2108" spans="1:8" ht="15">
      <c r="A2108"/>
      <c r="B2108"/>
      <c r="C2108"/>
      <c r="D2108"/>
      <c r="E2108"/>
      <c r="F2108"/>
      <c r="G2108"/>
      <c r="H2108"/>
    </row>
    <row r="2109" spans="1:8" ht="15">
      <c r="A2109"/>
      <c r="B2109"/>
      <c r="C2109"/>
      <c r="D2109"/>
      <c r="E2109"/>
      <c r="F2109"/>
      <c r="G2109"/>
      <c r="H2109"/>
    </row>
    <row r="2110" spans="1:8" ht="15">
      <c r="A2110"/>
      <c r="B2110"/>
      <c r="C2110"/>
      <c r="D2110"/>
      <c r="E2110"/>
      <c r="F2110"/>
      <c r="G2110"/>
      <c r="H2110"/>
    </row>
    <row r="2111" spans="1:8" ht="15">
      <c r="A2111"/>
      <c r="B2111"/>
      <c r="C2111"/>
      <c r="D2111"/>
      <c r="E2111"/>
      <c r="F2111"/>
      <c r="G2111"/>
      <c r="H2111"/>
    </row>
    <row r="2112" spans="1:8" ht="15">
      <c r="A2112"/>
      <c r="B2112"/>
      <c r="C2112"/>
      <c r="D2112"/>
      <c r="E2112"/>
      <c r="F2112"/>
      <c r="G2112"/>
      <c r="H2112"/>
    </row>
    <row r="2113" spans="1:8" ht="15">
      <c r="A2113"/>
      <c r="B2113"/>
      <c r="C2113"/>
      <c r="D2113"/>
      <c r="E2113"/>
      <c r="F2113"/>
      <c r="G2113"/>
      <c r="H2113"/>
    </row>
    <row r="2114" spans="1:8" ht="15">
      <c r="A2114"/>
      <c r="B2114"/>
      <c r="C2114"/>
      <c r="D2114"/>
      <c r="E2114"/>
      <c r="F2114"/>
      <c r="G2114"/>
      <c r="H2114"/>
    </row>
    <row r="2115" spans="1:8" ht="15">
      <c r="A2115"/>
      <c r="B2115"/>
      <c r="C2115"/>
      <c r="D2115"/>
      <c r="E2115"/>
      <c r="F2115"/>
      <c r="G2115"/>
      <c r="H2115"/>
    </row>
    <row r="2116" spans="1:8" ht="15">
      <c r="A2116"/>
      <c r="B2116"/>
      <c r="C2116"/>
      <c r="D2116"/>
      <c r="E2116"/>
      <c r="F2116"/>
      <c r="G2116"/>
      <c r="H2116"/>
    </row>
    <row r="2117" spans="1:8" ht="15">
      <c r="A2117"/>
      <c r="B2117"/>
      <c r="C2117"/>
      <c r="D2117"/>
      <c r="E2117"/>
      <c r="F2117"/>
      <c r="G2117"/>
      <c r="H2117"/>
    </row>
    <row r="2118" spans="1:8" ht="15">
      <c r="A2118"/>
      <c r="B2118"/>
      <c r="C2118"/>
      <c r="D2118"/>
      <c r="E2118"/>
      <c r="F2118"/>
      <c r="G2118"/>
      <c r="H2118"/>
    </row>
    <row r="2119" spans="1:8" ht="15">
      <c r="A2119"/>
      <c r="B2119"/>
      <c r="C2119"/>
      <c r="D2119"/>
      <c r="E2119"/>
      <c r="F2119"/>
      <c r="G2119"/>
      <c r="H2119"/>
    </row>
    <row r="2120" spans="1:8" ht="15">
      <c r="A2120"/>
      <c r="B2120"/>
      <c r="C2120"/>
      <c r="D2120"/>
      <c r="E2120"/>
      <c r="F2120"/>
      <c r="G2120"/>
      <c r="H2120"/>
    </row>
    <row r="2121" spans="1:8" ht="15">
      <c r="A2121"/>
      <c r="B2121"/>
      <c r="C2121"/>
      <c r="D2121"/>
      <c r="E2121"/>
      <c r="F2121"/>
      <c r="G2121"/>
      <c r="H2121"/>
    </row>
    <row r="2122" spans="1:8" ht="15">
      <c r="A2122"/>
      <c r="B2122"/>
      <c r="C2122"/>
      <c r="D2122"/>
      <c r="E2122"/>
      <c r="F2122"/>
      <c r="G2122"/>
      <c r="H2122"/>
    </row>
    <row r="2123" spans="1:8" ht="15">
      <c r="A2123"/>
      <c r="B2123"/>
      <c r="C2123"/>
      <c r="D2123"/>
      <c r="E2123"/>
      <c r="F2123"/>
      <c r="G2123"/>
      <c r="H2123"/>
    </row>
    <row r="2124" spans="1:8" ht="15">
      <c r="A2124"/>
      <c r="B2124"/>
      <c r="C2124"/>
      <c r="D2124"/>
      <c r="E2124"/>
      <c r="F2124"/>
      <c r="G2124"/>
      <c r="H2124"/>
    </row>
    <row r="2125" spans="1:8" ht="15">
      <c r="A2125"/>
      <c r="B2125"/>
      <c r="C2125"/>
      <c r="D2125"/>
      <c r="E2125"/>
      <c r="F2125"/>
      <c r="G2125"/>
      <c r="H2125"/>
    </row>
    <row r="2126" spans="1:8" ht="15">
      <c r="A2126"/>
      <c r="B2126"/>
      <c r="C2126"/>
      <c r="D2126"/>
      <c r="E2126"/>
      <c r="F2126"/>
      <c r="G2126"/>
      <c r="H2126"/>
    </row>
    <row r="2127" spans="1:8" ht="15">
      <c r="A2127"/>
      <c r="B2127"/>
      <c r="C2127"/>
      <c r="D2127"/>
      <c r="E2127"/>
      <c r="F2127"/>
      <c r="G2127"/>
      <c r="H2127"/>
    </row>
    <row r="2128" spans="1:8" ht="15">
      <c r="A2128"/>
      <c r="B2128"/>
      <c r="C2128"/>
      <c r="D2128"/>
      <c r="E2128"/>
      <c r="F2128"/>
      <c r="G2128"/>
      <c r="H2128"/>
    </row>
    <row r="2129" spans="1:8" ht="15">
      <c r="A2129"/>
      <c r="B2129"/>
      <c r="C2129"/>
      <c r="D2129"/>
      <c r="E2129"/>
      <c r="F2129"/>
      <c r="G2129"/>
      <c r="H2129"/>
    </row>
    <row r="2130" spans="1:8" ht="15">
      <c r="A2130"/>
      <c r="B2130"/>
      <c r="C2130"/>
      <c r="D2130"/>
      <c r="E2130"/>
      <c r="F2130"/>
      <c r="G2130"/>
      <c r="H2130"/>
    </row>
    <row r="2131" spans="1:8" ht="15">
      <c r="A2131"/>
      <c r="B2131"/>
      <c r="C2131"/>
      <c r="D2131"/>
      <c r="E2131"/>
      <c r="F2131"/>
      <c r="G2131"/>
      <c r="H2131"/>
    </row>
    <row r="2132" spans="1:8" ht="15">
      <c r="A2132"/>
      <c r="B2132"/>
      <c r="C2132"/>
      <c r="D2132"/>
      <c r="E2132"/>
      <c r="F2132"/>
      <c r="G2132"/>
      <c r="H2132"/>
    </row>
    <row r="2133" spans="1:8" ht="15">
      <c r="A2133"/>
      <c r="B2133"/>
      <c r="C2133"/>
      <c r="D2133"/>
      <c r="E2133"/>
      <c r="F2133"/>
      <c r="G2133"/>
      <c r="H2133"/>
    </row>
    <row r="2134" spans="1:8" ht="15">
      <c r="A2134"/>
      <c r="B2134"/>
      <c r="C2134"/>
      <c r="D2134"/>
      <c r="E2134"/>
      <c r="F2134"/>
      <c r="G2134"/>
      <c r="H2134"/>
    </row>
    <row r="2135" spans="1:8" ht="15">
      <c r="A2135"/>
      <c r="B2135"/>
      <c r="C2135"/>
      <c r="D2135"/>
      <c r="E2135"/>
      <c r="F2135"/>
      <c r="G2135"/>
      <c r="H2135"/>
    </row>
    <row r="2136" spans="1:8" ht="15">
      <c r="A2136"/>
      <c r="B2136"/>
      <c r="C2136"/>
      <c r="D2136"/>
      <c r="E2136"/>
      <c r="F2136"/>
      <c r="G2136"/>
      <c r="H2136"/>
    </row>
    <row r="2137" spans="1:8" ht="15">
      <c r="A2137"/>
      <c r="B2137"/>
      <c r="C2137"/>
      <c r="D2137"/>
      <c r="E2137"/>
      <c r="F2137"/>
      <c r="G2137"/>
      <c r="H2137"/>
    </row>
    <row r="2138" spans="1:8" ht="15">
      <c r="A2138"/>
      <c r="B2138"/>
      <c r="C2138"/>
      <c r="D2138"/>
      <c r="E2138"/>
      <c r="F2138"/>
      <c r="G2138"/>
      <c r="H2138"/>
    </row>
    <row r="2139" spans="1:8" ht="15">
      <c r="A2139"/>
      <c r="B2139"/>
      <c r="C2139"/>
      <c r="D2139"/>
      <c r="E2139"/>
      <c r="F2139"/>
      <c r="G2139"/>
      <c r="H2139"/>
    </row>
    <row r="2140" spans="1:8" ht="15">
      <c r="A2140"/>
      <c r="B2140"/>
      <c r="C2140"/>
      <c r="D2140"/>
      <c r="E2140"/>
      <c r="F2140"/>
      <c r="G2140"/>
      <c r="H2140"/>
    </row>
    <row r="2141" spans="1:8" ht="15">
      <c r="A2141"/>
      <c r="B2141"/>
      <c r="C2141"/>
      <c r="D2141"/>
      <c r="E2141"/>
      <c r="F2141"/>
      <c r="G2141"/>
      <c r="H2141"/>
    </row>
    <row r="2142" spans="1:8" ht="15">
      <c r="A2142"/>
      <c r="B2142"/>
      <c r="C2142"/>
      <c r="D2142"/>
      <c r="E2142"/>
      <c r="F2142"/>
      <c r="G2142"/>
      <c r="H2142"/>
    </row>
    <row r="2143" spans="1:8" ht="15">
      <c r="A2143"/>
      <c r="B2143"/>
      <c r="C2143"/>
      <c r="D2143"/>
      <c r="E2143"/>
      <c r="F2143"/>
      <c r="G2143"/>
      <c r="H2143"/>
    </row>
    <row r="2144" spans="1:8" ht="15">
      <c r="A2144"/>
      <c r="B2144"/>
      <c r="C2144"/>
      <c r="D2144"/>
      <c r="E2144"/>
      <c r="F2144"/>
      <c r="G2144"/>
      <c r="H2144"/>
    </row>
    <row r="2145" spans="1:8" ht="15">
      <c r="A2145"/>
      <c r="B2145"/>
      <c r="C2145"/>
      <c r="D2145"/>
      <c r="E2145"/>
      <c r="F2145"/>
      <c r="G2145"/>
      <c r="H2145"/>
    </row>
    <row r="2146" spans="1:8" ht="15">
      <c r="A2146"/>
      <c r="B2146"/>
      <c r="C2146"/>
      <c r="D2146"/>
      <c r="E2146"/>
      <c r="F2146"/>
      <c r="G2146"/>
      <c r="H2146"/>
    </row>
    <row r="2147" spans="1:8" ht="15">
      <c r="A2147"/>
      <c r="B2147"/>
      <c r="C2147"/>
      <c r="D2147"/>
      <c r="E2147"/>
      <c r="F2147"/>
      <c r="G2147"/>
      <c r="H2147"/>
    </row>
    <row r="2148" spans="1:8" ht="15">
      <c r="A2148"/>
      <c r="B2148"/>
      <c r="C2148"/>
      <c r="D2148"/>
      <c r="E2148"/>
      <c r="F2148"/>
      <c r="G2148"/>
      <c r="H2148"/>
    </row>
    <row r="2149" spans="1:8" ht="15">
      <c r="A2149"/>
      <c r="B2149"/>
      <c r="C2149"/>
      <c r="D2149"/>
      <c r="E2149"/>
      <c r="F2149"/>
      <c r="G2149"/>
      <c r="H2149"/>
    </row>
    <row r="2150" spans="1:8" ht="15">
      <c r="A2150"/>
      <c r="B2150"/>
      <c r="C2150"/>
      <c r="D2150"/>
      <c r="E2150"/>
      <c r="F2150"/>
      <c r="G2150"/>
      <c r="H2150"/>
    </row>
    <row r="2151" spans="1:8" ht="15">
      <c r="A2151"/>
      <c r="B2151"/>
      <c r="C2151"/>
      <c r="D2151"/>
      <c r="E2151"/>
      <c r="F2151"/>
      <c r="G2151"/>
      <c r="H2151"/>
    </row>
    <row r="2152" spans="1:8" ht="15">
      <c r="A2152"/>
      <c r="B2152"/>
      <c r="C2152"/>
      <c r="D2152"/>
      <c r="E2152"/>
      <c r="F2152"/>
      <c r="G2152"/>
      <c r="H2152"/>
    </row>
    <row r="2153" spans="1:8" ht="15">
      <c r="A2153"/>
      <c r="B2153"/>
      <c r="C2153"/>
      <c r="D2153"/>
      <c r="E2153"/>
      <c r="F2153"/>
      <c r="G2153"/>
      <c r="H2153"/>
    </row>
    <row r="2154" spans="1:8" ht="15">
      <c r="A2154"/>
      <c r="B2154"/>
      <c r="C2154"/>
      <c r="D2154"/>
      <c r="E2154"/>
      <c r="F2154"/>
      <c r="G2154"/>
      <c r="H2154"/>
    </row>
    <row r="2155" spans="1:8" ht="15">
      <c r="A2155"/>
      <c r="B2155"/>
      <c r="C2155"/>
      <c r="D2155"/>
      <c r="E2155"/>
      <c r="F2155"/>
      <c r="G2155"/>
      <c r="H2155"/>
    </row>
    <row r="2156" spans="1:8" ht="15">
      <c r="A2156"/>
      <c r="B2156"/>
      <c r="C2156"/>
      <c r="D2156"/>
      <c r="E2156"/>
      <c r="F2156"/>
      <c r="G2156"/>
      <c r="H2156"/>
    </row>
    <row r="2157" spans="1:8" ht="15">
      <c r="A2157"/>
      <c r="B2157"/>
      <c r="C2157"/>
      <c r="D2157"/>
      <c r="E2157"/>
      <c r="F2157"/>
      <c r="G2157"/>
      <c r="H2157"/>
    </row>
    <row r="2158" spans="1:8" ht="15">
      <c r="A2158"/>
      <c r="B2158"/>
      <c r="C2158"/>
      <c r="D2158"/>
      <c r="E2158"/>
      <c r="F2158"/>
      <c r="G2158"/>
      <c r="H2158"/>
    </row>
    <row r="2159" spans="1:8" ht="15">
      <c r="A2159"/>
      <c r="B2159"/>
      <c r="C2159"/>
      <c r="D2159"/>
      <c r="E2159"/>
      <c r="F2159"/>
      <c r="G2159"/>
      <c r="H2159"/>
    </row>
    <row r="2160" spans="1:8" ht="15">
      <c r="A2160"/>
      <c r="B2160"/>
      <c r="C2160"/>
      <c r="D2160"/>
      <c r="E2160"/>
      <c r="F2160"/>
      <c r="G2160"/>
      <c r="H2160"/>
    </row>
    <row r="2161" spans="1:8" ht="15">
      <c r="A2161"/>
      <c r="B2161"/>
      <c r="C2161"/>
      <c r="D2161"/>
      <c r="E2161"/>
      <c r="F2161"/>
      <c r="G2161"/>
      <c r="H2161"/>
    </row>
    <row r="2162" spans="1:8" ht="15">
      <c r="A2162"/>
      <c r="B2162"/>
      <c r="C2162"/>
      <c r="D2162"/>
      <c r="E2162"/>
      <c r="F2162"/>
      <c r="G2162"/>
      <c r="H2162"/>
    </row>
    <row r="2163" spans="1:8" ht="15">
      <c r="A2163"/>
      <c r="B2163"/>
      <c r="C2163"/>
      <c r="D2163"/>
      <c r="E2163"/>
      <c r="F2163"/>
      <c r="G2163"/>
      <c r="H2163"/>
    </row>
    <row r="2164" spans="1:8" ht="15">
      <c r="A2164"/>
      <c r="B2164"/>
      <c r="C2164"/>
      <c r="D2164"/>
      <c r="E2164"/>
      <c r="F2164"/>
      <c r="G2164"/>
      <c r="H2164"/>
    </row>
    <row r="2165" spans="1:8" ht="15">
      <c r="A2165"/>
      <c r="B2165"/>
      <c r="C2165"/>
      <c r="D2165"/>
      <c r="E2165"/>
      <c r="F2165"/>
      <c r="G2165"/>
      <c r="H2165"/>
    </row>
    <row r="2166" spans="1:8" ht="15">
      <c r="A2166"/>
      <c r="B2166"/>
      <c r="C2166"/>
      <c r="D2166"/>
      <c r="E2166"/>
      <c r="F2166"/>
      <c r="G2166"/>
      <c r="H2166"/>
    </row>
    <row r="2167" spans="1:8" ht="15">
      <c r="A2167"/>
      <c r="B2167"/>
      <c r="C2167"/>
      <c r="D2167"/>
      <c r="E2167"/>
      <c r="F2167"/>
      <c r="G2167"/>
      <c r="H2167"/>
    </row>
    <row r="2168" spans="1:8" ht="15">
      <c r="A2168"/>
      <c r="B2168"/>
      <c r="C2168"/>
      <c r="D2168"/>
      <c r="E2168"/>
      <c r="F2168"/>
      <c r="G2168"/>
      <c r="H2168"/>
    </row>
    <row r="2169" spans="1:8" ht="15">
      <c r="A2169"/>
      <c r="B2169"/>
      <c r="C2169"/>
      <c r="D2169"/>
      <c r="E2169"/>
      <c r="F2169"/>
      <c r="G2169"/>
      <c r="H2169"/>
    </row>
    <row r="2170" spans="1:8" ht="15">
      <c r="A2170"/>
      <c r="B2170"/>
      <c r="C2170"/>
      <c r="D2170"/>
      <c r="E2170"/>
      <c r="F2170"/>
      <c r="G2170"/>
      <c r="H2170"/>
    </row>
    <row r="2171" spans="1:8" ht="15">
      <c r="A2171"/>
      <c r="B2171"/>
      <c r="C2171"/>
      <c r="D2171"/>
      <c r="E2171"/>
      <c r="F2171"/>
      <c r="G2171"/>
      <c r="H2171"/>
    </row>
    <row r="2172" spans="1:8" ht="15">
      <c r="A2172"/>
      <c r="B2172"/>
      <c r="C2172"/>
      <c r="D2172"/>
      <c r="E2172"/>
      <c r="F2172"/>
      <c r="G2172"/>
      <c r="H2172"/>
    </row>
    <row r="2173" spans="1:8" ht="15">
      <c r="A2173"/>
      <c r="B2173"/>
      <c r="C2173"/>
      <c r="D2173"/>
      <c r="E2173"/>
      <c r="F2173"/>
      <c r="G2173"/>
      <c r="H2173"/>
    </row>
    <row r="2174" spans="1:8" ht="15">
      <c r="A2174"/>
      <c r="B2174"/>
      <c r="C2174"/>
      <c r="D2174"/>
      <c r="E2174"/>
      <c r="F2174"/>
      <c r="G2174"/>
      <c r="H2174"/>
    </row>
    <row r="2175" spans="1:8" ht="15">
      <c r="A2175"/>
      <c r="B2175"/>
      <c r="C2175"/>
      <c r="D2175"/>
      <c r="E2175"/>
      <c r="F2175"/>
      <c r="G2175"/>
      <c r="H2175"/>
    </row>
    <row r="2176" spans="1:8" ht="15">
      <c r="A2176"/>
      <c r="B2176"/>
      <c r="C2176"/>
      <c r="D2176"/>
      <c r="E2176"/>
      <c r="F2176"/>
      <c r="G2176"/>
      <c r="H2176"/>
    </row>
    <row r="2177" spans="1:8" ht="15">
      <c r="A2177"/>
      <c r="B2177"/>
      <c r="C2177"/>
      <c r="D2177"/>
      <c r="E2177"/>
      <c r="F2177"/>
      <c r="G2177"/>
      <c r="H2177"/>
    </row>
    <row r="2178" spans="1:8" ht="15">
      <c r="A2178"/>
      <c r="B2178"/>
      <c r="C2178"/>
      <c r="D2178"/>
      <c r="E2178"/>
      <c r="F2178"/>
      <c r="G2178"/>
      <c r="H2178"/>
    </row>
    <row r="2179" spans="1:8" ht="15">
      <c r="A2179"/>
      <c r="B2179"/>
      <c r="C2179"/>
      <c r="D2179"/>
      <c r="E2179"/>
      <c r="F2179"/>
      <c r="G2179"/>
      <c r="H2179"/>
    </row>
    <row r="2180" spans="1:8" ht="15">
      <c r="A2180"/>
      <c r="B2180"/>
      <c r="C2180"/>
      <c r="D2180"/>
      <c r="E2180"/>
      <c r="F2180"/>
      <c r="G2180"/>
      <c r="H2180"/>
    </row>
    <row r="2181" spans="1:8" ht="15">
      <c r="A2181"/>
      <c r="B2181"/>
      <c r="C2181"/>
      <c r="D2181"/>
      <c r="E2181"/>
      <c r="F2181"/>
      <c r="G2181"/>
      <c r="H2181"/>
    </row>
    <row r="2182" spans="1:8" ht="15">
      <c r="A2182"/>
      <c r="B2182"/>
      <c r="C2182"/>
      <c r="D2182"/>
      <c r="E2182"/>
      <c r="F2182"/>
      <c r="G2182"/>
      <c r="H2182"/>
    </row>
    <row r="2183" spans="1:8" ht="15">
      <c r="A2183"/>
      <c r="B2183"/>
      <c r="C2183"/>
      <c r="D2183"/>
      <c r="E2183"/>
      <c r="F2183"/>
      <c r="G2183"/>
      <c r="H2183"/>
    </row>
    <row r="2184" spans="1:8" ht="15">
      <c r="A2184"/>
      <c r="B2184"/>
      <c r="C2184"/>
      <c r="D2184"/>
      <c r="E2184"/>
      <c r="F2184"/>
      <c r="G2184"/>
      <c r="H2184"/>
    </row>
    <row r="2185" spans="1:8" ht="15">
      <c r="A2185"/>
      <c r="B2185"/>
      <c r="C2185"/>
      <c r="D2185"/>
      <c r="E2185"/>
      <c r="F2185"/>
      <c r="G2185"/>
      <c r="H2185"/>
    </row>
    <row r="2186" spans="1:8" ht="15">
      <c r="A2186"/>
      <c r="B2186"/>
      <c r="C2186"/>
      <c r="D2186"/>
      <c r="E2186"/>
      <c r="F2186"/>
      <c r="G2186"/>
      <c r="H2186"/>
    </row>
    <row r="2187" spans="1:8" ht="15">
      <c r="A2187"/>
      <c r="B2187"/>
      <c r="C2187"/>
      <c r="D2187"/>
      <c r="E2187"/>
      <c r="F2187"/>
      <c r="G2187"/>
      <c r="H2187"/>
    </row>
    <row r="2188" spans="1:8" ht="15">
      <c r="A2188"/>
      <c r="B2188"/>
      <c r="C2188"/>
      <c r="D2188"/>
      <c r="E2188"/>
      <c r="F2188"/>
      <c r="G2188"/>
      <c r="H2188"/>
    </row>
    <row r="2189" spans="1:8" ht="15">
      <c r="A2189"/>
      <c r="B2189"/>
      <c r="C2189"/>
      <c r="D2189"/>
      <c r="E2189"/>
      <c r="F2189"/>
      <c r="G2189"/>
      <c r="H2189"/>
    </row>
    <row r="2190" spans="1:8" ht="15">
      <c r="A2190"/>
      <c r="B2190"/>
      <c r="C2190"/>
      <c r="D2190"/>
      <c r="E2190"/>
      <c r="F2190"/>
      <c r="G2190"/>
      <c r="H2190"/>
    </row>
    <row r="2191" spans="1:8" ht="15">
      <c r="A2191"/>
      <c r="B2191"/>
      <c r="C2191"/>
      <c r="D2191"/>
      <c r="E2191"/>
      <c r="F2191"/>
      <c r="G2191"/>
      <c r="H2191"/>
    </row>
    <row r="2192" spans="1:8" ht="15">
      <c r="A2192"/>
      <c r="B2192"/>
      <c r="C2192"/>
      <c r="D2192"/>
      <c r="E2192"/>
      <c r="F2192"/>
      <c r="G2192"/>
      <c r="H2192"/>
    </row>
    <row r="2193" spans="1:8" ht="15">
      <c r="A2193"/>
      <c r="B2193"/>
      <c r="C2193"/>
      <c r="D2193"/>
      <c r="E2193"/>
      <c r="F2193"/>
      <c r="G2193"/>
      <c r="H2193"/>
    </row>
    <row r="2194" spans="1:8" ht="15">
      <c r="A2194"/>
      <c r="B2194"/>
      <c r="C2194"/>
      <c r="D2194"/>
      <c r="E2194"/>
      <c r="F2194"/>
      <c r="G2194"/>
      <c r="H2194"/>
    </row>
    <row r="2195" spans="1:8" ht="15">
      <c r="A2195"/>
      <c r="B2195"/>
      <c r="C2195"/>
      <c r="D2195"/>
      <c r="E2195"/>
      <c r="F2195"/>
      <c r="G2195"/>
      <c r="H2195"/>
    </row>
    <row r="2196" spans="1:8" ht="15">
      <c r="A2196"/>
      <c r="B2196"/>
      <c r="C2196"/>
      <c r="D2196"/>
      <c r="E2196"/>
      <c r="F2196"/>
      <c r="G2196"/>
      <c r="H2196"/>
    </row>
    <row r="2197" spans="1:8" ht="15">
      <c r="A2197"/>
      <c r="B2197"/>
      <c r="C2197"/>
      <c r="D2197"/>
      <c r="E2197"/>
      <c r="F2197"/>
      <c r="G2197"/>
      <c r="H2197"/>
    </row>
    <row r="2198" spans="1:8" ht="15">
      <c r="A2198"/>
      <c r="B2198"/>
      <c r="C2198"/>
      <c r="D2198"/>
      <c r="E2198"/>
      <c r="F2198"/>
      <c r="G2198"/>
      <c r="H2198"/>
    </row>
    <row r="2199" spans="1:8" ht="15">
      <c r="A2199"/>
      <c r="B2199"/>
      <c r="C2199"/>
      <c r="D2199"/>
      <c r="E2199"/>
      <c r="F2199"/>
      <c r="G2199"/>
      <c r="H2199"/>
    </row>
    <row r="2200" spans="1:8" ht="15">
      <c r="A2200"/>
      <c r="B2200"/>
      <c r="C2200"/>
      <c r="D2200"/>
      <c r="E2200"/>
      <c r="F2200"/>
      <c r="G2200"/>
      <c r="H2200"/>
    </row>
    <row r="2201" spans="1:8" ht="15">
      <c r="A2201"/>
      <c r="B2201"/>
      <c r="C2201"/>
      <c r="D2201"/>
      <c r="E2201"/>
      <c r="F2201"/>
      <c r="G2201"/>
      <c r="H2201"/>
    </row>
    <row r="2202" spans="1:8" ht="15">
      <c r="A2202"/>
      <c r="B2202"/>
      <c r="C2202"/>
      <c r="D2202"/>
      <c r="E2202"/>
      <c r="F2202"/>
      <c r="G2202"/>
      <c r="H2202"/>
    </row>
    <row r="2203" spans="1:8" ht="15">
      <c r="A2203"/>
      <c r="B2203"/>
      <c r="C2203"/>
      <c r="D2203"/>
      <c r="E2203"/>
      <c r="F2203"/>
      <c r="G2203"/>
      <c r="H2203"/>
    </row>
    <row r="2204" spans="1:8" ht="15">
      <c r="A2204"/>
      <c r="B2204"/>
      <c r="C2204"/>
      <c r="D2204"/>
      <c r="E2204"/>
      <c r="F2204"/>
      <c r="G2204"/>
      <c r="H2204"/>
    </row>
    <row r="2205" spans="1:8" ht="15">
      <c r="A2205"/>
      <c r="B2205"/>
      <c r="C2205"/>
      <c r="D2205"/>
      <c r="E2205"/>
      <c r="F2205"/>
      <c r="G2205"/>
      <c r="H2205"/>
    </row>
    <row r="2206" spans="1:8" ht="15">
      <c r="A2206"/>
      <c r="B2206"/>
      <c r="C2206"/>
      <c r="D2206"/>
      <c r="E2206"/>
      <c r="F2206"/>
      <c r="G2206"/>
      <c r="H2206"/>
    </row>
    <row r="2207" spans="1:8" ht="15">
      <c r="A2207"/>
      <c r="B2207"/>
      <c r="C2207"/>
      <c r="D2207"/>
      <c r="E2207"/>
      <c r="F2207"/>
      <c r="G2207"/>
      <c r="H2207"/>
    </row>
    <row r="2208" spans="1:8" ht="15">
      <c r="A2208"/>
      <c r="B2208"/>
      <c r="C2208"/>
      <c r="D2208"/>
      <c r="E2208"/>
      <c r="F2208"/>
      <c r="G2208"/>
      <c r="H2208"/>
    </row>
    <row r="2209" spans="1:8" ht="15">
      <c r="A2209"/>
      <c r="B2209"/>
      <c r="C2209"/>
      <c r="D2209"/>
      <c r="E2209"/>
      <c r="F2209"/>
      <c r="G2209"/>
      <c r="H2209"/>
    </row>
    <row r="2210" spans="1:8" ht="15">
      <c r="A2210"/>
      <c r="B2210"/>
      <c r="C2210"/>
      <c r="D2210"/>
      <c r="E2210"/>
      <c r="F2210"/>
      <c r="G2210"/>
      <c r="H2210"/>
    </row>
    <row r="2211" spans="1:8" ht="15">
      <c r="A2211"/>
      <c r="B2211"/>
      <c r="C2211"/>
      <c r="D2211"/>
      <c r="E2211"/>
      <c r="F2211"/>
      <c r="G2211"/>
      <c r="H2211"/>
    </row>
    <row r="2212" spans="1:8" ht="15">
      <c r="A2212"/>
      <c r="B2212"/>
      <c r="C2212"/>
      <c r="D2212"/>
      <c r="E2212"/>
      <c r="F2212"/>
      <c r="G2212"/>
      <c r="H2212"/>
    </row>
    <row r="2213" spans="1:8" ht="15">
      <c r="A2213"/>
      <c r="B2213"/>
      <c r="C2213"/>
      <c r="D2213"/>
      <c r="E2213"/>
      <c r="F2213"/>
      <c r="G2213"/>
      <c r="H2213"/>
    </row>
    <row r="2214" spans="1:8" ht="15">
      <c r="A2214"/>
      <c r="B2214"/>
      <c r="C2214"/>
      <c r="D2214"/>
      <c r="E2214"/>
      <c r="F2214"/>
      <c r="G2214"/>
      <c r="H2214"/>
    </row>
    <row r="2215" spans="1:8" ht="15">
      <c r="A2215"/>
      <c r="B2215"/>
      <c r="C2215"/>
      <c r="D2215"/>
      <c r="E2215"/>
      <c r="F2215"/>
      <c r="G2215"/>
      <c r="H2215"/>
    </row>
    <row r="2216" spans="1:8" ht="15">
      <c r="A2216"/>
      <c r="B2216"/>
      <c r="C2216"/>
      <c r="D2216"/>
      <c r="E2216"/>
      <c r="F2216"/>
      <c r="G2216"/>
      <c r="H2216"/>
    </row>
    <row r="2217" spans="1:8" ht="15">
      <c r="A2217"/>
      <c r="B2217"/>
      <c r="C2217"/>
      <c r="D2217"/>
      <c r="E2217"/>
      <c r="F2217"/>
      <c r="G2217"/>
      <c r="H2217"/>
    </row>
    <row r="2218" spans="1:8" ht="15">
      <c r="A2218"/>
      <c r="B2218"/>
      <c r="C2218"/>
      <c r="D2218"/>
      <c r="E2218"/>
      <c r="F2218"/>
      <c r="G2218"/>
      <c r="H2218"/>
    </row>
    <row r="2219" spans="1:8" ht="15">
      <c r="A2219"/>
      <c r="B2219"/>
      <c r="C2219"/>
      <c r="D2219"/>
      <c r="E2219"/>
      <c r="F2219"/>
      <c r="G2219"/>
      <c r="H2219"/>
    </row>
    <row r="2220" spans="1:8" ht="15">
      <c r="A2220"/>
      <c r="B2220"/>
      <c r="C2220"/>
      <c r="D2220"/>
      <c r="E2220"/>
      <c r="F2220"/>
      <c r="G2220"/>
      <c r="H2220"/>
    </row>
    <row r="2221" spans="1:8" ht="15">
      <c r="A2221"/>
      <c r="B2221"/>
      <c r="C2221"/>
      <c r="D2221"/>
      <c r="E2221"/>
      <c r="F2221"/>
      <c r="G2221"/>
      <c r="H2221"/>
    </row>
    <row r="2222" spans="1:8" ht="15">
      <c r="A2222"/>
      <c r="B2222"/>
      <c r="C2222"/>
      <c r="D2222"/>
      <c r="E2222"/>
      <c r="F2222"/>
      <c r="G2222"/>
      <c r="H2222"/>
    </row>
    <row r="2223" spans="1:8" ht="15">
      <c r="A2223"/>
      <c r="B2223"/>
      <c r="C2223"/>
      <c r="D2223"/>
      <c r="E2223"/>
      <c r="F2223"/>
      <c r="G2223"/>
      <c r="H2223"/>
    </row>
    <row r="2224" spans="1:8" ht="15">
      <c r="A2224"/>
      <c r="B2224"/>
      <c r="C2224"/>
      <c r="D2224"/>
      <c r="E2224"/>
      <c r="F2224"/>
      <c r="G2224"/>
      <c r="H2224"/>
    </row>
    <row r="2225" spans="1:8" ht="15">
      <c r="A2225"/>
      <c r="B2225"/>
      <c r="C2225"/>
      <c r="D2225"/>
      <c r="E2225"/>
      <c r="F2225"/>
      <c r="G2225"/>
      <c r="H2225"/>
    </row>
    <row r="2226" spans="1:8" ht="15">
      <c r="A2226"/>
      <c r="B2226"/>
      <c r="C2226"/>
      <c r="D2226"/>
      <c r="E2226"/>
      <c r="F2226"/>
      <c r="G2226"/>
      <c r="H2226"/>
    </row>
    <row r="2227" spans="1:8" ht="15">
      <c r="A2227"/>
      <c r="B2227"/>
      <c r="C2227"/>
      <c r="D2227"/>
      <c r="E2227"/>
      <c r="F2227"/>
      <c r="G2227"/>
      <c r="H2227"/>
    </row>
    <row r="2228" spans="1:8" ht="15">
      <c r="A2228"/>
      <c r="B2228"/>
      <c r="C2228"/>
      <c r="D2228"/>
      <c r="E2228"/>
      <c r="F2228"/>
      <c r="G2228"/>
      <c r="H2228"/>
    </row>
    <row r="2229" spans="1:8" ht="15">
      <c r="A2229"/>
      <c r="B2229"/>
      <c r="C2229"/>
      <c r="D2229"/>
      <c r="E2229"/>
      <c r="F2229"/>
      <c r="G2229"/>
      <c r="H2229"/>
    </row>
    <row r="2230" spans="1:8" ht="15">
      <c r="A2230"/>
      <c r="B2230"/>
      <c r="C2230"/>
      <c r="D2230"/>
      <c r="E2230"/>
      <c r="F2230"/>
      <c r="G2230"/>
      <c r="H2230"/>
    </row>
    <row r="2231" spans="1:8" ht="15">
      <c r="A2231"/>
      <c r="B2231"/>
      <c r="C2231"/>
      <c r="D2231"/>
      <c r="E2231"/>
      <c r="F2231"/>
      <c r="G2231"/>
      <c r="H2231"/>
    </row>
    <row r="2232" spans="1:8" ht="15">
      <c r="A2232"/>
      <c r="B2232"/>
      <c r="C2232"/>
      <c r="D2232"/>
      <c r="E2232"/>
      <c r="F2232"/>
      <c r="G2232"/>
      <c r="H2232"/>
    </row>
    <row r="2233" spans="1:8" ht="15">
      <c r="A2233"/>
      <c r="B2233"/>
      <c r="C2233"/>
      <c r="D2233"/>
      <c r="E2233"/>
      <c r="F2233"/>
      <c r="G2233"/>
      <c r="H2233"/>
    </row>
    <row r="2234" spans="1:8" ht="15">
      <c r="A2234"/>
      <c r="B2234"/>
      <c r="C2234"/>
      <c r="D2234"/>
      <c r="E2234"/>
      <c r="F2234"/>
      <c r="G2234"/>
      <c r="H2234"/>
    </row>
    <row r="2235" spans="1:8" ht="15">
      <c r="A2235"/>
      <c r="B2235"/>
      <c r="C2235"/>
      <c r="D2235"/>
      <c r="E2235"/>
      <c r="F2235"/>
      <c r="G2235"/>
      <c r="H2235"/>
    </row>
    <row r="2236" spans="1:8" ht="15">
      <c r="A2236"/>
      <c r="B2236"/>
      <c r="C2236"/>
      <c r="D2236"/>
      <c r="E2236"/>
      <c r="F2236"/>
      <c r="G2236"/>
      <c r="H2236"/>
    </row>
    <row r="2237" spans="1:8" ht="15">
      <c r="A2237"/>
      <c r="B2237"/>
      <c r="C2237"/>
      <c r="D2237"/>
      <c r="E2237"/>
      <c r="F2237"/>
      <c r="G2237"/>
      <c r="H2237"/>
    </row>
    <row r="2238" spans="1:8" ht="15">
      <c r="A2238"/>
      <c r="B2238"/>
      <c r="C2238"/>
      <c r="D2238"/>
      <c r="E2238"/>
      <c r="F2238"/>
      <c r="G2238"/>
      <c r="H2238"/>
    </row>
    <row r="2239" spans="1:8" ht="15">
      <c r="A2239"/>
      <c r="B2239"/>
      <c r="C2239"/>
      <c r="D2239"/>
      <c r="E2239"/>
      <c r="F2239"/>
      <c r="G2239"/>
      <c r="H2239"/>
    </row>
    <row r="2240" spans="1:8" ht="15">
      <c r="A2240"/>
      <c r="B2240"/>
      <c r="C2240"/>
      <c r="D2240"/>
      <c r="E2240"/>
      <c r="F2240"/>
      <c r="G2240"/>
      <c r="H2240"/>
    </row>
    <row r="2241" spans="1:8" ht="15">
      <c r="A2241"/>
      <c r="B2241"/>
      <c r="C2241"/>
      <c r="D2241"/>
      <c r="E2241"/>
      <c r="F2241"/>
      <c r="G2241"/>
      <c r="H2241"/>
    </row>
    <row r="2242" spans="1:8" ht="15">
      <c r="A2242"/>
      <c r="B2242"/>
      <c r="C2242"/>
      <c r="D2242"/>
      <c r="E2242"/>
      <c r="F2242"/>
      <c r="G2242"/>
      <c r="H2242"/>
    </row>
    <row r="2243" spans="1:8" ht="15">
      <c r="A2243"/>
      <c r="B2243"/>
      <c r="C2243"/>
      <c r="D2243"/>
      <c r="E2243"/>
      <c r="F2243"/>
      <c r="G2243"/>
      <c r="H2243"/>
    </row>
    <row r="2244" spans="1:8" ht="15">
      <c r="A2244"/>
      <c r="B2244"/>
      <c r="C2244"/>
      <c r="D2244"/>
      <c r="E2244"/>
      <c r="F2244"/>
      <c r="G2244"/>
      <c r="H2244"/>
    </row>
    <row r="2245" spans="1:8" ht="15">
      <c r="A2245"/>
      <c r="B2245"/>
      <c r="C2245"/>
      <c r="D2245"/>
      <c r="E2245"/>
      <c r="F2245"/>
      <c r="G2245"/>
      <c r="H2245"/>
    </row>
    <row r="2246" spans="1:8" ht="15">
      <c r="A2246"/>
      <c r="B2246"/>
      <c r="C2246"/>
      <c r="D2246"/>
      <c r="E2246"/>
      <c r="F2246"/>
      <c r="G2246"/>
      <c r="H2246"/>
    </row>
    <row r="2247" spans="1:8" ht="15">
      <c r="A2247"/>
      <c r="B2247"/>
      <c r="C2247"/>
      <c r="D2247"/>
      <c r="E2247"/>
      <c r="F2247"/>
      <c r="G2247"/>
      <c r="H2247"/>
    </row>
    <row r="2248" spans="1:8" ht="15">
      <c r="A2248"/>
      <c r="B2248"/>
      <c r="C2248"/>
      <c r="D2248"/>
      <c r="E2248"/>
      <c r="F2248"/>
      <c r="G2248"/>
      <c r="H2248"/>
    </row>
    <row r="2249" spans="1:8" ht="15">
      <c r="A2249"/>
      <c r="B2249"/>
      <c r="C2249"/>
      <c r="D2249"/>
      <c r="E2249"/>
      <c r="F2249"/>
      <c r="G2249"/>
      <c r="H2249"/>
    </row>
    <row r="2250" spans="1:8" ht="15">
      <c r="A2250"/>
      <c r="B2250"/>
      <c r="C2250"/>
      <c r="D2250"/>
      <c r="E2250"/>
      <c r="F2250"/>
      <c r="G2250"/>
      <c r="H2250"/>
    </row>
    <row r="2251" spans="1:8" ht="15">
      <c r="A2251"/>
      <c r="B2251"/>
      <c r="C2251"/>
      <c r="D2251"/>
      <c r="E2251"/>
      <c r="F2251"/>
      <c r="G2251"/>
      <c r="H2251"/>
    </row>
    <row r="2252" spans="1:8" ht="15">
      <c r="A2252"/>
      <c r="B2252"/>
      <c r="C2252"/>
      <c r="D2252"/>
      <c r="E2252"/>
      <c r="F2252"/>
      <c r="G2252"/>
      <c r="H2252"/>
    </row>
    <row r="2253" spans="1:8" ht="15">
      <c r="A2253"/>
      <c r="B2253"/>
      <c r="C2253"/>
      <c r="D2253"/>
      <c r="E2253"/>
      <c r="F2253"/>
      <c r="G2253"/>
      <c r="H2253"/>
    </row>
    <row r="2254" spans="1:8" ht="15">
      <c r="A2254"/>
      <c r="B2254"/>
      <c r="C2254"/>
      <c r="D2254"/>
      <c r="E2254"/>
      <c r="F2254"/>
      <c r="G2254"/>
      <c r="H2254"/>
    </row>
    <row r="2255" spans="1:8" ht="15">
      <c r="A2255"/>
      <c r="B2255"/>
      <c r="C2255"/>
      <c r="D2255"/>
      <c r="E2255"/>
      <c r="F2255"/>
      <c r="G2255"/>
      <c r="H2255"/>
    </row>
    <row r="2256" spans="1:8" ht="15">
      <c r="A2256"/>
      <c r="B2256"/>
      <c r="C2256"/>
      <c r="D2256"/>
      <c r="E2256"/>
      <c r="F2256"/>
      <c r="G2256"/>
      <c r="H2256"/>
    </row>
    <row r="2257" spans="1:8" ht="15">
      <c r="A2257"/>
      <c r="B2257"/>
      <c r="C2257"/>
      <c r="D2257"/>
      <c r="E2257"/>
      <c r="F2257"/>
      <c r="G2257"/>
      <c r="H2257"/>
    </row>
    <row r="2258" spans="1:8" ht="15">
      <c r="A2258"/>
      <c r="B2258"/>
      <c r="C2258"/>
      <c r="D2258"/>
      <c r="E2258"/>
      <c r="F2258"/>
      <c r="G2258"/>
      <c r="H2258"/>
    </row>
    <row r="2259" spans="1:8" ht="15">
      <c r="A2259"/>
      <c r="B2259"/>
      <c r="C2259"/>
      <c r="D2259"/>
      <c r="E2259"/>
      <c r="F2259"/>
      <c r="G2259"/>
      <c r="H2259"/>
    </row>
    <row r="2260" spans="1:8" ht="15">
      <c r="A2260"/>
      <c r="B2260"/>
      <c r="C2260"/>
      <c r="D2260"/>
      <c r="E2260"/>
      <c r="F2260"/>
      <c r="G2260"/>
      <c r="H2260"/>
    </row>
    <row r="2261" spans="1:8" ht="15">
      <c r="A2261"/>
      <c r="B2261"/>
      <c r="C2261"/>
      <c r="D2261"/>
      <c r="E2261"/>
      <c r="F2261"/>
      <c r="G2261"/>
      <c r="H2261"/>
    </row>
    <row r="2262" spans="1:8" ht="15">
      <c r="A2262"/>
      <c r="B2262"/>
      <c r="C2262"/>
      <c r="D2262"/>
      <c r="E2262"/>
      <c r="F2262"/>
      <c r="G2262"/>
      <c r="H2262"/>
    </row>
    <row r="2263" spans="1:8" ht="15">
      <c r="A2263"/>
      <c r="B2263"/>
      <c r="C2263"/>
      <c r="D2263"/>
      <c r="E2263"/>
      <c r="F2263"/>
      <c r="G2263"/>
      <c r="H2263"/>
    </row>
    <row r="2264" spans="1:8" ht="15">
      <c r="A2264"/>
      <c r="B2264"/>
      <c r="C2264"/>
      <c r="D2264"/>
      <c r="E2264"/>
      <c r="F2264"/>
      <c r="G2264"/>
      <c r="H2264"/>
    </row>
    <row r="2265" spans="1:8" ht="15">
      <c r="A2265"/>
      <c r="B2265"/>
      <c r="C2265"/>
      <c r="D2265"/>
      <c r="E2265"/>
      <c r="F2265"/>
      <c r="G2265"/>
      <c r="H2265"/>
    </row>
    <row r="2266" spans="1:8" ht="15">
      <c r="A2266"/>
      <c r="B2266"/>
      <c r="C2266"/>
      <c r="D2266"/>
      <c r="E2266"/>
      <c r="F2266"/>
      <c r="G2266"/>
      <c r="H2266"/>
    </row>
    <row r="2267" spans="1:8" ht="15">
      <c r="A2267"/>
      <c r="B2267"/>
      <c r="C2267"/>
      <c r="D2267"/>
      <c r="E2267"/>
      <c r="F2267"/>
      <c r="G2267"/>
      <c r="H2267"/>
    </row>
    <row r="2268" spans="1:8" ht="15">
      <c r="A2268"/>
      <c r="B2268"/>
      <c r="C2268"/>
      <c r="D2268"/>
      <c r="E2268"/>
      <c r="F2268"/>
      <c r="G2268"/>
      <c r="H2268"/>
    </row>
    <row r="2269" spans="1:8" ht="15">
      <c r="A2269"/>
      <c r="B2269"/>
      <c r="C2269"/>
      <c r="D2269"/>
      <c r="E2269"/>
      <c r="F2269"/>
      <c r="G2269"/>
      <c r="H2269"/>
    </row>
    <row r="2270" spans="1:8" ht="15">
      <c r="A2270"/>
      <c r="B2270"/>
      <c r="C2270"/>
      <c r="D2270"/>
      <c r="E2270"/>
      <c r="F2270"/>
      <c r="G2270"/>
      <c r="H2270"/>
    </row>
    <row r="2271" spans="1:8" ht="15">
      <c r="A2271"/>
      <c r="B2271"/>
      <c r="C2271"/>
      <c r="D2271"/>
      <c r="E2271"/>
      <c r="F2271"/>
      <c r="G2271"/>
      <c r="H2271"/>
    </row>
    <row r="2272" spans="1:8" ht="15">
      <c r="A2272"/>
      <c r="B2272"/>
      <c r="C2272"/>
      <c r="D2272"/>
      <c r="E2272"/>
      <c r="F2272"/>
      <c r="G2272"/>
      <c r="H2272"/>
    </row>
    <row r="2273" spans="1:8" ht="15">
      <c r="A2273"/>
      <c r="B2273"/>
      <c r="C2273"/>
      <c r="D2273"/>
      <c r="E2273"/>
      <c r="F2273"/>
      <c r="G2273"/>
      <c r="H2273"/>
    </row>
    <row r="2274" spans="1:8" ht="15">
      <c r="A2274"/>
      <c r="B2274"/>
      <c r="C2274"/>
      <c r="D2274"/>
      <c r="E2274"/>
      <c r="F2274"/>
      <c r="G2274"/>
      <c r="H2274"/>
    </row>
    <row r="2275" spans="1:8" ht="15">
      <c r="A2275"/>
      <c r="B2275"/>
      <c r="C2275"/>
      <c r="D2275"/>
      <c r="E2275"/>
      <c r="F2275"/>
      <c r="G2275"/>
      <c r="H2275"/>
    </row>
    <row r="2276" spans="1:8" ht="15">
      <c r="A2276"/>
      <c r="B2276"/>
      <c r="C2276"/>
      <c r="D2276"/>
      <c r="E2276"/>
      <c r="F2276"/>
      <c r="G2276"/>
      <c r="H2276"/>
    </row>
    <row r="2277" spans="1:8" ht="15">
      <c r="A2277"/>
      <c r="B2277"/>
      <c r="C2277"/>
      <c r="D2277"/>
      <c r="E2277"/>
      <c r="F2277"/>
      <c r="G2277"/>
      <c r="H2277"/>
    </row>
    <row r="2278" spans="1:8" ht="15">
      <c r="A2278"/>
      <c r="B2278"/>
      <c r="C2278"/>
      <c r="D2278"/>
      <c r="E2278"/>
      <c r="F2278"/>
      <c r="G2278"/>
      <c r="H2278"/>
    </row>
    <row r="2279" spans="1:8" ht="15">
      <c r="A2279"/>
      <c r="B2279"/>
      <c r="C2279"/>
      <c r="D2279"/>
      <c r="E2279"/>
      <c r="F2279"/>
      <c r="G2279"/>
      <c r="H2279"/>
    </row>
    <row r="2280" spans="1:8" ht="15">
      <c r="A2280"/>
      <c r="B2280"/>
      <c r="C2280"/>
      <c r="D2280"/>
      <c r="E2280"/>
      <c r="F2280"/>
      <c r="G2280"/>
      <c r="H2280"/>
    </row>
    <row r="2281" spans="1:8" ht="15">
      <c r="A2281"/>
      <c r="B2281"/>
      <c r="C2281"/>
      <c r="D2281"/>
      <c r="E2281"/>
      <c r="F2281"/>
      <c r="G2281"/>
      <c r="H2281"/>
    </row>
    <row r="2282" spans="1:8" ht="15">
      <c r="A2282"/>
      <c r="B2282"/>
      <c r="C2282"/>
      <c r="D2282"/>
      <c r="E2282"/>
      <c r="F2282"/>
      <c r="G2282"/>
      <c r="H2282"/>
    </row>
    <row r="2283" spans="1:8" ht="15">
      <c r="A2283"/>
      <c r="B2283"/>
      <c r="C2283"/>
      <c r="D2283"/>
      <c r="E2283"/>
      <c r="F2283"/>
      <c r="G2283"/>
      <c r="H2283"/>
    </row>
    <row r="2284" spans="1:8" ht="15">
      <c r="A2284"/>
      <c r="B2284"/>
      <c r="C2284"/>
      <c r="D2284"/>
      <c r="E2284"/>
      <c r="F2284"/>
      <c r="G2284"/>
      <c r="H2284"/>
    </row>
    <row r="2285" spans="1:8" ht="15">
      <c r="A2285"/>
      <c r="B2285"/>
      <c r="C2285"/>
      <c r="D2285"/>
      <c r="E2285"/>
      <c r="F2285"/>
      <c r="G2285"/>
      <c r="H2285"/>
    </row>
    <row r="2286" spans="1:8" ht="15">
      <c r="A2286"/>
      <c r="B2286"/>
      <c r="C2286"/>
      <c r="D2286"/>
      <c r="E2286"/>
      <c r="F2286"/>
      <c r="G2286"/>
      <c r="H2286"/>
    </row>
    <row r="2287" spans="1:8" ht="15">
      <c r="A2287"/>
      <c r="B2287"/>
      <c r="C2287"/>
      <c r="D2287"/>
      <c r="E2287"/>
      <c r="F2287"/>
      <c r="G2287"/>
      <c r="H2287"/>
    </row>
    <row r="2288" spans="1:8" ht="15">
      <c r="A2288"/>
      <c r="B2288"/>
      <c r="C2288"/>
      <c r="D2288"/>
      <c r="E2288"/>
      <c r="F2288"/>
      <c r="G2288"/>
      <c r="H2288"/>
    </row>
    <row r="2289" spans="1:8" ht="15">
      <c r="A2289"/>
      <c r="B2289"/>
      <c r="C2289"/>
      <c r="D2289"/>
      <c r="E2289"/>
      <c r="F2289"/>
      <c r="G2289"/>
      <c r="H2289"/>
    </row>
    <row r="2290" spans="1:8" ht="15">
      <c r="A2290"/>
      <c r="B2290"/>
      <c r="C2290"/>
      <c r="D2290"/>
      <c r="E2290"/>
      <c r="F2290"/>
      <c r="G2290"/>
      <c r="H2290"/>
    </row>
    <row r="2291" spans="1:8" ht="15">
      <c r="A2291"/>
      <c r="B2291"/>
      <c r="C2291"/>
      <c r="D2291"/>
      <c r="E2291"/>
      <c r="F2291"/>
      <c r="G2291"/>
      <c r="H2291"/>
    </row>
    <row r="2292" spans="1:8" ht="15">
      <c r="A2292"/>
      <c r="B2292"/>
      <c r="C2292"/>
      <c r="D2292"/>
      <c r="E2292"/>
      <c r="F2292"/>
      <c r="G2292"/>
      <c r="H2292"/>
    </row>
    <row r="2293" spans="1:8" ht="15">
      <c r="A2293"/>
      <c r="B2293"/>
      <c r="C2293"/>
      <c r="D2293"/>
      <c r="E2293"/>
      <c r="F2293"/>
      <c r="G2293"/>
      <c r="H2293"/>
    </row>
    <row r="2294" spans="1:8" ht="15">
      <c r="A2294"/>
      <c r="B2294"/>
      <c r="C2294"/>
      <c r="D2294"/>
      <c r="E2294"/>
      <c r="F2294"/>
      <c r="G2294"/>
      <c r="H2294"/>
    </row>
    <row r="2295" spans="1:8" ht="15">
      <c r="A2295"/>
      <c r="B2295"/>
      <c r="C2295"/>
      <c r="D2295"/>
      <c r="E2295"/>
      <c r="F2295"/>
      <c r="G2295"/>
      <c r="H2295"/>
    </row>
    <row r="2296" spans="1:8" ht="15">
      <c r="A2296"/>
      <c r="B2296"/>
      <c r="C2296"/>
      <c r="D2296"/>
      <c r="E2296"/>
      <c r="F2296"/>
      <c r="G2296"/>
      <c r="H2296"/>
    </row>
    <row r="2297" spans="1:8" ht="15">
      <c r="A2297"/>
      <c r="B2297"/>
      <c r="C2297"/>
      <c r="D2297"/>
      <c r="E2297"/>
      <c r="F2297"/>
      <c r="G2297"/>
      <c r="H2297"/>
    </row>
    <row r="2298" spans="1:8" ht="15">
      <c r="A2298"/>
      <c r="B2298"/>
      <c r="C2298"/>
      <c r="D2298"/>
      <c r="E2298"/>
      <c r="F2298"/>
      <c r="G2298"/>
      <c r="H2298"/>
    </row>
    <row r="2299" spans="1:8" ht="15">
      <c r="A2299"/>
      <c r="B2299"/>
      <c r="C2299"/>
      <c r="D2299"/>
      <c r="E2299"/>
      <c r="F2299"/>
      <c r="G2299"/>
      <c r="H2299"/>
    </row>
    <row r="2300" spans="1:8" ht="15">
      <c r="A2300"/>
      <c r="B2300"/>
      <c r="C2300"/>
      <c r="D2300"/>
      <c r="E2300"/>
      <c r="F2300"/>
      <c r="G2300"/>
      <c r="H2300"/>
    </row>
    <row r="2301" spans="1:8" ht="15">
      <c r="A2301"/>
      <c r="B2301"/>
      <c r="C2301"/>
      <c r="D2301"/>
      <c r="E2301"/>
      <c r="F2301"/>
      <c r="G2301"/>
      <c r="H2301"/>
    </row>
    <row r="2302" spans="1:8" ht="15">
      <c r="A2302"/>
      <c r="B2302"/>
      <c r="C2302"/>
      <c r="D2302"/>
      <c r="E2302"/>
      <c r="F2302"/>
      <c r="G2302"/>
      <c r="H2302"/>
    </row>
    <row r="2303" spans="1:8" ht="15">
      <c r="A2303"/>
      <c r="B2303"/>
      <c r="C2303"/>
      <c r="D2303"/>
      <c r="E2303"/>
      <c r="F2303"/>
      <c r="G2303"/>
      <c r="H2303"/>
    </row>
    <row r="2304" spans="1:8" ht="15">
      <c r="A2304"/>
      <c r="B2304"/>
      <c r="C2304"/>
      <c r="D2304"/>
      <c r="E2304"/>
      <c r="F2304"/>
      <c r="G2304"/>
      <c r="H2304"/>
    </row>
    <row r="2305" spans="1:8" ht="15">
      <c r="A2305"/>
      <c r="B2305"/>
      <c r="C2305"/>
      <c r="D2305"/>
      <c r="E2305"/>
      <c r="F2305"/>
      <c r="G2305"/>
      <c r="H2305"/>
    </row>
    <row r="2306" spans="1:8" ht="15">
      <c r="A2306"/>
      <c r="B2306"/>
      <c r="C2306"/>
      <c r="D2306"/>
      <c r="E2306"/>
      <c r="F2306"/>
      <c r="G2306"/>
      <c r="H2306"/>
    </row>
    <row r="2307" spans="1:8" ht="15">
      <c r="A2307"/>
      <c r="B2307"/>
      <c r="C2307"/>
      <c r="D2307"/>
      <c r="E2307"/>
      <c r="F2307"/>
      <c r="G2307"/>
      <c r="H2307"/>
    </row>
    <row r="2308" spans="1:8" ht="15">
      <c r="A2308"/>
      <c r="B2308"/>
      <c r="C2308"/>
      <c r="D2308"/>
      <c r="E2308"/>
      <c r="F2308"/>
      <c r="G2308"/>
      <c r="H2308"/>
    </row>
    <row r="2309" spans="1:8" ht="15">
      <c r="A2309"/>
      <c r="B2309"/>
      <c r="C2309"/>
      <c r="D2309"/>
      <c r="E2309"/>
      <c r="F2309"/>
      <c r="G2309"/>
      <c r="H2309"/>
    </row>
    <row r="2310" spans="1:8" ht="15">
      <c r="A2310"/>
      <c r="B2310"/>
      <c r="C2310"/>
      <c r="D2310"/>
      <c r="E2310"/>
      <c r="F2310"/>
      <c r="G2310"/>
      <c r="H2310"/>
    </row>
    <row r="2311" spans="1:8" ht="15">
      <c r="A2311"/>
      <c r="B2311"/>
      <c r="C2311"/>
      <c r="D2311"/>
      <c r="E2311"/>
      <c r="F2311"/>
      <c r="G2311"/>
      <c r="H2311"/>
    </row>
    <row r="2312" spans="1:8" ht="15">
      <c r="A2312"/>
      <c r="B2312"/>
      <c r="C2312"/>
      <c r="D2312"/>
      <c r="E2312"/>
      <c r="F2312"/>
      <c r="G2312"/>
      <c r="H2312"/>
    </row>
    <row r="2313" spans="1:8" ht="15">
      <c r="A2313"/>
      <c r="B2313"/>
      <c r="C2313"/>
      <c r="D2313"/>
      <c r="E2313"/>
      <c r="F2313"/>
      <c r="G2313"/>
      <c r="H2313"/>
    </row>
    <row r="2314" spans="1:8" ht="15">
      <c r="A2314"/>
      <c r="B2314"/>
      <c r="C2314"/>
      <c r="D2314"/>
      <c r="E2314"/>
      <c r="F2314"/>
      <c r="G2314"/>
      <c r="H2314"/>
    </row>
    <row r="2315" spans="1:8" ht="15">
      <c r="A2315"/>
      <c r="B2315"/>
      <c r="C2315"/>
      <c r="D2315"/>
      <c r="E2315"/>
      <c r="F2315"/>
      <c r="G2315"/>
      <c r="H2315"/>
    </row>
    <row r="2316" spans="1:8" ht="15">
      <c r="A2316"/>
      <c r="B2316"/>
      <c r="C2316"/>
      <c r="D2316"/>
      <c r="E2316"/>
      <c r="F2316"/>
      <c r="G2316"/>
      <c r="H2316"/>
    </row>
    <row r="2317" spans="1:8" ht="15">
      <c r="A2317"/>
      <c r="B2317"/>
      <c r="C2317"/>
      <c r="D2317"/>
      <c r="E2317"/>
      <c r="F2317"/>
      <c r="G2317"/>
      <c r="H2317"/>
    </row>
    <row r="2318" spans="1:8" ht="15">
      <c r="A2318"/>
      <c r="B2318"/>
      <c r="C2318"/>
      <c r="D2318"/>
      <c r="E2318"/>
      <c r="F2318"/>
      <c r="G2318"/>
      <c r="H2318"/>
    </row>
    <row r="2319" spans="1:8" ht="15">
      <c r="A2319"/>
      <c r="B2319"/>
      <c r="C2319"/>
      <c r="D2319"/>
      <c r="E2319"/>
      <c r="F2319"/>
      <c r="G2319"/>
      <c r="H2319"/>
    </row>
    <row r="2320" spans="1:8" ht="15">
      <c r="A2320"/>
      <c r="B2320"/>
      <c r="C2320"/>
      <c r="D2320"/>
      <c r="E2320"/>
      <c r="F2320"/>
      <c r="G2320"/>
      <c r="H2320"/>
    </row>
    <row r="2321" spans="1:8" ht="15">
      <c r="A2321"/>
      <c r="B2321"/>
      <c r="C2321"/>
      <c r="D2321"/>
      <c r="E2321"/>
      <c r="F2321"/>
      <c r="G2321"/>
      <c r="H2321"/>
    </row>
    <row r="2322" spans="1:8" ht="15">
      <c r="A2322"/>
      <c r="B2322"/>
      <c r="C2322"/>
      <c r="D2322"/>
      <c r="E2322"/>
      <c r="F2322"/>
      <c r="G2322"/>
      <c r="H2322"/>
    </row>
    <row r="2323" spans="1:8" ht="15">
      <c r="A2323"/>
      <c r="B2323"/>
      <c r="C2323"/>
      <c r="D2323"/>
      <c r="E2323"/>
      <c r="F2323"/>
      <c r="G2323"/>
      <c r="H2323"/>
    </row>
    <row r="2324" spans="1:8" ht="15">
      <c r="A2324"/>
      <c r="B2324"/>
      <c r="C2324"/>
      <c r="D2324"/>
      <c r="E2324"/>
      <c r="F2324"/>
      <c r="G2324"/>
      <c r="H2324"/>
    </row>
    <row r="2325" spans="1:8" ht="15">
      <c r="A2325"/>
      <c r="B2325"/>
      <c r="C2325"/>
      <c r="D2325"/>
      <c r="E2325"/>
      <c r="F2325"/>
      <c r="G2325"/>
      <c r="H2325"/>
    </row>
    <row r="2326" spans="1:8" ht="15">
      <c r="A2326"/>
      <c r="B2326"/>
      <c r="C2326"/>
      <c r="D2326"/>
      <c r="E2326"/>
      <c r="F2326"/>
      <c r="G2326"/>
      <c r="H2326"/>
    </row>
    <row r="2327" spans="1:8" ht="15">
      <c r="A2327"/>
      <c r="B2327"/>
      <c r="C2327"/>
      <c r="D2327"/>
      <c r="E2327"/>
      <c r="F2327"/>
      <c r="G2327"/>
      <c r="H2327"/>
    </row>
    <row r="2328" spans="1:8" ht="15">
      <c r="A2328"/>
      <c r="B2328"/>
      <c r="C2328"/>
      <c r="D2328"/>
      <c r="E2328"/>
      <c r="F2328"/>
      <c r="G2328"/>
      <c r="H2328"/>
    </row>
    <row r="2329" spans="1:8" ht="15">
      <c r="A2329"/>
      <c r="B2329"/>
      <c r="C2329"/>
      <c r="D2329"/>
      <c r="E2329"/>
      <c r="F2329"/>
      <c r="G2329"/>
      <c r="H2329"/>
    </row>
    <row r="2330" spans="1:8" ht="15">
      <c r="A2330"/>
      <c r="B2330"/>
      <c r="C2330"/>
      <c r="D2330"/>
      <c r="E2330"/>
      <c r="F2330"/>
      <c r="G2330"/>
      <c r="H2330"/>
    </row>
    <row r="2331" spans="1:8" ht="15">
      <c r="A2331"/>
      <c r="B2331"/>
      <c r="C2331"/>
      <c r="D2331"/>
      <c r="E2331"/>
      <c r="F2331"/>
      <c r="G2331"/>
      <c r="H2331"/>
    </row>
    <row r="2332" spans="1:8" ht="15">
      <c r="A2332"/>
      <c r="B2332"/>
      <c r="C2332"/>
      <c r="D2332"/>
      <c r="E2332"/>
      <c r="F2332"/>
      <c r="G2332"/>
      <c r="H2332"/>
    </row>
    <row r="2333" spans="1:8" ht="15">
      <c r="A2333"/>
      <c r="B2333"/>
      <c r="C2333"/>
      <c r="D2333"/>
      <c r="E2333"/>
      <c r="F2333"/>
      <c r="G2333"/>
      <c r="H2333"/>
    </row>
    <row r="2334" spans="1:8" ht="15">
      <c r="A2334"/>
      <c r="B2334"/>
      <c r="C2334"/>
      <c r="D2334"/>
      <c r="E2334"/>
      <c r="F2334"/>
      <c r="G2334"/>
      <c r="H2334"/>
    </row>
    <row r="2335" spans="1:8" ht="15">
      <c r="A2335"/>
      <c r="B2335"/>
      <c r="C2335"/>
      <c r="D2335"/>
      <c r="E2335"/>
      <c r="F2335"/>
      <c r="G2335"/>
      <c r="H2335"/>
    </row>
    <row r="2336" spans="1:8" ht="15">
      <c r="A2336"/>
      <c r="B2336"/>
      <c r="C2336"/>
      <c r="D2336"/>
      <c r="E2336"/>
      <c r="F2336"/>
      <c r="G2336"/>
      <c r="H2336"/>
    </row>
    <row r="2337" spans="1:8" ht="15">
      <c r="A2337"/>
      <c r="B2337"/>
      <c r="C2337"/>
      <c r="D2337"/>
      <c r="E2337"/>
      <c r="F2337"/>
      <c r="G2337"/>
      <c r="H2337"/>
    </row>
    <row r="2338" spans="1:8" ht="15">
      <c r="A2338"/>
      <c r="B2338"/>
      <c r="C2338"/>
      <c r="D2338"/>
      <c r="E2338"/>
      <c r="F2338"/>
      <c r="G2338"/>
      <c r="H2338"/>
    </row>
    <row r="2339" spans="1:8" ht="15">
      <c r="A2339"/>
      <c r="B2339"/>
      <c r="C2339"/>
      <c r="D2339"/>
      <c r="E2339"/>
      <c r="F2339"/>
      <c r="G2339"/>
      <c r="H2339"/>
    </row>
    <row r="2340" spans="1:8" ht="15">
      <c r="A2340"/>
      <c r="B2340"/>
      <c r="C2340"/>
      <c r="D2340"/>
      <c r="E2340"/>
      <c r="F2340"/>
      <c r="G2340"/>
      <c r="H2340"/>
    </row>
    <row r="2341" spans="1:8" ht="15">
      <c r="A2341"/>
      <c r="B2341"/>
      <c r="C2341"/>
      <c r="D2341"/>
      <c r="E2341"/>
      <c r="F2341"/>
      <c r="G2341"/>
      <c r="H2341"/>
    </row>
    <row r="2342" spans="1:8" ht="15">
      <c r="A2342"/>
      <c r="B2342"/>
      <c r="C2342"/>
      <c r="D2342"/>
      <c r="E2342"/>
      <c r="F2342"/>
      <c r="G2342"/>
      <c r="H2342"/>
    </row>
    <row r="2343" spans="1:8" ht="15">
      <c r="A2343"/>
      <c r="B2343"/>
      <c r="C2343"/>
      <c r="D2343"/>
      <c r="E2343"/>
      <c r="F2343"/>
      <c r="G2343"/>
      <c r="H2343"/>
    </row>
    <row r="2344" spans="1:8" ht="15">
      <c r="A2344"/>
      <c r="B2344"/>
      <c r="C2344"/>
      <c r="D2344"/>
      <c r="E2344"/>
      <c r="F2344"/>
      <c r="G2344"/>
      <c r="H2344"/>
    </row>
    <row r="2345" spans="1:8" ht="15">
      <c r="A2345"/>
      <c r="B2345"/>
      <c r="C2345"/>
      <c r="D2345"/>
      <c r="E2345"/>
      <c r="F2345"/>
      <c r="G2345"/>
      <c r="H2345"/>
    </row>
    <row r="2346" spans="1:8" ht="15">
      <c r="A2346"/>
      <c r="B2346"/>
      <c r="C2346"/>
      <c r="D2346"/>
      <c r="E2346"/>
      <c r="F2346"/>
      <c r="G2346"/>
      <c r="H2346"/>
    </row>
    <row r="2347" spans="1:8" ht="15">
      <c r="A2347"/>
      <c r="B2347"/>
      <c r="C2347"/>
      <c r="D2347"/>
      <c r="E2347"/>
      <c r="F2347"/>
      <c r="G2347"/>
      <c r="H2347"/>
    </row>
    <row r="2348" spans="1:8" ht="15">
      <c r="A2348"/>
      <c r="B2348"/>
      <c r="C2348"/>
      <c r="D2348"/>
      <c r="E2348"/>
      <c r="F2348"/>
      <c r="G2348"/>
      <c r="H2348"/>
    </row>
    <row r="2349" spans="1:8" ht="15">
      <c r="A2349"/>
      <c r="B2349"/>
      <c r="C2349"/>
      <c r="D2349"/>
      <c r="E2349"/>
      <c r="F2349"/>
      <c r="G2349"/>
      <c r="H2349"/>
    </row>
    <row r="2350" spans="1:8" ht="15">
      <c r="A2350"/>
      <c r="B2350"/>
      <c r="C2350"/>
      <c r="D2350"/>
      <c r="E2350"/>
      <c r="F2350"/>
      <c r="G2350"/>
      <c r="H2350"/>
    </row>
    <row r="2351" spans="1:8" ht="15">
      <c r="A2351"/>
      <c r="B2351"/>
      <c r="C2351"/>
      <c r="D2351"/>
      <c r="E2351"/>
      <c r="F2351"/>
      <c r="G2351"/>
      <c r="H2351"/>
    </row>
    <row r="2352" spans="1:8" ht="15">
      <c r="A2352"/>
      <c r="B2352"/>
      <c r="C2352"/>
      <c r="D2352"/>
      <c r="E2352"/>
      <c r="F2352"/>
      <c r="G2352"/>
      <c r="H2352"/>
    </row>
    <row r="2353" spans="1:8" ht="15">
      <c r="A2353"/>
      <c r="B2353"/>
      <c r="C2353"/>
      <c r="D2353"/>
      <c r="E2353"/>
      <c r="F2353"/>
      <c r="G2353"/>
      <c r="H2353"/>
    </row>
    <row r="2354" spans="1:8" ht="15">
      <c r="A2354"/>
      <c r="B2354"/>
      <c r="C2354"/>
      <c r="D2354"/>
      <c r="E2354"/>
      <c r="F2354"/>
      <c r="G2354"/>
      <c r="H2354"/>
    </row>
    <row r="2355" spans="1:8" ht="15">
      <c r="A2355"/>
      <c r="B2355"/>
      <c r="C2355"/>
      <c r="D2355"/>
      <c r="E2355"/>
      <c r="F2355"/>
      <c r="G2355"/>
      <c r="H2355"/>
    </row>
    <row r="2356" spans="1:8" ht="15">
      <c r="A2356"/>
      <c r="B2356"/>
      <c r="C2356"/>
      <c r="D2356"/>
      <c r="E2356"/>
      <c r="F2356"/>
      <c r="G2356"/>
      <c r="H2356"/>
    </row>
    <row r="2357" spans="1:8" ht="15">
      <c r="A2357"/>
      <c r="B2357"/>
      <c r="C2357"/>
      <c r="D2357"/>
      <c r="E2357"/>
      <c r="F2357"/>
      <c r="G2357"/>
      <c r="H2357"/>
    </row>
    <row r="2358" spans="1:8" ht="15">
      <c r="A2358"/>
      <c r="B2358"/>
      <c r="C2358"/>
      <c r="D2358"/>
      <c r="E2358"/>
      <c r="F2358"/>
      <c r="G2358"/>
      <c r="H2358"/>
    </row>
    <row r="2359" spans="1:8" ht="15">
      <c r="A2359"/>
      <c r="B2359"/>
      <c r="C2359"/>
      <c r="D2359"/>
      <c r="E2359"/>
      <c r="F2359"/>
      <c r="G2359"/>
      <c r="H2359"/>
    </row>
    <row r="2360" spans="1:8" ht="15">
      <c r="A2360"/>
      <c r="B2360"/>
      <c r="C2360"/>
      <c r="D2360"/>
      <c r="E2360"/>
      <c r="F2360"/>
      <c r="G2360"/>
      <c r="H2360"/>
    </row>
    <row r="2361" spans="1:8" ht="15">
      <c r="A2361"/>
      <c r="B2361"/>
      <c r="C2361"/>
      <c r="D2361"/>
      <c r="E2361"/>
      <c r="F2361"/>
      <c r="G2361"/>
      <c r="H2361"/>
    </row>
    <row r="2362" spans="1:8" ht="15">
      <c r="A2362"/>
      <c r="B2362"/>
      <c r="C2362"/>
      <c r="D2362"/>
      <c r="E2362"/>
      <c r="F2362"/>
      <c r="G2362"/>
      <c r="H2362"/>
    </row>
    <row r="2363" spans="1:8" ht="15">
      <c r="A2363"/>
      <c r="B2363"/>
      <c r="C2363"/>
      <c r="D2363"/>
      <c r="E2363"/>
      <c r="F2363"/>
      <c r="G2363"/>
      <c r="H2363"/>
    </row>
    <row r="2364" spans="1:8" ht="15">
      <c r="A2364"/>
      <c r="B2364"/>
      <c r="C2364"/>
      <c r="D2364"/>
      <c r="E2364"/>
      <c r="F2364"/>
      <c r="G2364"/>
      <c r="H2364"/>
    </row>
    <row r="2365" spans="1:8" ht="15">
      <c r="A2365"/>
      <c r="B2365"/>
      <c r="C2365"/>
      <c r="D2365"/>
      <c r="E2365"/>
      <c r="F2365"/>
      <c r="G2365"/>
      <c r="H2365"/>
    </row>
    <row r="2366" spans="1:8" ht="15">
      <c r="A2366"/>
      <c r="B2366"/>
      <c r="C2366"/>
      <c r="D2366"/>
      <c r="E2366"/>
      <c r="F2366"/>
      <c r="G2366"/>
      <c r="H2366"/>
    </row>
    <row r="2367" spans="1:8" ht="15">
      <c r="A2367"/>
      <c r="B2367"/>
      <c r="C2367"/>
      <c r="D2367"/>
      <c r="E2367"/>
      <c r="F2367"/>
      <c r="G2367"/>
      <c r="H2367"/>
    </row>
    <row r="2368" spans="1:8" ht="15">
      <c r="A2368"/>
      <c r="B2368"/>
      <c r="C2368"/>
      <c r="D2368"/>
      <c r="E2368"/>
      <c r="F2368"/>
      <c r="G2368"/>
      <c r="H2368"/>
    </row>
    <row r="2369" spans="1:8" ht="15">
      <c r="A2369"/>
      <c r="B2369"/>
      <c r="C2369"/>
      <c r="D2369"/>
      <c r="E2369"/>
      <c r="F2369"/>
      <c r="G2369"/>
      <c r="H2369"/>
    </row>
    <row r="2370" spans="1:8" ht="15">
      <c r="A2370"/>
      <c r="B2370"/>
      <c r="C2370"/>
      <c r="D2370"/>
      <c r="E2370"/>
      <c r="F2370"/>
      <c r="G2370"/>
      <c r="H2370"/>
    </row>
    <row r="2371" spans="1:8" ht="15">
      <c r="A2371"/>
      <c r="B2371"/>
      <c r="C2371"/>
      <c r="D2371"/>
      <c r="E2371"/>
      <c r="F2371"/>
      <c r="G2371"/>
      <c r="H2371"/>
    </row>
    <row r="2372" spans="1:8" ht="15">
      <c r="A2372"/>
      <c r="B2372"/>
      <c r="C2372"/>
      <c r="D2372"/>
      <c r="E2372"/>
      <c r="F2372"/>
      <c r="G2372"/>
      <c r="H2372"/>
    </row>
    <row r="2373" spans="1:8" ht="15">
      <c r="A2373"/>
      <c r="B2373"/>
      <c r="C2373"/>
      <c r="D2373"/>
      <c r="E2373"/>
      <c r="F2373"/>
      <c r="G2373"/>
      <c r="H2373"/>
    </row>
    <row r="2374" spans="1:8" ht="15">
      <c r="A2374"/>
      <c r="B2374"/>
      <c r="C2374"/>
      <c r="D2374"/>
      <c r="E2374"/>
      <c r="F2374"/>
      <c r="G2374"/>
      <c r="H2374"/>
    </row>
    <row r="2375" spans="1:8" ht="15">
      <c r="A2375"/>
      <c r="B2375"/>
      <c r="C2375"/>
      <c r="D2375"/>
      <c r="E2375"/>
      <c r="F2375"/>
      <c r="G2375"/>
      <c r="H2375"/>
    </row>
    <row r="2376" spans="1:8" ht="15">
      <c r="A2376"/>
      <c r="B2376"/>
      <c r="C2376"/>
      <c r="D2376"/>
      <c r="E2376"/>
      <c r="F2376"/>
      <c r="G2376"/>
      <c r="H2376"/>
    </row>
    <row r="2377" spans="1:8" ht="15">
      <c r="A2377"/>
      <c r="B2377"/>
      <c r="C2377"/>
      <c r="D2377"/>
      <c r="E2377"/>
      <c r="F2377"/>
      <c r="G2377"/>
      <c r="H2377"/>
    </row>
    <row r="2378" spans="1:8" ht="15">
      <c r="A2378"/>
      <c r="B2378"/>
      <c r="C2378"/>
      <c r="D2378"/>
      <c r="E2378"/>
      <c r="F2378"/>
      <c r="G2378"/>
      <c r="H2378"/>
    </row>
    <row r="2379" spans="1:8" ht="15">
      <c r="A2379"/>
      <c r="B2379"/>
      <c r="C2379"/>
      <c r="D2379"/>
      <c r="E2379"/>
      <c r="F2379"/>
      <c r="G2379"/>
      <c r="H2379"/>
    </row>
    <row r="2380" spans="1:8" ht="15">
      <c r="A2380"/>
      <c r="B2380"/>
      <c r="C2380"/>
      <c r="D2380"/>
      <c r="E2380"/>
      <c r="F2380"/>
      <c r="G2380"/>
      <c r="H2380"/>
    </row>
    <row r="2381" spans="1:8" ht="15">
      <c r="A2381"/>
      <c r="B2381"/>
      <c r="C2381"/>
      <c r="D2381"/>
      <c r="E2381"/>
      <c r="F2381"/>
      <c r="G2381"/>
      <c r="H2381"/>
    </row>
    <row r="2382" spans="1:8" ht="15">
      <c r="A2382"/>
      <c r="B2382"/>
      <c r="C2382"/>
      <c r="D2382"/>
      <c r="E2382"/>
      <c r="F2382"/>
      <c r="G2382"/>
      <c r="H2382"/>
    </row>
    <row r="2383" spans="1:8" ht="15">
      <c r="A2383"/>
      <c r="B2383"/>
      <c r="C2383"/>
      <c r="D2383"/>
      <c r="E2383"/>
      <c r="F2383"/>
      <c r="G2383"/>
      <c r="H2383"/>
    </row>
    <row r="2384" spans="1:8" ht="15">
      <c r="A2384"/>
      <c r="B2384"/>
      <c r="C2384"/>
      <c r="D2384"/>
      <c r="E2384"/>
      <c r="F2384"/>
      <c r="G2384"/>
      <c r="H2384"/>
    </row>
    <row r="2385" spans="1:8" ht="15">
      <c r="A2385"/>
      <c r="B2385"/>
      <c r="C2385"/>
      <c r="D2385"/>
      <c r="E2385"/>
      <c r="F2385"/>
      <c r="G2385"/>
      <c r="H2385"/>
    </row>
    <row r="2386" spans="1:8" ht="15">
      <c r="A2386"/>
      <c r="B2386"/>
      <c r="C2386"/>
      <c r="D2386"/>
      <c r="E2386"/>
      <c r="F2386"/>
      <c r="G2386"/>
      <c r="H2386"/>
    </row>
    <row r="2387" spans="1:8" ht="15">
      <c r="A2387"/>
      <c r="B2387"/>
      <c r="C2387"/>
      <c r="D2387"/>
      <c r="E2387"/>
      <c r="F2387"/>
      <c r="G2387"/>
      <c r="H2387"/>
    </row>
    <row r="2388" spans="1:8" ht="15">
      <c r="A2388"/>
      <c r="B2388"/>
      <c r="C2388"/>
      <c r="D2388"/>
      <c r="E2388"/>
      <c r="F2388"/>
      <c r="G2388"/>
      <c r="H2388"/>
    </row>
    <row r="2389" spans="1:8" ht="15">
      <c r="A2389"/>
      <c r="B2389"/>
      <c r="C2389"/>
      <c r="D2389"/>
      <c r="E2389"/>
      <c r="F2389"/>
      <c r="G2389"/>
      <c r="H2389"/>
    </row>
    <row r="2390" spans="1:8" ht="15">
      <c r="A2390"/>
      <c r="B2390"/>
      <c r="C2390"/>
      <c r="D2390"/>
      <c r="E2390"/>
      <c r="F2390"/>
      <c r="G2390"/>
      <c r="H2390"/>
    </row>
    <row r="2391" spans="1:8" ht="15">
      <c r="A2391"/>
      <c r="B2391"/>
      <c r="C2391"/>
      <c r="D2391"/>
      <c r="E2391"/>
      <c r="F2391"/>
      <c r="G2391"/>
      <c r="H2391"/>
    </row>
    <row r="2392" spans="1:8" ht="15">
      <c r="A2392"/>
      <c r="B2392"/>
      <c r="C2392"/>
      <c r="D2392"/>
      <c r="E2392"/>
      <c r="F2392"/>
      <c r="G2392"/>
      <c r="H2392"/>
    </row>
    <row r="2393" spans="1:8" ht="15">
      <c r="A2393"/>
      <c r="B2393"/>
      <c r="C2393"/>
      <c r="D2393"/>
      <c r="E2393"/>
      <c r="F2393"/>
      <c r="G2393"/>
      <c r="H2393"/>
    </row>
    <row r="2394" spans="1:8" ht="15">
      <c r="A2394"/>
      <c r="B2394"/>
      <c r="C2394"/>
      <c r="D2394"/>
      <c r="E2394"/>
      <c r="F2394"/>
      <c r="G2394"/>
      <c r="H2394"/>
    </row>
    <row r="2395" spans="1:8" ht="15">
      <c r="A2395"/>
      <c r="B2395"/>
      <c r="C2395"/>
      <c r="D2395"/>
      <c r="E2395"/>
      <c r="F2395"/>
      <c r="G2395"/>
      <c r="H2395"/>
    </row>
    <row r="2396" spans="1:8" ht="15">
      <c r="A2396"/>
      <c r="B2396"/>
      <c r="C2396"/>
      <c r="D2396"/>
      <c r="E2396"/>
      <c r="F2396"/>
      <c r="G2396"/>
      <c r="H2396"/>
    </row>
    <row r="2397" spans="1:8" ht="15">
      <c r="A2397"/>
      <c r="B2397"/>
      <c r="C2397"/>
      <c r="D2397"/>
      <c r="E2397"/>
      <c r="F2397"/>
      <c r="G2397"/>
      <c r="H2397"/>
    </row>
    <row r="2398" spans="1:8" ht="15">
      <c r="A2398"/>
      <c r="B2398"/>
      <c r="C2398"/>
      <c r="D2398"/>
      <c r="E2398"/>
      <c r="F2398"/>
      <c r="G2398"/>
      <c r="H2398"/>
    </row>
    <row r="2399" spans="1:8" ht="15">
      <c r="A2399"/>
      <c r="B2399"/>
      <c r="C2399"/>
      <c r="D2399"/>
      <c r="E2399"/>
      <c r="F2399"/>
      <c r="G2399"/>
      <c r="H2399"/>
    </row>
    <row r="2400" spans="1:8" ht="15">
      <c r="A2400"/>
      <c r="B2400"/>
      <c r="C2400"/>
      <c r="D2400"/>
      <c r="E2400"/>
      <c r="F2400"/>
      <c r="G2400"/>
      <c r="H2400"/>
    </row>
    <row r="2401" spans="1:8" ht="15">
      <c r="A2401"/>
      <c r="B2401"/>
      <c r="C2401"/>
      <c r="D2401"/>
      <c r="E2401"/>
      <c r="F2401"/>
      <c r="G2401"/>
      <c r="H2401"/>
    </row>
    <row r="2402" spans="1:8" ht="15">
      <c r="A2402"/>
      <c r="B2402"/>
      <c r="C2402"/>
      <c r="D2402"/>
      <c r="E2402"/>
      <c r="F2402"/>
      <c r="G2402"/>
      <c r="H2402"/>
    </row>
    <row r="2403" spans="1:8" ht="15">
      <c r="A2403"/>
      <c r="B2403"/>
      <c r="C2403"/>
      <c r="D2403"/>
      <c r="E2403"/>
      <c r="F2403"/>
      <c r="G2403"/>
      <c r="H2403"/>
    </row>
    <row r="2404" spans="1:8" ht="15">
      <c r="A2404"/>
      <c r="B2404"/>
      <c r="C2404"/>
      <c r="D2404"/>
      <c r="E2404"/>
      <c r="F2404"/>
      <c r="G2404"/>
      <c r="H2404"/>
    </row>
    <row r="2405" spans="1:8" ht="15">
      <c r="A2405"/>
      <c r="B2405"/>
      <c r="C2405"/>
      <c r="D2405"/>
      <c r="E2405"/>
      <c r="F2405"/>
      <c r="G2405"/>
      <c r="H2405"/>
    </row>
    <row r="2406" spans="1:8" ht="15">
      <c r="A2406"/>
      <c r="B2406"/>
      <c r="C2406"/>
      <c r="D2406"/>
      <c r="E2406"/>
      <c r="F2406"/>
      <c r="G2406"/>
      <c r="H2406"/>
    </row>
    <row r="2407" spans="1:8" ht="15">
      <c r="A2407"/>
      <c r="B2407"/>
      <c r="C2407"/>
      <c r="D2407"/>
      <c r="E2407"/>
      <c r="F2407"/>
      <c r="G2407"/>
      <c r="H2407"/>
    </row>
    <row r="2408" spans="1:8" ht="15">
      <c r="A2408"/>
      <c r="B2408"/>
      <c r="C2408"/>
      <c r="D2408"/>
      <c r="E2408"/>
      <c r="F2408"/>
      <c r="G2408"/>
      <c r="H2408"/>
    </row>
    <row r="2409" spans="1:8" ht="15">
      <c r="A2409"/>
      <c r="B2409"/>
      <c r="C2409"/>
      <c r="D2409"/>
      <c r="E2409"/>
      <c r="F2409"/>
      <c r="G2409"/>
      <c r="H2409"/>
    </row>
    <row r="2410" spans="1:8" ht="15">
      <c r="A2410"/>
      <c r="B2410"/>
      <c r="C2410"/>
      <c r="D2410"/>
      <c r="E2410"/>
      <c r="F2410"/>
      <c r="G2410"/>
      <c r="H2410"/>
    </row>
    <row r="2411" spans="1:8" ht="15">
      <c r="A2411"/>
      <c r="B2411"/>
      <c r="C2411"/>
      <c r="D2411"/>
      <c r="E2411"/>
      <c r="F2411"/>
      <c r="G2411"/>
      <c r="H2411"/>
    </row>
    <row r="2412" spans="1:8" ht="15">
      <c r="A2412"/>
      <c r="B2412"/>
      <c r="C2412"/>
      <c r="D2412"/>
      <c r="E2412"/>
      <c r="F2412"/>
      <c r="G2412"/>
      <c r="H2412"/>
    </row>
    <row r="2413" spans="1:8" ht="15">
      <c r="A2413"/>
      <c r="B2413"/>
      <c r="C2413"/>
      <c r="D2413"/>
      <c r="E2413"/>
      <c r="F2413"/>
      <c r="G2413"/>
      <c r="H2413"/>
    </row>
    <row r="2414" spans="1:8" ht="15">
      <c r="A2414"/>
      <c r="B2414"/>
      <c r="C2414"/>
      <c r="D2414"/>
      <c r="E2414"/>
      <c r="F2414"/>
      <c r="G2414"/>
      <c r="H2414"/>
    </row>
    <row r="2415" spans="1:8" ht="15">
      <c r="A2415"/>
      <c r="B2415"/>
      <c r="C2415"/>
      <c r="D2415"/>
      <c r="E2415"/>
      <c r="F2415"/>
      <c r="G2415"/>
      <c r="H2415"/>
    </row>
    <row r="2416" spans="1:8" ht="15">
      <c r="A2416"/>
      <c r="B2416"/>
      <c r="C2416"/>
      <c r="D2416"/>
      <c r="E2416"/>
      <c r="F2416"/>
      <c r="G2416"/>
      <c r="H2416"/>
    </row>
    <row r="2417" spans="1:8" ht="15">
      <c r="A2417"/>
      <c r="B2417"/>
      <c r="C2417"/>
      <c r="D2417"/>
      <c r="E2417"/>
      <c r="F2417"/>
      <c r="G2417"/>
      <c r="H2417"/>
    </row>
    <row r="2418" spans="1:8" ht="15">
      <c r="A2418"/>
      <c r="B2418"/>
      <c r="C2418"/>
      <c r="D2418"/>
      <c r="E2418"/>
      <c r="F2418"/>
      <c r="G2418"/>
      <c r="H2418"/>
    </row>
    <row r="2419" spans="1:8" ht="15">
      <c r="A2419"/>
      <c r="B2419"/>
      <c r="C2419"/>
      <c r="D2419"/>
      <c r="E2419"/>
      <c r="F2419"/>
      <c r="G2419"/>
      <c r="H2419"/>
    </row>
    <row r="2420" spans="1:8" ht="15">
      <c r="A2420"/>
      <c r="B2420"/>
      <c r="C2420"/>
      <c r="D2420"/>
      <c r="E2420"/>
      <c r="F2420"/>
      <c r="G2420"/>
      <c r="H2420"/>
    </row>
    <row r="2421" spans="1:8" ht="15">
      <c r="A2421"/>
      <c r="B2421"/>
      <c r="C2421"/>
      <c r="D2421"/>
      <c r="E2421"/>
      <c r="F2421"/>
      <c r="G2421"/>
      <c r="H2421"/>
    </row>
    <row r="2422" spans="1:8" ht="15">
      <c r="A2422"/>
      <c r="B2422"/>
      <c r="C2422"/>
      <c r="D2422"/>
      <c r="E2422"/>
      <c r="F2422"/>
      <c r="G2422"/>
      <c r="H2422"/>
    </row>
    <row r="2423" spans="1:8" ht="15">
      <c r="A2423"/>
      <c r="B2423"/>
      <c r="C2423"/>
      <c r="D2423"/>
      <c r="E2423"/>
      <c r="F2423"/>
      <c r="G2423"/>
      <c r="H2423"/>
    </row>
    <row r="2424" spans="1:8" ht="15">
      <c r="A2424"/>
      <c r="B2424"/>
      <c r="C2424"/>
      <c r="D2424"/>
      <c r="E2424"/>
      <c r="F2424"/>
      <c r="G2424"/>
      <c r="H2424"/>
    </row>
    <row r="2425" spans="1:8" ht="15">
      <c r="A2425"/>
      <c r="B2425"/>
      <c r="C2425"/>
      <c r="D2425"/>
      <c r="E2425"/>
      <c r="F2425"/>
      <c r="G2425"/>
      <c r="H2425"/>
    </row>
    <row r="2426" spans="1:8" ht="15">
      <c r="A2426"/>
      <c r="B2426"/>
      <c r="C2426"/>
      <c r="D2426"/>
      <c r="E2426"/>
      <c r="F2426"/>
      <c r="G2426"/>
      <c r="H2426"/>
    </row>
    <row r="2427" spans="1:8" ht="15">
      <c r="A2427"/>
      <c r="B2427"/>
      <c r="C2427"/>
      <c r="D2427"/>
      <c r="E2427"/>
      <c r="F2427"/>
      <c r="G2427"/>
      <c r="H2427"/>
    </row>
    <row r="2428" spans="1:8" ht="15">
      <c r="A2428"/>
      <c r="B2428"/>
      <c r="C2428"/>
      <c r="D2428"/>
      <c r="E2428"/>
      <c r="F2428"/>
      <c r="G2428"/>
      <c r="H2428"/>
    </row>
    <row r="2429" spans="1:8" ht="15">
      <c r="A2429"/>
      <c r="B2429"/>
      <c r="C2429"/>
      <c r="D2429"/>
      <c r="E2429"/>
      <c r="F2429"/>
      <c r="G2429"/>
      <c r="H2429"/>
    </row>
    <row r="2430" spans="1:8" ht="15">
      <c r="A2430"/>
      <c r="B2430"/>
      <c r="C2430"/>
      <c r="D2430"/>
      <c r="E2430"/>
      <c r="F2430"/>
      <c r="G2430"/>
      <c r="H2430"/>
    </row>
    <row r="2431" spans="1:8" ht="15">
      <c r="A2431"/>
      <c r="B2431"/>
      <c r="C2431"/>
      <c r="D2431"/>
      <c r="E2431"/>
      <c r="F2431"/>
      <c r="G2431"/>
      <c r="H2431"/>
    </row>
    <row r="2432" spans="1:8" ht="15">
      <c r="A2432"/>
      <c r="B2432"/>
      <c r="C2432"/>
      <c r="D2432"/>
      <c r="E2432"/>
      <c r="F2432"/>
      <c r="G2432"/>
      <c r="H2432"/>
    </row>
    <row r="2433" spans="1:8" ht="15">
      <c r="A2433"/>
      <c r="B2433"/>
      <c r="C2433"/>
      <c r="D2433"/>
      <c r="E2433"/>
      <c r="F2433"/>
      <c r="G2433"/>
      <c r="H2433"/>
    </row>
    <row r="2434" spans="1:8" ht="15">
      <c r="A2434"/>
      <c r="B2434"/>
      <c r="C2434"/>
      <c r="D2434"/>
      <c r="E2434"/>
      <c r="F2434"/>
      <c r="G2434"/>
      <c r="H2434"/>
    </row>
    <row r="2435" spans="1:8" ht="15">
      <c r="A2435"/>
      <c r="B2435"/>
      <c r="C2435"/>
      <c r="D2435"/>
      <c r="E2435"/>
      <c r="F2435"/>
      <c r="G2435"/>
      <c r="H2435"/>
    </row>
    <row r="2436" spans="1:8" ht="15">
      <c r="A2436"/>
      <c r="B2436"/>
      <c r="C2436"/>
      <c r="D2436"/>
      <c r="E2436"/>
      <c r="F2436"/>
      <c r="G2436"/>
      <c r="H2436"/>
    </row>
    <row r="2437" spans="1:8" ht="15">
      <c r="A2437"/>
      <c r="B2437"/>
      <c r="C2437"/>
      <c r="D2437"/>
      <c r="E2437"/>
      <c r="F2437"/>
      <c r="G2437"/>
      <c r="H2437"/>
    </row>
    <row r="2438" spans="1:8" ht="15">
      <c r="A2438"/>
      <c r="B2438"/>
      <c r="C2438"/>
      <c r="D2438"/>
      <c r="E2438"/>
      <c r="F2438"/>
      <c r="G2438"/>
      <c r="H2438"/>
    </row>
    <row r="2439" spans="1:8" ht="15">
      <c r="A2439"/>
      <c r="B2439"/>
      <c r="C2439"/>
      <c r="D2439"/>
      <c r="E2439"/>
      <c r="F2439"/>
      <c r="G2439"/>
      <c r="H2439"/>
    </row>
    <row r="2440" spans="1:8" ht="15">
      <c r="A2440"/>
      <c r="B2440"/>
      <c r="C2440"/>
      <c r="D2440"/>
      <c r="E2440"/>
      <c r="F2440"/>
      <c r="G2440"/>
      <c r="H2440"/>
    </row>
    <row r="2441" spans="1:8" ht="15">
      <c r="A2441"/>
      <c r="B2441"/>
      <c r="C2441"/>
      <c r="D2441"/>
      <c r="E2441"/>
      <c r="F2441"/>
      <c r="G2441"/>
      <c r="H2441"/>
    </row>
    <row r="2442" spans="1:8" ht="15">
      <c r="A2442"/>
      <c r="B2442"/>
      <c r="C2442"/>
      <c r="D2442"/>
      <c r="E2442"/>
      <c r="F2442"/>
      <c r="G2442"/>
      <c r="H2442"/>
    </row>
    <row r="2443" spans="1:8" ht="15">
      <c r="A2443"/>
      <c r="B2443"/>
      <c r="C2443"/>
      <c r="D2443"/>
      <c r="E2443"/>
      <c r="F2443"/>
      <c r="G2443"/>
      <c r="H2443"/>
    </row>
    <row r="2444" spans="1:8" ht="15">
      <c r="A2444"/>
      <c r="B2444"/>
      <c r="C2444"/>
      <c r="D2444"/>
      <c r="E2444"/>
      <c r="F2444"/>
      <c r="G2444"/>
      <c r="H2444"/>
    </row>
    <row r="2445" spans="1:8" ht="15">
      <c r="A2445"/>
      <c r="B2445"/>
      <c r="C2445"/>
      <c r="D2445"/>
      <c r="E2445"/>
      <c r="F2445"/>
      <c r="G2445"/>
      <c r="H2445"/>
    </row>
    <row r="2446" spans="1:8" ht="15">
      <c r="A2446"/>
      <c r="B2446"/>
      <c r="C2446"/>
      <c r="D2446"/>
      <c r="E2446"/>
      <c r="F2446"/>
      <c r="G2446"/>
      <c r="H2446"/>
    </row>
    <row r="2447" spans="1:8" ht="15">
      <c r="A2447"/>
      <c r="B2447"/>
      <c r="C2447"/>
      <c r="D2447"/>
      <c r="E2447"/>
      <c r="F2447"/>
      <c r="G2447"/>
      <c r="H2447"/>
    </row>
    <row r="2448" spans="1:8" ht="15">
      <c r="A2448"/>
      <c r="B2448"/>
      <c r="C2448"/>
      <c r="D2448"/>
      <c r="E2448"/>
      <c r="F2448"/>
      <c r="G2448"/>
      <c r="H2448"/>
    </row>
    <row r="2449" spans="1:8" ht="15">
      <c r="A2449"/>
      <c r="B2449"/>
      <c r="C2449"/>
      <c r="D2449"/>
      <c r="E2449"/>
      <c r="F2449"/>
      <c r="G2449"/>
      <c r="H2449"/>
    </row>
    <row r="2450" spans="1:8" ht="15">
      <c r="A2450"/>
      <c r="B2450"/>
      <c r="C2450"/>
      <c r="D2450"/>
      <c r="E2450"/>
      <c r="F2450"/>
      <c r="G2450"/>
      <c r="H2450"/>
    </row>
    <row r="2451" spans="1:8" ht="15">
      <c r="A2451"/>
      <c r="B2451"/>
      <c r="C2451"/>
      <c r="D2451"/>
      <c r="E2451"/>
      <c r="F2451"/>
      <c r="G2451"/>
      <c r="H2451"/>
    </row>
    <row r="2452" spans="1:8" ht="15">
      <c r="A2452"/>
      <c r="B2452"/>
      <c r="C2452"/>
      <c r="D2452"/>
      <c r="E2452"/>
      <c r="F2452"/>
      <c r="G2452"/>
      <c r="H2452"/>
    </row>
    <row r="2453" spans="1:8" ht="15">
      <c r="A2453"/>
      <c r="B2453"/>
      <c r="C2453"/>
      <c r="D2453"/>
      <c r="E2453"/>
      <c r="F2453"/>
      <c r="G2453"/>
      <c r="H2453"/>
    </row>
    <row r="2454" spans="1:8" ht="15">
      <c r="A2454"/>
      <c r="B2454"/>
      <c r="C2454"/>
      <c r="D2454"/>
      <c r="E2454"/>
      <c r="F2454"/>
      <c r="G2454"/>
      <c r="H2454"/>
    </row>
    <row r="2455" spans="1:8" ht="15">
      <c r="A2455"/>
      <c r="B2455"/>
      <c r="C2455"/>
      <c r="D2455"/>
      <c r="E2455"/>
      <c r="F2455"/>
      <c r="G2455"/>
      <c r="H2455"/>
    </row>
    <row r="2456" spans="1:8" ht="15">
      <c r="A2456"/>
      <c r="B2456"/>
      <c r="C2456"/>
      <c r="D2456"/>
      <c r="E2456"/>
      <c r="F2456"/>
      <c r="G2456"/>
      <c r="H2456"/>
    </row>
    <row r="2457" spans="1:8" ht="15">
      <c r="A2457"/>
      <c r="B2457"/>
      <c r="C2457"/>
      <c r="D2457"/>
      <c r="E2457"/>
      <c r="F2457"/>
      <c r="G2457"/>
      <c r="H2457"/>
    </row>
    <row r="2458" spans="1:8" ht="15">
      <c r="A2458"/>
      <c r="B2458"/>
      <c r="C2458"/>
      <c r="D2458"/>
      <c r="E2458"/>
      <c r="F2458"/>
      <c r="G2458"/>
      <c r="H2458"/>
    </row>
    <row r="2459" spans="1:8" ht="15">
      <c r="A2459"/>
      <c r="B2459"/>
      <c r="C2459"/>
      <c r="D2459"/>
      <c r="E2459"/>
      <c r="F2459"/>
      <c r="G2459"/>
      <c r="H2459"/>
    </row>
    <row r="2460" spans="1:8" ht="15">
      <c r="A2460"/>
      <c r="B2460"/>
      <c r="C2460"/>
      <c r="D2460"/>
      <c r="E2460"/>
      <c r="F2460"/>
      <c r="G2460"/>
      <c r="H2460"/>
    </row>
    <row r="2461" spans="1:8" ht="15">
      <c r="A2461"/>
      <c r="B2461"/>
      <c r="C2461"/>
      <c r="D2461"/>
      <c r="E2461"/>
      <c r="F2461"/>
      <c r="G2461"/>
      <c r="H2461"/>
    </row>
    <row r="2462" spans="1:8" ht="15">
      <c r="A2462"/>
      <c r="B2462"/>
      <c r="C2462"/>
      <c r="D2462"/>
      <c r="E2462"/>
      <c r="F2462"/>
      <c r="G2462"/>
      <c r="H2462"/>
    </row>
    <row r="2463" spans="1:8" ht="15">
      <c r="A2463"/>
      <c r="B2463"/>
      <c r="C2463"/>
      <c r="D2463"/>
      <c r="E2463"/>
      <c r="F2463"/>
      <c r="G2463"/>
      <c r="H2463"/>
    </row>
    <row r="2464" spans="1:8" ht="15">
      <c r="A2464"/>
      <c r="B2464"/>
      <c r="C2464"/>
      <c r="D2464"/>
      <c r="E2464"/>
      <c r="F2464"/>
      <c r="G2464"/>
      <c r="H2464"/>
    </row>
    <row r="2465" spans="1:8" ht="15">
      <c r="A2465"/>
      <c r="B2465"/>
      <c r="C2465"/>
      <c r="D2465"/>
      <c r="E2465"/>
      <c r="F2465"/>
      <c r="G2465"/>
      <c r="H2465"/>
    </row>
    <row r="2466" spans="1:8" ht="15">
      <c r="A2466"/>
      <c r="B2466"/>
      <c r="C2466"/>
      <c r="D2466"/>
      <c r="E2466"/>
      <c r="F2466"/>
      <c r="G2466"/>
      <c r="H2466"/>
    </row>
    <row r="2467" spans="1:8" ht="15">
      <c r="A2467"/>
      <c r="B2467"/>
      <c r="C2467"/>
      <c r="D2467"/>
      <c r="E2467"/>
      <c r="F2467"/>
      <c r="G2467"/>
      <c r="H2467"/>
    </row>
    <row r="2468" spans="1:8" ht="15">
      <c r="A2468"/>
      <c r="B2468"/>
      <c r="C2468"/>
      <c r="D2468"/>
      <c r="E2468"/>
      <c r="F2468"/>
      <c r="G2468"/>
      <c r="H2468"/>
    </row>
    <row r="2469" spans="1:8" ht="15">
      <c r="A2469"/>
      <c r="B2469"/>
      <c r="C2469"/>
      <c r="D2469"/>
      <c r="E2469"/>
      <c r="F2469"/>
      <c r="G2469"/>
      <c r="H2469"/>
    </row>
    <row r="2470" spans="1:8" ht="15">
      <c r="A2470"/>
      <c r="B2470"/>
      <c r="C2470"/>
      <c r="D2470"/>
      <c r="E2470"/>
      <c r="F2470"/>
      <c r="G2470"/>
      <c r="H2470"/>
    </row>
    <row r="2471" spans="1:8" ht="15">
      <c r="A2471"/>
      <c r="B2471"/>
      <c r="C2471"/>
      <c r="D2471"/>
      <c r="E2471"/>
      <c r="F2471"/>
      <c r="G2471"/>
      <c r="H2471"/>
    </row>
    <row r="2472" spans="1:8" ht="15">
      <c r="A2472"/>
      <c r="B2472"/>
      <c r="C2472"/>
      <c r="D2472"/>
      <c r="E2472"/>
      <c r="F2472"/>
      <c r="G2472"/>
      <c r="H2472"/>
    </row>
    <row r="2473" spans="1:8" ht="15">
      <c r="A2473"/>
      <c r="B2473"/>
      <c r="C2473"/>
      <c r="D2473"/>
      <c r="E2473"/>
      <c r="F2473"/>
      <c r="G2473"/>
      <c r="H2473"/>
    </row>
    <row r="2474" spans="1:8" ht="15">
      <c r="A2474"/>
      <c r="B2474"/>
      <c r="C2474"/>
      <c r="D2474"/>
      <c r="E2474"/>
      <c r="F2474"/>
      <c r="G2474"/>
      <c r="H2474"/>
    </row>
    <row r="2475" spans="1:8" ht="15">
      <c r="A2475"/>
      <c r="B2475"/>
      <c r="C2475"/>
      <c r="D2475"/>
      <c r="E2475"/>
      <c r="F2475"/>
      <c r="G2475"/>
      <c r="H2475"/>
    </row>
    <row r="2476" spans="1:8" ht="15">
      <c r="A2476"/>
      <c r="B2476"/>
      <c r="C2476"/>
      <c r="D2476"/>
      <c r="E2476"/>
      <c r="F2476"/>
      <c r="G2476"/>
      <c r="H2476"/>
    </row>
    <row r="2477" spans="1:8" ht="15">
      <c r="A2477"/>
      <c r="B2477"/>
      <c r="C2477"/>
      <c r="D2477"/>
      <c r="E2477"/>
      <c r="F2477"/>
      <c r="G2477"/>
      <c r="H2477"/>
    </row>
    <row r="2478" spans="1:8" ht="15">
      <c r="A2478"/>
      <c r="B2478"/>
      <c r="C2478"/>
      <c r="D2478"/>
      <c r="E2478"/>
      <c r="F2478"/>
      <c r="G2478"/>
      <c r="H2478"/>
    </row>
    <row r="2479" spans="1:8" ht="15">
      <c r="A2479"/>
      <c r="B2479"/>
      <c r="C2479"/>
      <c r="D2479"/>
      <c r="E2479"/>
      <c r="F2479"/>
      <c r="G2479"/>
      <c r="H2479"/>
    </row>
    <row r="2480" spans="1:8" ht="15">
      <c r="A2480"/>
      <c r="B2480"/>
      <c r="C2480"/>
      <c r="D2480"/>
      <c r="E2480"/>
      <c r="F2480"/>
      <c r="G2480"/>
      <c r="H2480"/>
    </row>
    <row r="2481" spans="1:8" ht="15">
      <c r="A2481"/>
      <c r="B2481"/>
      <c r="C2481"/>
      <c r="D2481"/>
      <c r="E2481"/>
      <c r="F2481"/>
      <c r="G2481"/>
      <c r="H2481"/>
    </row>
    <row r="2482" spans="1:8" ht="15">
      <c r="A2482"/>
      <c r="B2482"/>
      <c r="C2482"/>
      <c r="D2482"/>
      <c r="E2482"/>
      <c r="F2482"/>
      <c r="G2482"/>
      <c r="H2482"/>
    </row>
    <row r="2483" spans="1:8" ht="15">
      <c r="A2483"/>
      <c r="B2483"/>
      <c r="C2483"/>
      <c r="D2483"/>
      <c r="E2483"/>
      <c r="F2483"/>
      <c r="G2483"/>
      <c r="H2483"/>
    </row>
    <row r="2484" spans="1:8" ht="15">
      <c r="A2484"/>
      <c r="B2484"/>
      <c r="C2484"/>
      <c r="D2484"/>
      <c r="E2484"/>
      <c r="F2484"/>
      <c r="G2484"/>
      <c r="H2484"/>
    </row>
    <row r="2485" spans="1:8" ht="15">
      <c r="A2485"/>
      <c r="B2485"/>
      <c r="C2485"/>
      <c r="D2485"/>
      <c r="E2485"/>
      <c r="F2485"/>
      <c r="G2485"/>
      <c r="H2485"/>
    </row>
    <row r="2486" spans="1:8" ht="15">
      <c r="A2486"/>
      <c r="B2486"/>
      <c r="C2486"/>
      <c r="D2486"/>
      <c r="E2486"/>
      <c r="F2486"/>
      <c r="G2486"/>
      <c r="H2486"/>
    </row>
    <row r="2487" spans="1:8" ht="15">
      <c r="A2487"/>
      <c r="B2487"/>
      <c r="C2487"/>
      <c r="D2487"/>
      <c r="E2487"/>
      <c r="F2487"/>
      <c r="G2487"/>
      <c r="H2487"/>
    </row>
    <row r="2488" spans="1:8" ht="15">
      <c r="A2488"/>
      <c r="B2488"/>
      <c r="C2488"/>
      <c r="D2488"/>
      <c r="E2488"/>
      <c r="F2488"/>
      <c r="G2488"/>
      <c r="H2488"/>
    </row>
    <row r="2489" spans="1:8" ht="15">
      <c r="A2489"/>
      <c r="B2489"/>
      <c r="C2489"/>
      <c r="D2489"/>
      <c r="E2489"/>
      <c r="F2489"/>
      <c r="G2489"/>
      <c r="H2489"/>
    </row>
    <row r="2490" spans="1:8" ht="15">
      <c r="A2490"/>
      <c r="B2490"/>
      <c r="C2490"/>
      <c r="D2490"/>
      <c r="E2490"/>
      <c r="F2490"/>
      <c r="G2490"/>
      <c r="H2490"/>
    </row>
    <row r="2491" spans="1:8" ht="15">
      <c r="A2491"/>
      <c r="B2491"/>
      <c r="C2491"/>
      <c r="D2491"/>
      <c r="E2491"/>
      <c r="F2491"/>
      <c r="G2491"/>
      <c r="H2491"/>
    </row>
    <row r="2492" spans="1:8" ht="15">
      <c r="A2492"/>
      <c r="B2492"/>
      <c r="C2492"/>
      <c r="D2492"/>
      <c r="E2492"/>
      <c r="F2492"/>
      <c r="G2492"/>
      <c r="H2492"/>
    </row>
    <row r="2493" spans="1:8" ht="15">
      <c r="A2493"/>
      <c r="B2493"/>
      <c r="C2493"/>
      <c r="D2493"/>
      <c r="E2493"/>
      <c r="F2493"/>
      <c r="G2493"/>
      <c r="H2493"/>
    </row>
    <row r="2494" spans="1:8" ht="15">
      <c r="A2494"/>
      <c r="B2494"/>
      <c r="C2494"/>
      <c r="D2494"/>
      <c r="E2494"/>
      <c r="F2494"/>
      <c r="G2494"/>
      <c r="H2494"/>
    </row>
    <row r="2495" spans="1:8" ht="15">
      <c r="A2495"/>
      <c r="B2495"/>
      <c r="C2495"/>
      <c r="D2495"/>
      <c r="E2495"/>
      <c r="F2495"/>
      <c r="G2495"/>
      <c r="H2495"/>
    </row>
    <row r="2496" spans="1:8" ht="15">
      <c r="A2496"/>
      <c r="B2496"/>
      <c r="C2496"/>
      <c r="D2496"/>
      <c r="E2496"/>
      <c r="F2496"/>
      <c r="G2496"/>
      <c r="H2496"/>
    </row>
    <row r="2497" spans="1:8" ht="15">
      <c r="A2497"/>
      <c r="B2497"/>
      <c r="C2497"/>
      <c r="D2497"/>
      <c r="E2497"/>
      <c r="F2497"/>
      <c r="G2497"/>
      <c r="H2497"/>
    </row>
    <row r="2498" spans="1:8" ht="15">
      <c r="A2498"/>
      <c r="B2498"/>
      <c r="C2498"/>
      <c r="D2498"/>
      <c r="E2498"/>
      <c r="F2498"/>
      <c r="G2498"/>
      <c r="H2498"/>
    </row>
    <row r="2499" spans="1:8" ht="15">
      <c r="A2499"/>
      <c r="B2499"/>
      <c r="C2499"/>
      <c r="D2499"/>
      <c r="E2499"/>
      <c r="F2499"/>
      <c r="G2499"/>
      <c r="H2499"/>
    </row>
    <row r="2500" spans="1:8" ht="15">
      <c r="A2500"/>
      <c r="B2500"/>
      <c r="C2500"/>
      <c r="D2500"/>
      <c r="E2500"/>
      <c r="F2500"/>
      <c r="G2500"/>
      <c r="H2500"/>
    </row>
    <row r="2501" spans="1:8" ht="15">
      <c r="A2501"/>
      <c r="B2501"/>
      <c r="C2501"/>
      <c r="D2501"/>
      <c r="E2501"/>
      <c r="F2501"/>
      <c r="G2501"/>
      <c r="H2501"/>
    </row>
    <row r="2502" spans="1:8" ht="15">
      <c r="A2502"/>
      <c r="B2502"/>
      <c r="C2502"/>
      <c r="D2502"/>
      <c r="E2502"/>
      <c r="F2502"/>
      <c r="G2502"/>
      <c r="H2502"/>
    </row>
    <row r="2503" spans="1:8" ht="15">
      <c r="A2503"/>
      <c r="B2503"/>
      <c r="C2503"/>
      <c r="D2503"/>
      <c r="E2503"/>
      <c r="F2503"/>
      <c r="G2503"/>
      <c r="H2503"/>
    </row>
    <row r="2504" spans="1:8" ht="15">
      <c r="A2504"/>
      <c r="B2504"/>
      <c r="C2504"/>
      <c r="D2504"/>
      <c r="E2504"/>
      <c r="F2504"/>
      <c r="G2504"/>
      <c r="H2504"/>
    </row>
    <row r="2505" spans="1:8" ht="15">
      <c r="A2505"/>
      <c r="B2505"/>
      <c r="C2505"/>
      <c r="D2505"/>
      <c r="E2505"/>
      <c r="F2505"/>
      <c r="G2505"/>
      <c r="H2505"/>
    </row>
    <row r="2506" spans="1:8" ht="15">
      <c r="A2506"/>
      <c r="B2506"/>
      <c r="C2506"/>
      <c r="D2506"/>
      <c r="E2506"/>
      <c r="F2506"/>
      <c r="G2506"/>
      <c r="H2506"/>
    </row>
    <row r="2507" spans="1:8" ht="15">
      <c r="A2507"/>
      <c r="B2507"/>
      <c r="C2507"/>
      <c r="D2507"/>
      <c r="E2507"/>
      <c r="F2507"/>
      <c r="G2507"/>
      <c r="H2507"/>
    </row>
    <row r="2508" spans="1:8" ht="15">
      <c r="A2508"/>
      <c r="B2508"/>
      <c r="C2508"/>
      <c r="D2508"/>
      <c r="E2508"/>
      <c r="F2508"/>
      <c r="G2508"/>
      <c r="H2508"/>
    </row>
    <row r="2509" spans="1:8" ht="15">
      <c r="A2509"/>
      <c r="B2509"/>
      <c r="C2509"/>
      <c r="D2509"/>
      <c r="E2509"/>
      <c r="F2509"/>
      <c r="G2509"/>
      <c r="H2509"/>
    </row>
    <row r="2510" spans="1:8" ht="15">
      <c r="A2510"/>
      <c r="B2510"/>
      <c r="C2510"/>
      <c r="D2510"/>
      <c r="E2510"/>
      <c r="F2510"/>
      <c r="G2510"/>
      <c r="H2510"/>
    </row>
    <row r="2511" spans="1:8" ht="15">
      <c r="A2511"/>
      <c r="B2511"/>
      <c r="C2511"/>
      <c r="D2511"/>
      <c r="E2511"/>
      <c r="F2511"/>
      <c r="G2511"/>
      <c r="H2511"/>
    </row>
    <row r="2512" spans="1:8" ht="15">
      <c r="A2512"/>
      <c r="B2512"/>
      <c r="C2512"/>
      <c r="D2512"/>
      <c r="E2512"/>
      <c r="F2512"/>
      <c r="G2512"/>
      <c r="H2512"/>
    </row>
    <row r="2513" spans="1:8" ht="15">
      <c r="A2513"/>
      <c r="B2513"/>
      <c r="C2513"/>
      <c r="D2513"/>
      <c r="E2513"/>
      <c r="F2513"/>
      <c r="G2513"/>
      <c r="H2513"/>
    </row>
    <row r="2514" spans="1:8" ht="15">
      <c r="A2514"/>
      <c r="B2514"/>
      <c r="C2514"/>
      <c r="D2514"/>
      <c r="E2514"/>
      <c r="F2514"/>
      <c r="G2514"/>
      <c r="H2514"/>
    </row>
    <row r="2515" spans="1:8" ht="15">
      <c r="A2515"/>
      <c r="B2515"/>
      <c r="C2515"/>
      <c r="D2515"/>
      <c r="E2515"/>
      <c r="F2515"/>
      <c r="G2515"/>
      <c r="H2515"/>
    </row>
    <row r="2516" spans="1:8" ht="15">
      <c r="A2516"/>
      <c r="B2516"/>
      <c r="C2516"/>
      <c r="D2516"/>
      <c r="E2516"/>
      <c r="F2516"/>
      <c r="G2516"/>
      <c r="H2516"/>
    </row>
    <row r="2517" spans="1:8" ht="15">
      <c r="A2517"/>
      <c r="B2517"/>
      <c r="C2517"/>
      <c r="D2517"/>
      <c r="E2517"/>
      <c r="F2517"/>
      <c r="G2517"/>
      <c r="H2517"/>
    </row>
    <row r="2518" spans="1:8" ht="15">
      <c r="A2518"/>
      <c r="B2518"/>
      <c r="C2518"/>
      <c r="D2518"/>
      <c r="E2518"/>
      <c r="F2518"/>
      <c r="G2518"/>
      <c r="H2518"/>
    </row>
    <row r="2519" spans="1:8" ht="15">
      <c r="A2519"/>
      <c r="B2519"/>
      <c r="C2519"/>
      <c r="D2519"/>
      <c r="E2519"/>
      <c r="F2519"/>
      <c r="G2519"/>
      <c r="H2519"/>
    </row>
    <row r="2520" spans="1:8" ht="15">
      <c r="A2520"/>
      <c r="B2520"/>
      <c r="C2520"/>
      <c r="D2520"/>
      <c r="E2520"/>
      <c r="F2520"/>
      <c r="G2520"/>
      <c r="H2520"/>
    </row>
    <row r="2521" spans="1:8" ht="15">
      <c r="A2521"/>
      <c r="B2521"/>
      <c r="C2521"/>
      <c r="D2521"/>
      <c r="E2521"/>
      <c r="F2521"/>
      <c r="G2521"/>
      <c r="H2521"/>
    </row>
    <row r="2522" spans="1:8" ht="15">
      <c r="A2522"/>
      <c r="B2522"/>
      <c r="C2522"/>
      <c r="D2522"/>
      <c r="E2522"/>
      <c r="F2522"/>
      <c r="G2522"/>
      <c r="H2522"/>
    </row>
    <row r="2523" spans="1:8" ht="15">
      <c r="A2523"/>
      <c r="B2523"/>
      <c r="C2523"/>
      <c r="D2523"/>
      <c r="E2523"/>
      <c r="F2523"/>
      <c r="G2523"/>
      <c r="H2523"/>
    </row>
    <row r="2524" spans="1:8" ht="15">
      <c r="A2524"/>
      <c r="B2524"/>
      <c r="C2524"/>
      <c r="D2524"/>
      <c r="E2524"/>
      <c r="F2524"/>
      <c r="G2524"/>
      <c r="H2524"/>
    </row>
    <row r="2525" spans="1:8" ht="15">
      <c r="A2525"/>
      <c r="B2525"/>
      <c r="C2525"/>
      <c r="D2525"/>
      <c r="E2525"/>
      <c r="F2525"/>
      <c r="G2525"/>
      <c r="H2525"/>
    </row>
    <row r="2526" spans="1:8" ht="15">
      <c r="A2526"/>
      <c r="B2526"/>
      <c r="C2526"/>
      <c r="D2526"/>
      <c r="E2526"/>
      <c r="F2526"/>
      <c r="G2526"/>
      <c r="H2526"/>
    </row>
    <row r="2527" spans="1:8" ht="15">
      <c r="A2527"/>
      <c r="B2527"/>
      <c r="C2527"/>
      <c r="D2527"/>
      <c r="E2527"/>
      <c r="F2527"/>
      <c r="G2527"/>
      <c r="H2527"/>
    </row>
    <row r="2528" spans="1:8" ht="15">
      <c r="A2528"/>
      <c r="B2528"/>
      <c r="C2528"/>
      <c r="D2528"/>
      <c r="E2528"/>
      <c r="F2528"/>
      <c r="G2528"/>
      <c r="H2528"/>
    </row>
    <row r="2529" spans="1:8" ht="15">
      <c r="A2529"/>
      <c r="B2529"/>
      <c r="C2529"/>
      <c r="D2529"/>
      <c r="E2529"/>
      <c r="F2529"/>
      <c r="G2529"/>
      <c r="H2529"/>
    </row>
    <row r="2530" spans="1:8" ht="15">
      <c r="A2530"/>
      <c r="B2530"/>
      <c r="C2530"/>
      <c r="D2530"/>
      <c r="E2530"/>
      <c r="F2530"/>
      <c r="G2530"/>
      <c r="H2530"/>
    </row>
    <row r="2531" spans="1:8" ht="15">
      <c r="A2531"/>
      <c r="B2531"/>
      <c r="C2531"/>
      <c r="D2531"/>
      <c r="E2531"/>
      <c r="F2531"/>
      <c r="G2531"/>
      <c r="H2531"/>
    </row>
    <row r="2532" spans="1:8" ht="15">
      <c r="A2532"/>
      <c r="B2532"/>
      <c r="C2532"/>
      <c r="D2532"/>
      <c r="E2532"/>
      <c r="F2532"/>
      <c r="G2532"/>
      <c r="H2532"/>
    </row>
    <row r="2533" spans="1:8" ht="15">
      <c r="A2533"/>
      <c r="B2533"/>
      <c r="C2533"/>
      <c r="D2533"/>
      <c r="E2533"/>
      <c r="F2533"/>
      <c r="G2533"/>
      <c r="H2533"/>
    </row>
    <row r="2534" spans="1:8" ht="15">
      <c r="A2534"/>
      <c r="B2534"/>
      <c r="C2534"/>
      <c r="D2534"/>
      <c r="E2534"/>
      <c r="F2534"/>
      <c r="G2534"/>
      <c r="H2534"/>
    </row>
    <row r="2535" spans="1:8" ht="15">
      <c r="A2535"/>
      <c r="B2535"/>
      <c r="C2535"/>
      <c r="D2535"/>
      <c r="E2535"/>
      <c r="F2535"/>
      <c r="G2535"/>
      <c r="H2535"/>
    </row>
    <row r="2536" spans="1:8" ht="15">
      <c r="A2536"/>
      <c r="B2536"/>
      <c r="C2536"/>
      <c r="D2536"/>
      <c r="E2536"/>
      <c r="F2536"/>
      <c r="G2536"/>
      <c r="H2536"/>
    </row>
    <row r="2537" spans="1:8" ht="15">
      <c r="A2537"/>
      <c r="B2537"/>
      <c r="C2537"/>
      <c r="D2537"/>
      <c r="E2537"/>
      <c r="F2537"/>
      <c r="G2537"/>
      <c r="H2537"/>
    </row>
    <row r="2538" spans="1:8" ht="15">
      <c r="A2538"/>
      <c r="B2538"/>
      <c r="C2538"/>
      <c r="D2538"/>
      <c r="E2538"/>
      <c r="F2538"/>
      <c r="G2538"/>
      <c r="H2538"/>
    </row>
    <row r="2539" spans="1:8" ht="15">
      <c r="A2539"/>
      <c r="B2539"/>
      <c r="C2539"/>
      <c r="D2539"/>
      <c r="E2539"/>
      <c r="F2539"/>
      <c r="G2539"/>
      <c r="H2539"/>
    </row>
    <row r="2540" spans="1:8" ht="15">
      <c r="A2540"/>
      <c r="B2540"/>
      <c r="C2540"/>
      <c r="D2540"/>
      <c r="E2540"/>
      <c r="F2540"/>
      <c r="G2540"/>
      <c r="H2540"/>
    </row>
    <row r="2541" spans="1:8" ht="15">
      <c r="A2541"/>
      <c r="B2541"/>
      <c r="C2541"/>
      <c r="D2541"/>
      <c r="E2541"/>
      <c r="F2541"/>
      <c r="G2541"/>
      <c r="H2541"/>
    </row>
    <row r="2542" spans="1:8" ht="15">
      <c r="A2542"/>
      <c r="B2542"/>
      <c r="C2542"/>
      <c r="D2542"/>
      <c r="E2542"/>
      <c r="F2542"/>
      <c r="G2542"/>
      <c r="H2542"/>
    </row>
    <row r="2543" spans="1:8" ht="15">
      <c r="A2543"/>
      <c r="B2543"/>
      <c r="C2543"/>
      <c r="D2543"/>
      <c r="E2543"/>
      <c r="F2543"/>
      <c r="G2543"/>
      <c r="H2543"/>
    </row>
    <row r="2544" spans="1:8" ht="15">
      <c r="A2544"/>
      <c r="B2544"/>
      <c r="C2544"/>
      <c r="D2544"/>
      <c r="E2544"/>
      <c r="F2544"/>
      <c r="G2544"/>
      <c r="H2544"/>
    </row>
    <row r="2545" spans="1:8" ht="15">
      <c r="A2545"/>
      <c r="B2545"/>
      <c r="C2545"/>
      <c r="D2545"/>
      <c r="E2545"/>
      <c r="F2545"/>
      <c r="G2545"/>
      <c r="H2545"/>
    </row>
    <row r="2546" spans="1:8" ht="15">
      <c r="A2546"/>
      <c r="B2546"/>
      <c r="C2546"/>
      <c r="D2546"/>
      <c r="E2546"/>
      <c r="F2546"/>
      <c r="G2546"/>
      <c r="H2546"/>
    </row>
    <row r="2547" spans="1:8" ht="15">
      <c r="A2547"/>
      <c r="B2547"/>
      <c r="C2547"/>
      <c r="D2547"/>
      <c r="E2547"/>
      <c r="F2547"/>
      <c r="G2547"/>
      <c r="H2547"/>
    </row>
    <row r="2548" spans="1:8" ht="15">
      <c r="A2548"/>
      <c r="B2548"/>
      <c r="C2548"/>
      <c r="D2548"/>
      <c r="E2548"/>
      <c r="F2548"/>
      <c r="G2548"/>
      <c r="H2548"/>
    </row>
    <row r="2549" spans="1:8" ht="15">
      <c r="A2549"/>
      <c r="B2549"/>
      <c r="C2549"/>
      <c r="D2549"/>
      <c r="E2549"/>
      <c r="F2549"/>
      <c r="G2549"/>
      <c r="H2549"/>
    </row>
    <row r="2550" spans="1:8" ht="15">
      <c r="A2550"/>
      <c r="B2550"/>
      <c r="C2550"/>
      <c r="D2550"/>
      <c r="E2550"/>
      <c r="F2550"/>
      <c r="G2550"/>
      <c r="H2550"/>
    </row>
    <row r="2551" spans="1:8" ht="15">
      <c r="A2551"/>
      <c r="B2551"/>
      <c r="C2551"/>
      <c r="D2551"/>
      <c r="E2551"/>
      <c r="F2551"/>
      <c r="G2551"/>
      <c r="H2551"/>
    </row>
    <row r="2552" spans="1:8" ht="15">
      <c r="A2552"/>
      <c r="B2552"/>
      <c r="C2552"/>
      <c r="D2552"/>
      <c r="E2552"/>
      <c r="F2552"/>
      <c r="G2552"/>
      <c r="H2552"/>
    </row>
    <row r="2553" spans="1:8" ht="15">
      <c r="A2553"/>
      <c r="B2553"/>
      <c r="C2553"/>
      <c r="D2553"/>
      <c r="E2553"/>
      <c r="F2553"/>
      <c r="G2553"/>
      <c r="H2553"/>
    </row>
    <row r="2554" spans="1:8" ht="15">
      <c r="A2554"/>
      <c r="B2554"/>
      <c r="C2554"/>
      <c r="D2554"/>
      <c r="E2554"/>
      <c r="F2554"/>
      <c r="G2554"/>
      <c r="H2554"/>
    </row>
    <row r="2555" spans="1:8" ht="15">
      <c r="A2555"/>
      <c r="B2555"/>
      <c r="C2555"/>
      <c r="D2555"/>
      <c r="E2555"/>
      <c r="F2555"/>
      <c r="G2555"/>
      <c r="H2555"/>
    </row>
    <row r="2556" spans="1:8" ht="15">
      <c r="A2556"/>
      <c r="B2556"/>
      <c r="C2556"/>
      <c r="D2556"/>
      <c r="E2556"/>
      <c r="F2556"/>
      <c r="G2556"/>
      <c r="H2556"/>
    </row>
    <row r="2557" spans="1:8" ht="15">
      <c r="A2557"/>
      <c r="B2557"/>
      <c r="C2557"/>
      <c r="D2557"/>
      <c r="E2557"/>
      <c r="F2557"/>
      <c r="G2557"/>
      <c r="H2557"/>
    </row>
    <row r="2558" spans="1:8" ht="15">
      <c r="A2558"/>
      <c r="B2558"/>
      <c r="C2558"/>
      <c r="D2558"/>
      <c r="E2558"/>
      <c r="F2558"/>
      <c r="G2558"/>
      <c r="H2558"/>
    </row>
    <row r="2559" spans="1:8" ht="15">
      <c r="A2559"/>
      <c r="B2559"/>
      <c r="C2559"/>
      <c r="D2559"/>
      <c r="E2559"/>
      <c r="F2559"/>
      <c r="G2559"/>
      <c r="H2559"/>
    </row>
    <row r="2560" spans="1:8" ht="15">
      <c r="A2560"/>
      <c r="B2560"/>
      <c r="C2560"/>
      <c r="D2560"/>
      <c r="E2560"/>
      <c r="F2560"/>
      <c r="G2560"/>
      <c r="H2560"/>
    </row>
    <row r="2561" spans="1:8" ht="15">
      <c r="A2561"/>
      <c r="B2561"/>
      <c r="C2561"/>
      <c r="D2561"/>
      <c r="E2561"/>
      <c r="F2561"/>
      <c r="G2561"/>
      <c r="H2561"/>
    </row>
    <row r="2562" spans="1:8" ht="15">
      <c r="A2562"/>
      <c r="B2562"/>
      <c r="C2562"/>
      <c r="D2562"/>
      <c r="E2562"/>
      <c r="F2562"/>
      <c r="G2562"/>
      <c r="H2562"/>
    </row>
    <row r="2563" spans="1:8" ht="15">
      <c r="A2563"/>
      <c r="B2563"/>
      <c r="C2563"/>
      <c r="D2563"/>
      <c r="E2563"/>
      <c r="F2563"/>
      <c r="G2563"/>
      <c r="H2563"/>
    </row>
    <row r="2564" spans="1:8" ht="15">
      <c r="A2564"/>
      <c r="B2564"/>
      <c r="C2564"/>
      <c r="D2564"/>
      <c r="E2564"/>
      <c r="F2564"/>
      <c r="G2564"/>
      <c r="H2564"/>
    </row>
    <row r="2565" spans="1:8" ht="15">
      <c r="A2565"/>
      <c r="B2565"/>
      <c r="C2565"/>
      <c r="D2565"/>
      <c r="E2565"/>
      <c r="F2565"/>
      <c r="G2565"/>
      <c r="H2565"/>
    </row>
    <row r="2566" spans="1:8" ht="15">
      <c r="A2566"/>
      <c r="B2566"/>
      <c r="C2566"/>
      <c r="D2566"/>
      <c r="E2566"/>
      <c r="F2566"/>
      <c r="G2566"/>
      <c r="H2566"/>
    </row>
    <row r="2567" spans="1:8" ht="15">
      <c r="A2567"/>
      <c r="B2567"/>
      <c r="C2567"/>
      <c r="D2567"/>
      <c r="E2567"/>
      <c r="F2567"/>
      <c r="G2567"/>
      <c r="H2567"/>
    </row>
    <row r="2568" spans="1:8" ht="15">
      <c r="A2568"/>
      <c r="B2568"/>
      <c r="C2568"/>
      <c r="D2568"/>
      <c r="E2568"/>
      <c r="F2568"/>
      <c r="G2568"/>
      <c r="H2568"/>
    </row>
    <row r="2569" spans="1:8" ht="15">
      <c r="A2569"/>
      <c r="B2569"/>
      <c r="C2569"/>
      <c r="D2569"/>
      <c r="E2569"/>
      <c r="F2569"/>
      <c r="G2569"/>
      <c r="H2569"/>
    </row>
    <row r="2570" spans="1:8" ht="15">
      <c r="A2570"/>
      <c r="B2570"/>
      <c r="C2570"/>
      <c r="D2570"/>
      <c r="E2570"/>
      <c r="F2570"/>
      <c r="G2570"/>
      <c r="H2570"/>
    </row>
    <row r="2571" spans="1:8" ht="15">
      <c r="A2571"/>
      <c r="B2571"/>
      <c r="C2571"/>
      <c r="D2571"/>
      <c r="E2571"/>
      <c r="F2571"/>
      <c r="G2571"/>
      <c r="H2571"/>
    </row>
    <row r="2572" spans="1:8" ht="15">
      <c r="A2572"/>
      <c r="B2572"/>
      <c r="C2572"/>
      <c r="D2572"/>
      <c r="E2572"/>
      <c r="F2572"/>
      <c r="G2572"/>
      <c r="H2572"/>
    </row>
    <row r="2573" spans="1:8" ht="15">
      <c r="A2573"/>
      <c r="B2573"/>
      <c r="C2573"/>
      <c r="D2573"/>
      <c r="E2573"/>
      <c r="F2573"/>
      <c r="G2573"/>
      <c r="H2573"/>
    </row>
    <row r="2574" spans="1:8" ht="15">
      <c r="A2574"/>
      <c r="B2574"/>
      <c r="C2574"/>
      <c r="D2574"/>
      <c r="E2574"/>
      <c r="F2574"/>
      <c r="G2574"/>
      <c r="H2574"/>
    </row>
    <row r="2575" spans="1:8" ht="15">
      <c r="A2575"/>
      <c r="B2575"/>
      <c r="C2575"/>
      <c r="D2575"/>
      <c r="E2575"/>
      <c r="F2575"/>
      <c r="G2575"/>
      <c r="H2575"/>
    </row>
    <row r="2576" spans="1:8" ht="15">
      <c r="A2576"/>
      <c r="B2576"/>
      <c r="C2576"/>
      <c r="D2576"/>
      <c r="E2576"/>
      <c r="F2576"/>
      <c r="G2576"/>
      <c r="H2576"/>
    </row>
    <row r="2577" spans="1:8" ht="15">
      <c r="A2577"/>
      <c r="B2577"/>
      <c r="C2577"/>
      <c r="D2577"/>
      <c r="E2577"/>
      <c r="F2577"/>
      <c r="G2577"/>
      <c r="H2577"/>
    </row>
    <row r="2578" spans="1:8" ht="15">
      <c r="A2578"/>
      <c r="B2578"/>
      <c r="C2578"/>
      <c r="D2578"/>
      <c r="E2578"/>
      <c r="F2578"/>
      <c r="G2578"/>
      <c r="H2578"/>
    </row>
    <row r="2579" spans="1:8" ht="15">
      <c r="A2579"/>
      <c r="B2579"/>
      <c r="C2579"/>
      <c r="D2579"/>
      <c r="E2579"/>
      <c r="F2579"/>
      <c r="G2579"/>
      <c r="H2579"/>
    </row>
    <row r="2580" spans="1:8" ht="15">
      <c r="A2580"/>
      <c r="B2580"/>
      <c r="C2580"/>
      <c r="D2580"/>
      <c r="E2580"/>
      <c r="F2580"/>
      <c r="G2580"/>
      <c r="H2580"/>
    </row>
    <row r="2581" spans="1:8" ht="15">
      <c r="A2581"/>
      <c r="B2581"/>
      <c r="C2581"/>
      <c r="D2581"/>
      <c r="E2581"/>
      <c r="F2581"/>
      <c r="G2581"/>
      <c r="H2581"/>
    </row>
    <row r="2582" spans="1:8" ht="15">
      <c r="A2582"/>
      <c r="B2582"/>
      <c r="C2582"/>
      <c r="D2582"/>
      <c r="E2582"/>
      <c r="F2582"/>
      <c r="G2582"/>
      <c r="H2582"/>
    </row>
    <row r="2583" spans="1:8" ht="15">
      <c r="A2583"/>
      <c r="B2583"/>
      <c r="C2583"/>
      <c r="D2583"/>
      <c r="E2583"/>
      <c r="F2583"/>
      <c r="G2583"/>
      <c r="H2583"/>
    </row>
    <row r="2584" spans="1:8" ht="15">
      <c r="A2584"/>
      <c r="B2584"/>
      <c r="C2584"/>
      <c r="D2584"/>
      <c r="E2584"/>
      <c r="F2584"/>
      <c r="G2584"/>
      <c r="H2584"/>
    </row>
    <row r="2585" spans="1:8" ht="15">
      <c r="A2585"/>
      <c r="B2585"/>
      <c r="C2585"/>
      <c r="D2585"/>
      <c r="E2585"/>
      <c r="F2585"/>
      <c r="G2585"/>
      <c r="H2585"/>
    </row>
    <row r="2586" spans="1:8" ht="15">
      <c r="A2586"/>
      <c r="B2586"/>
      <c r="C2586"/>
      <c r="D2586"/>
      <c r="E2586"/>
      <c r="F2586"/>
      <c r="G2586"/>
      <c r="H2586"/>
    </row>
    <row r="2587" spans="1:8" ht="15">
      <c r="A2587"/>
      <c r="B2587"/>
      <c r="C2587"/>
      <c r="D2587"/>
      <c r="E2587"/>
      <c r="F2587"/>
      <c r="G2587"/>
      <c r="H2587"/>
    </row>
    <row r="2588" spans="1:8" ht="15">
      <c r="A2588"/>
      <c r="B2588"/>
      <c r="C2588"/>
      <c r="D2588"/>
      <c r="E2588"/>
      <c r="F2588"/>
      <c r="G2588"/>
      <c r="H2588"/>
    </row>
    <row r="2589" spans="1:8" ht="15">
      <c r="A2589"/>
      <c r="B2589"/>
      <c r="C2589"/>
      <c r="D2589"/>
      <c r="E2589"/>
      <c r="F2589"/>
      <c r="G2589"/>
      <c r="H2589"/>
    </row>
    <row r="2590" spans="1:8" ht="15">
      <c r="A2590"/>
      <c r="B2590"/>
      <c r="C2590"/>
      <c r="D2590"/>
      <c r="E2590"/>
      <c r="F2590"/>
      <c r="G2590"/>
      <c r="H2590"/>
    </row>
    <row r="2591" spans="1:8" ht="15">
      <c r="A2591"/>
      <c r="B2591"/>
      <c r="C2591"/>
      <c r="D2591"/>
      <c r="E2591"/>
      <c r="F2591"/>
      <c r="G2591"/>
      <c r="H2591"/>
    </row>
    <row r="2592" spans="1:8" ht="15">
      <c r="A2592"/>
      <c r="B2592"/>
      <c r="C2592"/>
      <c r="D2592"/>
      <c r="E2592"/>
      <c r="F2592"/>
      <c r="G2592"/>
      <c r="H2592"/>
    </row>
    <row r="2593" spans="1:8" ht="15">
      <c r="A2593"/>
      <c r="B2593"/>
      <c r="C2593"/>
      <c r="D2593"/>
      <c r="E2593"/>
      <c r="F2593"/>
      <c r="G2593"/>
      <c r="H2593"/>
    </row>
    <row r="2594" spans="1:8" ht="15">
      <c r="A2594"/>
      <c r="B2594"/>
      <c r="C2594"/>
      <c r="D2594"/>
      <c r="E2594"/>
      <c r="F2594"/>
      <c r="G2594"/>
      <c r="H2594"/>
    </row>
    <row r="2595" spans="1:8" ht="15">
      <c r="A2595"/>
      <c r="B2595"/>
      <c r="C2595"/>
      <c r="D2595"/>
      <c r="E2595"/>
      <c r="F2595"/>
      <c r="G2595"/>
      <c r="H2595"/>
    </row>
    <row r="2596" spans="1:8" ht="15">
      <c r="A2596"/>
      <c r="B2596"/>
      <c r="C2596"/>
      <c r="D2596"/>
      <c r="E2596"/>
      <c r="F2596"/>
      <c r="G2596"/>
      <c r="H2596"/>
    </row>
    <row r="2597" spans="1:8" ht="15">
      <c r="A2597"/>
      <c r="B2597"/>
      <c r="C2597"/>
      <c r="D2597"/>
      <c r="E2597"/>
      <c r="F2597"/>
      <c r="G2597"/>
      <c r="H2597"/>
    </row>
    <row r="2598" spans="1:8" ht="15">
      <c r="A2598"/>
      <c r="B2598"/>
      <c r="C2598"/>
      <c r="D2598"/>
      <c r="E2598"/>
      <c r="F2598"/>
      <c r="G2598"/>
      <c r="H2598"/>
    </row>
    <row r="2599" spans="1:8" ht="15">
      <c r="A2599"/>
      <c r="B2599"/>
      <c r="C2599"/>
      <c r="D2599"/>
      <c r="E2599"/>
      <c r="F2599"/>
      <c r="G2599"/>
      <c r="H2599"/>
    </row>
    <row r="2600" spans="1:8" ht="15">
      <c r="A2600"/>
      <c r="B2600"/>
      <c r="C2600"/>
      <c r="D2600"/>
      <c r="E2600"/>
      <c r="F2600"/>
      <c r="G2600"/>
      <c r="H2600"/>
    </row>
    <row r="2601" spans="1:8" ht="15">
      <c r="A2601"/>
      <c r="B2601"/>
      <c r="C2601"/>
      <c r="D2601"/>
      <c r="E2601"/>
      <c r="F2601"/>
      <c r="G2601"/>
      <c r="H2601"/>
    </row>
    <row r="2602" spans="1:8" ht="15">
      <c r="A2602"/>
      <c r="B2602"/>
      <c r="C2602"/>
      <c r="D2602"/>
      <c r="E2602"/>
      <c r="F2602"/>
      <c r="G2602"/>
      <c r="H2602"/>
    </row>
    <row r="2603" spans="1:8" ht="15">
      <c r="A2603"/>
      <c r="B2603"/>
      <c r="C2603"/>
      <c r="D2603"/>
      <c r="E2603"/>
      <c r="F2603"/>
      <c r="G2603"/>
      <c r="H2603"/>
    </row>
    <row r="2604" spans="1:8" ht="15">
      <c r="A2604"/>
      <c r="B2604"/>
      <c r="C2604"/>
      <c r="D2604"/>
      <c r="E2604"/>
      <c r="F2604"/>
      <c r="G2604"/>
      <c r="H2604"/>
    </row>
    <row r="2605" spans="1:8" ht="15">
      <c r="A2605"/>
      <c r="B2605"/>
      <c r="C2605"/>
      <c r="D2605"/>
      <c r="E2605"/>
      <c r="F2605"/>
      <c r="G2605"/>
      <c r="H2605"/>
    </row>
    <row r="2606" spans="1:8" ht="15">
      <c r="A2606"/>
      <c r="B2606"/>
      <c r="C2606"/>
      <c r="D2606"/>
      <c r="E2606"/>
      <c r="F2606"/>
      <c r="G2606"/>
      <c r="H2606"/>
    </row>
    <row r="2607" spans="1:8" ht="15">
      <c r="A2607"/>
      <c r="B2607"/>
      <c r="C2607"/>
      <c r="D2607"/>
      <c r="E2607"/>
      <c r="F2607"/>
      <c r="G2607"/>
      <c r="H2607"/>
    </row>
    <row r="2608" spans="1:8" ht="15">
      <c r="A2608"/>
      <c r="B2608"/>
      <c r="C2608"/>
      <c r="D2608"/>
      <c r="E2608"/>
      <c r="F2608"/>
      <c r="G2608"/>
      <c r="H2608"/>
    </row>
    <row r="2609" spans="1:8" ht="15">
      <c r="A2609"/>
      <c r="B2609"/>
      <c r="C2609"/>
      <c r="D2609"/>
      <c r="E2609"/>
      <c r="F2609"/>
      <c r="G2609"/>
      <c r="H2609"/>
    </row>
    <row r="2610" spans="1:8" ht="15">
      <c r="A2610"/>
      <c r="B2610"/>
      <c r="C2610"/>
      <c r="D2610"/>
      <c r="E2610"/>
      <c r="F2610"/>
      <c r="G2610"/>
      <c r="H2610"/>
    </row>
    <row r="2611" spans="1:8" ht="15">
      <c r="A2611"/>
      <c r="B2611"/>
      <c r="C2611"/>
      <c r="D2611"/>
      <c r="E2611"/>
      <c r="F2611"/>
      <c r="G2611"/>
      <c r="H2611"/>
    </row>
    <row r="2612" spans="1:8" ht="15">
      <c r="A2612"/>
      <c r="B2612"/>
      <c r="C2612"/>
      <c r="D2612"/>
      <c r="E2612"/>
      <c r="F2612"/>
      <c r="G2612"/>
      <c r="H2612"/>
    </row>
    <row r="2613" spans="1:8" ht="15">
      <c r="A2613"/>
      <c r="B2613"/>
      <c r="C2613"/>
      <c r="D2613"/>
      <c r="E2613"/>
      <c r="F2613"/>
      <c r="G2613"/>
      <c r="H2613"/>
    </row>
    <row r="2614" spans="1:8" ht="15">
      <c r="A2614"/>
      <c r="B2614"/>
      <c r="C2614"/>
      <c r="D2614"/>
      <c r="E2614"/>
      <c r="F2614"/>
      <c r="G2614"/>
      <c r="H2614"/>
    </row>
    <row r="2615" spans="1:8" ht="15">
      <c r="A2615"/>
      <c r="B2615"/>
      <c r="C2615"/>
      <c r="D2615"/>
      <c r="E2615"/>
      <c r="F2615"/>
      <c r="G2615"/>
      <c r="H2615"/>
    </row>
    <row r="2616" spans="1:8" ht="15">
      <c r="A2616"/>
      <c r="B2616"/>
      <c r="C2616"/>
      <c r="D2616"/>
      <c r="E2616"/>
      <c r="F2616"/>
      <c r="G2616"/>
      <c r="H2616"/>
    </row>
    <row r="2617" spans="1:8" ht="15">
      <c r="A2617"/>
      <c r="B2617"/>
      <c r="C2617"/>
      <c r="D2617"/>
      <c r="E2617"/>
      <c r="F2617"/>
      <c r="G2617"/>
      <c r="H2617"/>
    </row>
    <row r="2618" spans="1:8" ht="15">
      <c r="A2618"/>
      <c r="B2618"/>
      <c r="C2618"/>
      <c r="D2618"/>
      <c r="E2618"/>
      <c r="F2618"/>
      <c r="G2618"/>
      <c r="H2618"/>
    </row>
    <row r="2619" spans="1:8" ht="15">
      <c r="A2619"/>
      <c r="B2619"/>
      <c r="C2619"/>
      <c r="D2619"/>
      <c r="E2619"/>
      <c r="F2619"/>
      <c r="G2619"/>
      <c r="H2619"/>
    </row>
    <row r="2620" spans="1:8" ht="15">
      <c r="A2620"/>
      <c r="B2620"/>
      <c r="C2620"/>
      <c r="D2620"/>
      <c r="E2620"/>
      <c r="F2620"/>
      <c r="G2620"/>
      <c r="H2620"/>
    </row>
    <row r="2621" spans="1:8" ht="15">
      <c r="A2621"/>
      <c r="B2621"/>
      <c r="C2621"/>
      <c r="D2621"/>
      <c r="E2621"/>
      <c r="F2621"/>
      <c r="G2621"/>
      <c r="H2621"/>
    </row>
    <row r="2622" spans="1:8" ht="15">
      <c r="A2622"/>
      <c r="B2622"/>
      <c r="C2622"/>
      <c r="D2622"/>
      <c r="E2622"/>
      <c r="F2622"/>
      <c r="G2622"/>
      <c r="H2622"/>
    </row>
    <row r="2623" spans="1:8" ht="15">
      <c r="A2623"/>
      <c r="B2623"/>
      <c r="C2623"/>
      <c r="D2623"/>
      <c r="E2623"/>
      <c r="F2623"/>
      <c r="G2623"/>
      <c r="H2623"/>
    </row>
    <row r="2624" spans="1:8" ht="15">
      <c r="A2624"/>
      <c r="B2624"/>
      <c r="C2624"/>
      <c r="D2624"/>
      <c r="E2624"/>
      <c r="F2624"/>
      <c r="G2624"/>
      <c r="H2624"/>
    </row>
    <row r="2625" spans="1:8" ht="15">
      <c r="A2625"/>
      <c r="B2625"/>
      <c r="C2625"/>
      <c r="D2625"/>
      <c r="E2625"/>
      <c r="F2625"/>
      <c r="G2625"/>
      <c r="H2625"/>
    </row>
    <row r="2626" spans="1:8" ht="15">
      <c r="A2626"/>
      <c r="B2626"/>
      <c r="C2626"/>
      <c r="D2626"/>
      <c r="E2626"/>
      <c r="F2626"/>
      <c r="G2626"/>
      <c r="H2626"/>
    </row>
    <row r="2627" spans="1:8" ht="15">
      <c r="A2627"/>
      <c r="B2627"/>
      <c r="C2627"/>
      <c r="D2627"/>
      <c r="E2627"/>
      <c r="F2627"/>
      <c r="G2627"/>
      <c r="H2627"/>
    </row>
    <row r="2628" spans="1:8" ht="15">
      <c r="A2628"/>
      <c r="B2628"/>
      <c r="C2628"/>
      <c r="D2628"/>
      <c r="E2628"/>
      <c r="F2628"/>
      <c r="G2628"/>
      <c r="H2628"/>
    </row>
    <row r="2629" spans="1:8" ht="15">
      <c r="A2629"/>
      <c r="B2629"/>
      <c r="C2629"/>
      <c r="D2629"/>
      <c r="E2629"/>
      <c r="F2629"/>
      <c r="G2629"/>
      <c r="H2629"/>
    </row>
    <row r="2630" spans="1:8" ht="15">
      <c r="A2630"/>
      <c r="B2630"/>
      <c r="C2630"/>
      <c r="D2630"/>
      <c r="E2630"/>
      <c r="F2630"/>
      <c r="G2630"/>
      <c r="H2630"/>
    </row>
    <row r="2631" spans="1:8" ht="15">
      <c r="A2631"/>
      <c r="B2631"/>
      <c r="C2631"/>
      <c r="D2631"/>
      <c r="E2631"/>
      <c r="F2631"/>
      <c r="G2631"/>
      <c r="H2631"/>
    </row>
    <row r="2632" spans="1:8" ht="15">
      <c r="A2632"/>
      <c r="B2632"/>
      <c r="C2632"/>
      <c r="D2632"/>
      <c r="E2632"/>
      <c r="F2632"/>
      <c r="G2632"/>
      <c r="H2632"/>
    </row>
    <row r="2633" spans="1:8" ht="15">
      <c r="A2633"/>
      <c r="B2633"/>
      <c r="C2633"/>
      <c r="D2633"/>
      <c r="E2633"/>
      <c r="F2633"/>
      <c r="G2633"/>
      <c r="H2633"/>
    </row>
    <row r="2634" spans="1:8" ht="15">
      <c r="A2634"/>
      <c r="B2634"/>
      <c r="C2634"/>
      <c r="D2634"/>
      <c r="E2634"/>
      <c r="F2634"/>
      <c r="G2634"/>
      <c r="H2634"/>
    </row>
    <row r="2635" spans="1:8" ht="15">
      <c r="A2635"/>
      <c r="B2635"/>
      <c r="C2635"/>
      <c r="D2635"/>
      <c r="E2635"/>
      <c r="F2635"/>
      <c r="G2635"/>
      <c r="H2635"/>
    </row>
    <row r="2636" spans="1:8" ht="15">
      <c r="A2636"/>
      <c r="B2636"/>
      <c r="C2636"/>
      <c r="D2636"/>
      <c r="E2636"/>
      <c r="F2636"/>
      <c r="G2636"/>
      <c r="H2636"/>
    </row>
    <row r="2637" spans="1:8" ht="15">
      <c r="A2637"/>
      <c r="B2637"/>
      <c r="C2637"/>
      <c r="D2637"/>
      <c r="E2637"/>
      <c r="F2637"/>
      <c r="G2637"/>
      <c r="H2637"/>
    </row>
    <row r="2638" spans="1:8" ht="15">
      <c r="A2638"/>
      <c r="B2638"/>
      <c r="C2638"/>
      <c r="D2638"/>
      <c r="E2638"/>
      <c r="F2638"/>
      <c r="G2638"/>
      <c r="H2638"/>
    </row>
    <row r="2639" spans="1:8" ht="15">
      <c r="A2639"/>
      <c r="B2639"/>
      <c r="C2639"/>
      <c r="D2639"/>
      <c r="E2639"/>
      <c r="F2639"/>
      <c r="G2639"/>
      <c r="H2639"/>
    </row>
    <row r="2640" spans="1:8" ht="15">
      <c r="A2640"/>
      <c r="B2640"/>
      <c r="C2640"/>
      <c r="D2640"/>
      <c r="E2640"/>
      <c r="F2640"/>
      <c r="G2640"/>
      <c r="H2640"/>
    </row>
    <row r="2641" spans="1:8" ht="15">
      <c r="A2641"/>
      <c r="B2641"/>
      <c r="C2641"/>
      <c r="D2641"/>
      <c r="E2641"/>
      <c r="F2641"/>
      <c r="G2641"/>
      <c r="H2641"/>
    </row>
    <row r="2642" spans="1:8" ht="15">
      <c r="A2642"/>
      <c r="B2642"/>
      <c r="C2642"/>
      <c r="D2642"/>
      <c r="E2642"/>
      <c r="F2642"/>
      <c r="G2642"/>
      <c r="H2642"/>
    </row>
    <row r="2643" spans="1:8" ht="15">
      <c r="A2643"/>
      <c r="B2643"/>
      <c r="C2643"/>
      <c r="D2643"/>
      <c r="E2643"/>
      <c r="F2643"/>
      <c r="G2643"/>
      <c r="H2643"/>
    </row>
    <row r="2644" spans="1:8" ht="15">
      <c r="A2644"/>
      <c r="B2644"/>
      <c r="C2644"/>
      <c r="D2644"/>
      <c r="E2644"/>
      <c r="F2644"/>
      <c r="G2644"/>
      <c r="H2644"/>
    </row>
    <row r="2645" spans="1:8" ht="15">
      <c r="A2645"/>
      <c r="B2645"/>
      <c r="C2645"/>
      <c r="D2645"/>
      <c r="E2645"/>
      <c r="F2645"/>
      <c r="G2645"/>
      <c r="H2645"/>
    </row>
    <row r="2646" spans="1:8" ht="15">
      <c r="A2646"/>
      <c r="B2646"/>
      <c r="C2646"/>
      <c r="D2646"/>
      <c r="E2646"/>
      <c r="F2646"/>
      <c r="G2646"/>
      <c r="H2646"/>
    </row>
    <row r="2647" spans="1:8" ht="15">
      <c r="A2647"/>
      <c r="B2647"/>
      <c r="C2647"/>
      <c r="D2647"/>
      <c r="E2647"/>
      <c r="F2647"/>
      <c r="G2647"/>
      <c r="H2647"/>
    </row>
    <row r="2648" spans="1:8" ht="15">
      <c r="A2648"/>
      <c r="B2648"/>
      <c r="C2648"/>
      <c r="D2648"/>
      <c r="E2648"/>
      <c r="F2648"/>
      <c r="G2648"/>
      <c r="H2648"/>
    </row>
    <row r="2649" spans="1:8" ht="15">
      <c r="A2649"/>
      <c r="B2649"/>
      <c r="C2649"/>
      <c r="D2649"/>
      <c r="E2649"/>
      <c r="F2649"/>
      <c r="G2649"/>
      <c r="H2649"/>
    </row>
    <row r="2650" spans="1:8" ht="15">
      <c r="A2650"/>
      <c r="B2650"/>
      <c r="C2650"/>
      <c r="D2650"/>
      <c r="E2650"/>
      <c r="F2650"/>
      <c r="G2650"/>
      <c r="H2650"/>
    </row>
    <row r="2651" spans="1:8" ht="15">
      <c r="A2651"/>
      <c r="B2651"/>
      <c r="C2651"/>
      <c r="D2651"/>
      <c r="E2651"/>
      <c r="F2651"/>
      <c r="G2651"/>
      <c r="H2651"/>
    </row>
    <row r="2652" spans="1:8" ht="15">
      <c r="A2652"/>
      <c r="B2652"/>
      <c r="C2652"/>
      <c r="D2652"/>
      <c r="E2652"/>
      <c r="F2652"/>
      <c r="G2652"/>
      <c r="H2652"/>
    </row>
    <row r="2653" spans="1:8" ht="15">
      <c r="A2653"/>
      <c r="B2653"/>
      <c r="C2653"/>
      <c r="D2653"/>
      <c r="E2653"/>
      <c r="F2653"/>
      <c r="G2653"/>
      <c r="H2653"/>
    </row>
    <row r="2654" spans="1:8" ht="15">
      <c r="A2654"/>
      <c r="B2654"/>
      <c r="C2654"/>
      <c r="D2654"/>
      <c r="E2654"/>
      <c r="F2654"/>
      <c r="G2654"/>
      <c r="H2654"/>
    </row>
    <row r="2655" spans="1:8" ht="15">
      <c r="A2655"/>
      <c r="B2655"/>
      <c r="C2655"/>
      <c r="D2655"/>
      <c r="E2655"/>
      <c r="F2655"/>
      <c r="G2655"/>
      <c r="H2655"/>
    </row>
    <row r="2656" spans="1:8" ht="15">
      <c r="A2656"/>
      <c r="B2656"/>
      <c r="C2656"/>
      <c r="D2656"/>
      <c r="E2656"/>
      <c r="F2656"/>
      <c r="G2656"/>
      <c r="H2656"/>
    </row>
    <row r="2657" spans="1:8" ht="15">
      <c r="A2657"/>
      <c r="B2657"/>
      <c r="C2657"/>
      <c r="D2657"/>
      <c r="E2657"/>
      <c r="F2657"/>
      <c r="G2657"/>
      <c r="H2657"/>
    </row>
    <row r="2658" spans="1:8" ht="15">
      <c r="A2658"/>
      <c r="B2658"/>
      <c r="C2658"/>
      <c r="D2658"/>
      <c r="E2658"/>
      <c r="F2658"/>
      <c r="G2658"/>
      <c r="H2658"/>
    </row>
    <row r="2659" spans="1:8" ht="15">
      <c r="A2659"/>
      <c r="B2659"/>
      <c r="C2659"/>
      <c r="D2659"/>
      <c r="E2659"/>
      <c r="F2659"/>
      <c r="G2659"/>
      <c r="H2659"/>
    </row>
    <row r="2660" spans="1:8" ht="15">
      <c r="A2660"/>
      <c r="B2660"/>
      <c r="C2660"/>
      <c r="D2660"/>
      <c r="E2660"/>
      <c r="F2660"/>
      <c r="G2660"/>
      <c r="H2660"/>
    </row>
    <row r="2661" spans="1:8" ht="15">
      <c r="A2661"/>
      <c r="B2661"/>
      <c r="C2661"/>
      <c r="D2661"/>
      <c r="E2661"/>
      <c r="F2661"/>
      <c r="G2661"/>
      <c r="H2661"/>
    </row>
    <row r="2662" spans="1:8" ht="15">
      <c r="A2662"/>
      <c r="B2662"/>
      <c r="C2662"/>
      <c r="D2662"/>
      <c r="E2662"/>
      <c r="F2662"/>
      <c r="G2662"/>
      <c r="H2662"/>
    </row>
    <row r="2663" spans="1:8" ht="15">
      <c r="A2663"/>
      <c r="B2663"/>
      <c r="C2663"/>
      <c r="D2663"/>
      <c r="E2663"/>
      <c r="F2663"/>
      <c r="G2663"/>
      <c r="H2663"/>
    </row>
    <row r="2664" spans="1:8" ht="15">
      <c r="A2664"/>
      <c r="B2664"/>
      <c r="C2664"/>
      <c r="D2664"/>
      <c r="E2664"/>
      <c r="F2664"/>
      <c r="G2664"/>
      <c r="H2664"/>
    </row>
    <row r="2665" spans="1:8" ht="15">
      <c r="A2665"/>
      <c r="B2665"/>
      <c r="C2665"/>
      <c r="D2665"/>
      <c r="E2665"/>
      <c r="F2665"/>
      <c r="G2665"/>
      <c r="H2665"/>
    </row>
    <row r="2666" spans="1:8" ht="15">
      <c r="A2666"/>
      <c r="B2666"/>
      <c r="C2666"/>
      <c r="D2666"/>
      <c r="E2666"/>
      <c r="F2666"/>
      <c r="G2666"/>
      <c r="H2666"/>
    </row>
    <row r="2667" spans="1:8" ht="15">
      <c r="A2667"/>
      <c r="B2667"/>
      <c r="C2667"/>
      <c r="D2667"/>
      <c r="E2667"/>
      <c r="F2667"/>
      <c r="G2667"/>
      <c r="H2667"/>
    </row>
    <row r="2668" spans="1:8" ht="15">
      <c r="A2668"/>
      <c r="B2668"/>
      <c r="C2668"/>
      <c r="D2668"/>
      <c r="E2668"/>
      <c r="F2668"/>
      <c r="G2668"/>
      <c r="H2668"/>
    </row>
    <row r="2669" spans="1:8" ht="15">
      <c r="A2669"/>
      <c r="B2669"/>
      <c r="C2669"/>
      <c r="D2669"/>
      <c r="E2669"/>
      <c r="F2669"/>
      <c r="G2669"/>
      <c r="H2669"/>
    </row>
    <row r="2670" spans="1:8" ht="15">
      <c r="A2670"/>
      <c r="B2670"/>
      <c r="C2670"/>
      <c r="D2670"/>
      <c r="E2670"/>
      <c r="F2670"/>
      <c r="G2670"/>
      <c r="H2670"/>
    </row>
    <row r="2671" spans="1:8" ht="15">
      <c r="A2671"/>
      <c r="B2671"/>
      <c r="C2671"/>
      <c r="D2671"/>
      <c r="E2671"/>
      <c r="F2671"/>
      <c r="G2671"/>
      <c r="H2671"/>
    </row>
    <row r="2672" spans="1:8" ht="15">
      <c r="A2672"/>
      <c r="B2672"/>
      <c r="C2672"/>
      <c r="D2672"/>
      <c r="E2672"/>
      <c r="F2672"/>
      <c r="G2672"/>
      <c r="H2672"/>
    </row>
    <row r="2673" spans="1:8" ht="15">
      <c r="A2673"/>
      <c r="B2673"/>
      <c r="C2673"/>
      <c r="D2673"/>
      <c r="E2673"/>
      <c r="F2673"/>
      <c r="G2673"/>
      <c r="H2673"/>
    </row>
    <row r="2674" spans="1:8" ht="15">
      <c r="A2674"/>
      <c r="B2674"/>
      <c r="C2674"/>
      <c r="D2674"/>
      <c r="E2674"/>
      <c r="F2674"/>
      <c r="G2674"/>
      <c r="H2674"/>
    </row>
    <row r="2675" spans="1:8" ht="15">
      <c r="A2675"/>
      <c r="B2675"/>
      <c r="C2675"/>
      <c r="D2675"/>
      <c r="E2675"/>
      <c r="F2675"/>
      <c r="G2675"/>
      <c r="H2675"/>
    </row>
    <row r="2676" spans="1:8" ht="15">
      <c r="A2676"/>
      <c r="B2676"/>
      <c r="C2676"/>
      <c r="D2676"/>
      <c r="E2676"/>
      <c r="F2676"/>
      <c r="G2676"/>
      <c r="H2676"/>
    </row>
    <row r="2677" spans="1:8" ht="15">
      <c r="A2677"/>
      <c r="B2677"/>
      <c r="C2677"/>
      <c r="D2677"/>
      <c r="E2677"/>
      <c r="F2677"/>
      <c r="G2677"/>
      <c r="H2677"/>
    </row>
    <row r="2678" spans="1:8" ht="15">
      <c r="A2678"/>
      <c r="B2678"/>
      <c r="C2678"/>
      <c r="D2678"/>
      <c r="E2678"/>
      <c r="F2678"/>
      <c r="G2678"/>
      <c r="H2678"/>
    </row>
    <row r="2679" spans="1:8" ht="15">
      <c r="A2679"/>
      <c r="B2679"/>
      <c r="C2679"/>
      <c r="D2679"/>
      <c r="E2679"/>
      <c r="F2679"/>
      <c r="G2679"/>
      <c r="H2679"/>
    </row>
    <row r="2680" spans="1:8" ht="15">
      <c r="A2680"/>
      <c r="B2680"/>
      <c r="C2680"/>
      <c r="D2680"/>
      <c r="E2680"/>
      <c r="F2680"/>
      <c r="G2680"/>
      <c r="H2680"/>
    </row>
    <row r="2681" spans="1:8" ht="15">
      <c r="A2681"/>
      <c r="B2681"/>
      <c r="C2681"/>
      <c r="D2681"/>
      <c r="E2681"/>
      <c r="F2681"/>
      <c r="G2681"/>
      <c r="H2681"/>
    </row>
    <row r="2682" spans="1:8" ht="15">
      <c r="A2682"/>
      <c r="B2682"/>
      <c r="C2682"/>
      <c r="D2682"/>
      <c r="E2682"/>
      <c r="F2682"/>
      <c r="G2682"/>
      <c r="H2682"/>
    </row>
    <row r="2683" spans="1:8" ht="15">
      <c r="A2683"/>
      <c r="B2683"/>
      <c r="C2683"/>
      <c r="D2683"/>
      <c r="E2683"/>
      <c r="F2683"/>
      <c r="G2683"/>
      <c r="H2683"/>
    </row>
    <row r="2684" spans="1:8" ht="15">
      <c r="A2684"/>
      <c r="B2684"/>
      <c r="C2684"/>
      <c r="D2684"/>
      <c r="E2684"/>
      <c r="F2684"/>
      <c r="G2684"/>
      <c r="H2684"/>
    </row>
    <row r="2685" spans="1:8" ht="15">
      <c r="A2685"/>
      <c r="B2685"/>
      <c r="C2685"/>
      <c r="D2685"/>
      <c r="E2685"/>
      <c r="F2685"/>
      <c r="G2685"/>
      <c r="H2685"/>
    </row>
    <row r="2686" spans="1:8" ht="15">
      <c r="A2686"/>
      <c r="B2686"/>
      <c r="C2686"/>
      <c r="D2686"/>
      <c r="E2686"/>
      <c r="F2686"/>
      <c r="G2686"/>
      <c r="H2686"/>
    </row>
    <row r="2687" spans="1:8" ht="15">
      <c r="A2687"/>
      <c r="B2687"/>
      <c r="C2687"/>
      <c r="D2687"/>
      <c r="E2687"/>
      <c r="F2687"/>
      <c r="G2687"/>
      <c r="H2687"/>
    </row>
    <row r="2688" spans="1:8" ht="15">
      <c r="A2688"/>
      <c r="B2688"/>
      <c r="C2688"/>
      <c r="D2688"/>
      <c r="E2688"/>
      <c r="F2688"/>
      <c r="G2688"/>
      <c r="H2688"/>
    </row>
    <row r="2689" spans="1:8" ht="15">
      <c r="A2689"/>
      <c r="B2689"/>
      <c r="C2689"/>
      <c r="D2689"/>
      <c r="E2689"/>
      <c r="F2689"/>
      <c r="G2689"/>
      <c r="H2689"/>
    </row>
    <row r="2690" spans="1:8" ht="15">
      <c r="A2690"/>
      <c r="B2690"/>
      <c r="C2690"/>
      <c r="D2690"/>
      <c r="E2690"/>
      <c r="F2690"/>
      <c r="G2690"/>
      <c r="H2690"/>
    </row>
    <row r="2691" spans="1:8" ht="15">
      <c r="A2691"/>
      <c r="B2691"/>
      <c r="C2691"/>
      <c r="D2691"/>
      <c r="E2691"/>
      <c r="F2691"/>
      <c r="G2691"/>
      <c r="H2691"/>
    </row>
    <row r="2692" spans="1:8" ht="15">
      <c r="A2692"/>
      <c r="B2692"/>
      <c r="C2692"/>
      <c r="D2692"/>
      <c r="E2692"/>
      <c r="F2692"/>
      <c r="G2692"/>
      <c r="H2692"/>
    </row>
    <row r="2693" spans="1:8" ht="15">
      <c r="A2693"/>
      <c r="B2693"/>
      <c r="C2693"/>
      <c r="D2693"/>
      <c r="E2693"/>
      <c r="F2693"/>
      <c r="G2693"/>
      <c r="H2693"/>
    </row>
    <row r="2694" spans="1:8" ht="15">
      <c r="A2694"/>
      <c r="B2694"/>
      <c r="C2694"/>
      <c r="D2694"/>
      <c r="E2694"/>
      <c r="F2694"/>
      <c r="G2694"/>
      <c r="H2694"/>
    </row>
    <row r="2695" spans="1:8" ht="15">
      <c r="A2695"/>
      <c r="B2695"/>
      <c r="C2695"/>
      <c r="D2695"/>
      <c r="E2695"/>
      <c r="F2695"/>
      <c r="G2695"/>
      <c r="H2695"/>
    </row>
    <row r="2696" spans="1:8" ht="15">
      <c r="A2696"/>
      <c r="B2696"/>
      <c r="C2696"/>
      <c r="D2696"/>
      <c r="E2696"/>
      <c r="F2696"/>
      <c r="G2696"/>
      <c r="H2696"/>
    </row>
    <row r="2697" spans="1:8" ht="15">
      <c r="A2697"/>
      <c r="B2697"/>
      <c r="C2697"/>
      <c r="D2697"/>
      <c r="E2697"/>
      <c r="F2697"/>
      <c r="G2697"/>
      <c r="H2697"/>
    </row>
    <row r="2698" spans="1:8" ht="15">
      <c r="A2698"/>
      <c r="B2698"/>
      <c r="C2698"/>
      <c r="D2698"/>
      <c r="E2698"/>
      <c r="F2698"/>
      <c r="G2698"/>
      <c r="H2698"/>
    </row>
    <row r="2699" spans="1:8" ht="15">
      <c r="A2699"/>
      <c r="B2699"/>
      <c r="C2699"/>
      <c r="D2699"/>
      <c r="E2699"/>
      <c r="F2699"/>
      <c r="G2699"/>
      <c r="H2699"/>
    </row>
    <row r="2700" spans="1:8" ht="15">
      <c r="A2700"/>
      <c r="B2700"/>
      <c r="C2700"/>
      <c r="D2700"/>
      <c r="E2700"/>
      <c r="F2700"/>
      <c r="G2700"/>
      <c r="H2700"/>
    </row>
    <row r="2701" spans="1:8" ht="15">
      <c r="A2701"/>
      <c r="B2701"/>
      <c r="C2701"/>
      <c r="D2701"/>
      <c r="E2701"/>
      <c r="F2701"/>
      <c r="G2701"/>
      <c r="H2701"/>
    </row>
    <row r="2702" spans="1:8" ht="15">
      <c r="A2702"/>
      <c r="B2702"/>
      <c r="C2702"/>
      <c r="D2702"/>
      <c r="E2702"/>
      <c r="F2702"/>
      <c r="G2702"/>
      <c r="H2702"/>
    </row>
    <row r="2703" spans="1:8" ht="15">
      <c r="A2703"/>
      <c r="B2703"/>
      <c r="C2703"/>
      <c r="D2703"/>
      <c r="E2703"/>
      <c r="F2703"/>
      <c r="G2703"/>
      <c r="H2703"/>
    </row>
    <row r="2704" spans="1:8" ht="15">
      <c r="A2704"/>
      <c r="B2704"/>
      <c r="C2704"/>
      <c r="D2704"/>
      <c r="E2704"/>
      <c r="F2704"/>
      <c r="G2704"/>
      <c r="H2704"/>
    </row>
    <row r="2705" spans="1:8" ht="15">
      <c r="A2705"/>
      <c r="B2705"/>
      <c r="C2705"/>
      <c r="D2705"/>
      <c r="E2705"/>
      <c r="F2705"/>
      <c r="G2705"/>
      <c r="H2705"/>
    </row>
    <row r="2706" spans="1:8" ht="15">
      <c r="A2706"/>
      <c r="B2706"/>
      <c r="C2706"/>
      <c r="D2706"/>
      <c r="E2706"/>
      <c r="F2706"/>
      <c r="G2706"/>
      <c r="H2706"/>
    </row>
    <row r="2707" spans="1:8" ht="15">
      <c r="A2707"/>
      <c r="B2707"/>
      <c r="C2707"/>
      <c r="D2707"/>
      <c r="E2707"/>
      <c r="F2707"/>
      <c r="G2707"/>
      <c r="H2707"/>
    </row>
    <row r="2708" spans="1:8" ht="15">
      <c r="A2708"/>
      <c r="B2708"/>
      <c r="C2708"/>
      <c r="D2708"/>
      <c r="E2708"/>
      <c r="F2708"/>
      <c r="G2708"/>
      <c r="H2708"/>
    </row>
    <row r="2709" spans="1:8" ht="15">
      <c r="A2709"/>
      <c r="B2709"/>
      <c r="C2709"/>
      <c r="D2709"/>
      <c r="E2709"/>
      <c r="F2709"/>
      <c r="G2709"/>
      <c r="H2709"/>
    </row>
    <row r="2710" spans="1:8" ht="15">
      <c r="A2710"/>
      <c r="B2710"/>
      <c r="C2710"/>
      <c r="D2710"/>
      <c r="E2710"/>
      <c r="F2710"/>
      <c r="G2710"/>
      <c r="H2710"/>
    </row>
    <row r="2711" spans="1:8" ht="15">
      <c r="A2711"/>
      <c r="B2711"/>
      <c r="C2711"/>
      <c r="D2711"/>
      <c r="E2711"/>
      <c r="F2711"/>
      <c r="G2711"/>
      <c r="H2711"/>
    </row>
    <row r="2712" spans="1:8" ht="15">
      <c r="A2712"/>
      <c r="B2712"/>
      <c r="C2712"/>
      <c r="D2712"/>
      <c r="E2712"/>
      <c r="F2712"/>
      <c r="G2712"/>
      <c r="H2712"/>
    </row>
    <row r="2713" spans="1:8" ht="15">
      <c r="A2713"/>
      <c r="B2713"/>
      <c r="C2713"/>
      <c r="D2713"/>
      <c r="E2713"/>
      <c r="F2713"/>
      <c r="G2713"/>
      <c r="H2713"/>
    </row>
    <row r="2714" spans="1:8" ht="15">
      <c r="A2714"/>
      <c r="B2714"/>
      <c r="C2714"/>
      <c r="D2714"/>
      <c r="E2714"/>
      <c r="F2714"/>
      <c r="G2714"/>
      <c r="H2714"/>
    </row>
    <row r="2715" spans="1:8" ht="15">
      <c r="A2715"/>
      <c r="B2715"/>
      <c r="C2715"/>
      <c r="D2715"/>
      <c r="E2715"/>
      <c r="F2715"/>
      <c r="G2715"/>
      <c r="H2715"/>
    </row>
    <row r="2716" spans="1:8" ht="15">
      <c r="A2716"/>
      <c r="B2716"/>
      <c r="C2716"/>
      <c r="D2716"/>
      <c r="E2716"/>
      <c r="F2716"/>
      <c r="G2716"/>
      <c r="H2716"/>
    </row>
    <row r="2717" spans="1:8" ht="15">
      <c r="A2717"/>
      <c r="B2717"/>
      <c r="C2717"/>
      <c r="D2717"/>
      <c r="E2717"/>
      <c r="F2717"/>
      <c r="G2717"/>
      <c r="H2717"/>
    </row>
    <row r="2718" spans="1:8" ht="15">
      <c r="A2718"/>
      <c r="B2718"/>
      <c r="C2718"/>
      <c r="D2718"/>
      <c r="E2718"/>
      <c r="F2718"/>
      <c r="G2718"/>
      <c r="H2718"/>
    </row>
    <row r="2719" spans="1:8" ht="15">
      <c r="A2719"/>
      <c r="B2719"/>
      <c r="C2719"/>
      <c r="D2719"/>
      <c r="E2719"/>
      <c r="F2719"/>
      <c r="G2719"/>
      <c r="H2719"/>
    </row>
    <row r="2720" spans="1:8" ht="15">
      <c r="A2720"/>
      <c r="B2720"/>
      <c r="C2720"/>
      <c r="D2720"/>
      <c r="E2720"/>
      <c r="F2720"/>
      <c r="G2720"/>
      <c r="H2720"/>
    </row>
    <row r="2721" spans="1:8" ht="15">
      <c r="A2721"/>
      <c r="B2721"/>
      <c r="C2721"/>
      <c r="D2721"/>
      <c r="E2721"/>
      <c r="F2721"/>
      <c r="G2721"/>
      <c r="H2721"/>
    </row>
    <row r="2722" spans="1:8" ht="15">
      <c r="A2722"/>
      <c r="B2722"/>
      <c r="C2722"/>
      <c r="D2722"/>
      <c r="E2722"/>
      <c r="F2722"/>
      <c r="G2722"/>
      <c r="H2722"/>
    </row>
    <row r="2723" spans="1:8" ht="15">
      <c r="A2723"/>
      <c r="B2723"/>
      <c r="C2723"/>
      <c r="D2723"/>
      <c r="E2723"/>
      <c r="F2723"/>
      <c r="G2723"/>
      <c r="H2723"/>
    </row>
    <row r="2724" spans="1:8" ht="15">
      <c r="A2724"/>
      <c r="B2724"/>
      <c r="C2724"/>
      <c r="D2724"/>
      <c r="E2724"/>
      <c r="F2724"/>
      <c r="G2724"/>
      <c r="H2724"/>
    </row>
    <row r="2725" spans="1:8" ht="15">
      <c r="A2725"/>
      <c r="B2725"/>
      <c r="C2725"/>
      <c r="D2725"/>
      <c r="E2725"/>
      <c r="F2725"/>
      <c r="G2725"/>
      <c r="H2725"/>
    </row>
    <row r="2726" spans="1:8" ht="15">
      <c r="A2726"/>
      <c r="B2726"/>
      <c r="C2726"/>
      <c r="D2726"/>
      <c r="E2726"/>
      <c r="F2726"/>
      <c r="G2726"/>
      <c r="H2726"/>
    </row>
    <row r="2727" spans="1:8" ht="15">
      <c r="A2727"/>
      <c r="B2727"/>
      <c r="C2727"/>
      <c r="D2727"/>
      <c r="E2727"/>
      <c r="F2727"/>
      <c r="G2727"/>
      <c r="H2727"/>
    </row>
    <row r="2728" spans="1:8" ht="15">
      <c r="A2728"/>
      <c r="B2728"/>
      <c r="C2728"/>
      <c r="D2728"/>
      <c r="E2728"/>
      <c r="F2728"/>
      <c r="G2728"/>
      <c r="H2728"/>
    </row>
    <row r="2729" spans="1:8" ht="15">
      <c r="A2729"/>
      <c r="B2729"/>
      <c r="C2729"/>
      <c r="D2729"/>
      <c r="E2729"/>
      <c r="F2729"/>
      <c r="G2729"/>
      <c r="H2729"/>
    </row>
    <row r="2730" spans="1:8" ht="15">
      <c r="A2730"/>
      <c r="B2730"/>
      <c r="C2730"/>
      <c r="D2730"/>
      <c r="E2730"/>
      <c r="F2730"/>
      <c r="G2730"/>
      <c r="H2730"/>
    </row>
    <row r="2731" spans="1:8" ht="15">
      <c r="A2731"/>
      <c r="B2731"/>
      <c r="C2731"/>
      <c r="D2731"/>
      <c r="E2731"/>
      <c r="F2731"/>
      <c r="G2731"/>
      <c r="H2731"/>
    </row>
    <row r="2732" spans="1:8" ht="15">
      <c r="A2732"/>
      <c r="B2732"/>
      <c r="C2732"/>
      <c r="D2732"/>
      <c r="E2732"/>
      <c r="F2732"/>
      <c r="G2732"/>
      <c r="H2732"/>
    </row>
    <row r="2733" spans="1:8" ht="15">
      <c r="A2733"/>
      <c r="B2733"/>
      <c r="C2733"/>
      <c r="D2733"/>
      <c r="E2733"/>
      <c r="F2733"/>
      <c r="G2733"/>
      <c r="H2733"/>
    </row>
    <row r="2734" spans="1:8" ht="15">
      <c r="A2734"/>
      <c r="B2734"/>
      <c r="C2734"/>
      <c r="D2734"/>
      <c r="E2734"/>
      <c r="F2734"/>
      <c r="G2734"/>
      <c r="H2734"/>
    </row>
    <row r="2735" spans="1:8" ht="15">
      <c r="A2735"/>
      <c r="B2735"/>
      <c r="C2735"/>
      <c r="D2735"/>
      <c r="E2735"/>
      <c r="F2735"/>
      <c r="G2735"/>
      <c r="H2735"/>
    </row>
    <row r="2736" spans="1:8" ht="15">
      <c r="A2736"/>
      <c r="B2736"/>
      <c r="C2736"/>
      <c r="D2736"/>
      <c r="E2736"/>
      <c r="F2736"/>
      <c r="G2736"/>
      <c r="H2736"/>
    </row>
    <row r="2737" spans="1:8" ht="15">
      <c r="A2737"/>
      <c r="B2737"/>
      <c r="C2737"/>
      <c r="D2737"/>
      <c r="E2737"/>
      <c r="F2737"/>
      <c r="G2737"/>
      <c r="H2737"/>
    </row>
    <row r="2738" spans="1:8" ht="15">
      <c r="A2738"/>
      <c r="B2738"/>
      <c r="C2738"/>
      <c r="D2738"/>
      <c r="E2738"/>
      <c r="F2738"/>
      <c r="G2738"/>
      <c r="H2738"/>
    </row>
    <row r="2739" spans="1:8" ht="15">
      <c r="A2739"/>
      <c r="B2739"/>
      <c r="C2739"/>
      <c r="D2739"/>
      <c r="E2739"/>
      <c r="F2739"/>
      <c r="G2739"/>
      <c r="H2739"/>
    </row>
    <row r="2740" spans="1:8" ht="15">
      <c r="A2740"/>
      <c r="B2740"/>
      <c r="C2740"/>
      <c r="D2740"/>
      <c r="E2740"/>
      <c r="F2740"/>
      <c r="G2740"/>
      <c r="H2740"/>
    </row>
    <row r="2741" spans="1:8" ht="15">
      <c r="A2741"/>
      <c r="B2741"/>
      <c r="C2741"/>
      <c r="D2741"/>
      <c r="E2741"/>
      <c r="F2741"/>
      <c r="G2741"/>
      <c r="H2741"/>
    </row>
    <row r="2742" spans="1:8" ht="15">
      <c r="A2742"/>
      <c r="B2742"/>
      <c r="C2742"/>
      <c r="D2742"/>
      <c r="E2742"/>
      <c r="F2742"/>
      <c r="G2742"/>
      <c r="H2742"/>
    </row>
    <row r="2743" spans="1:8" ht="15">
      <c r="A2743"/>
      <c r="B2743"/>
      <c r="C2743"/>
      <c r="D2743"/>
      <c r="E2743"/>
      <c r="F2743"/>
      <c r="G2743"/>
      <c r="H2743"/>
    </row>
    <row r="2744" spans="1:8" ht="15">
      <c r="A2744"/>
      <c r="B2744"/>
      <c r="C2744"/>
      <c r="D2744"/>
      <c r="E2744"/>
      <c r="F2744"/>
      <c r="G2744"/>
      <c r="H2744"/>
    </row>
    <row r="2745" spans="1:8" ht="15">
      <c r="A2745"/>
      <c r="B2745"/>
      <c r="C2745"/>
      <c r="D2745"/>
      <c r="E2745"/>
      <c r="F2745"/>
      <c r="G2745"/>
      <c r="H2745"/>
    </row>
    <row r="2746" spans="1:8" ht="15">
      <c r="A2746"/>
      <c r="B2746"/>
      <c r="C2746"/>
      <c r="D2746"/>
      <c r="E2746"/>
      <c r="F2746"/>
      <c r="G2746"/>
      <c r="H2746"/>
    </row>
    <row r="2747" spans="1:8" ht="15">
      <c r="A2747"/>
      <c r="B2747"/>
      <c r="C2747"/>
      <c r="D2747"/>
      <c r="E2747"/>
      <c r="F2747"/>
      <c r="G2747"/>
      <c r="H2747"/>
    </row>
    <row r="2748" spans="1:8" ht="15">
      <c r="A2748"/>
      <c r="B2748"/>
      <c r="C2748"/>
      <c r="D2748"/>
      <c r="E2748"/>
      <c r="F2748"/>
      <c r="G2748"/>
      <c r="H2748"/>
    </row>
    <row r="2749" spans="1:8" ht="15">
      <c r="A2749"/>
      <c r="B2749"/>
      <c r="C2749"/>
      <c r="D2749"/>
      <c r="E2749"/>
      <c r="F2749"/>
      <c r="G2749"/>
      <c r="H2749"/>
    </row>
    <row r="2750" spans="1:8" ht="15">
      <c r="A2750"/>
      <c r="B2750"/>
      <c r="C2750"/>
      <c r="D2750"/>
      <c r="E2750"/>
      <c r="F2750"/>
      <c r="G2750"/>
      <c r="H2750"/>
    </row>
    <row r="2751" spans="1:8" ht="15">
      <c r="A2751"/>
      <c r="B2751"/>
      <c r="C2751"/>
      <c r="D2751"/>
      <c r="E2751"/>
      <c r="F2751"/>
      <c r="G2751"/>
      <c r="H2751"/>
    </row>
    <row r="2752" spans="1:8" ht="15">
      <c r="A2752"/>
      <c r="B2752"/>
      <c r="C2752"/>
      <c r="D2752"/>
      <c r="E2752"/>
      <c r="F2752"/>
      <c r="G2752"/>
      <c r="H2752"/>
    </row>
    <row r="2753" spans="1:8" ht="15">
      <c r="A2753"/>
      <c r="B2753"/>
      <c r="C2753"/>
      <c r="D2753"/>
      <c r="E2753"/>
      <c r="F2753"/>
      <c r="G2753"/>
      <c r="H2753"/>
    </row>
    <row r="2754" spans="1:8" ht="15">
      <c r="A2754"/>
      <c r="B2754"/>
      <c r="C2754"/>
      <c r="D2754"/>
      <c r="E2754"/>
      <c r="F2754"/>
      <c r="G2754"/>
      <c r="H2754"/>
    </row>
    <row r="2755" spans="1:8" ht="15">
      <c r="A2755"/>
      <c r="B2755"/>
      <c r="C2755"/>
      <c r="D2755"/>
      <c r="E2755"/>
      <c r="F2755"/>
      <c r="G2755"/>
      <c r="H2755"/>
    </row>
    <row r="2756" spans="1:8" ht="15">
      <c r="A2756"/>
      <c r="B2756"/>
      <c r="C2756"/>
      <c r="D2756"/>
      <c r="E2756"/>
      <c r="F2756"/>
      <c r="G2756"/>
      <c r="H2756"/>
    </row>
    <row r="2757" spans="1:8" ht="15">
      <c r="A2757"/>
      <c r="B2757"/>
      <c r="C2757"/>
      <c r="D2757"/>
      <c r="E2757"/>
      <c r="F2757"/>
      <c r="G2757"/>
      <c r="H2757"/>
    </row>
    <row r="2758" spans="1:8" ht="15">
      <c r="A2758"/>
      <c r="B2758"/>
      <c r="C2758"/>
      <c r="D2758"/>
      <c r="E2758"/>
      <c r="F2758"/>
      <c r="G2758"/>
      <c r="H2758"/>
    </row>
    <row r="2759" spans="1:8" ht="15">
      <c r="A2759"/>
      <c r="B2759"/>
      <c r="C2759"/>
      <c r="D2759"/>
      <c r="E2759"/>
      <c r="F2759"/>
      <c r="G2759"/>
      <c r="H2759"/>
    </row>
    <row r="2760" spans="1:8" ht="15">
      <c r="A2760"/>
      <c r="B2760"/>
      <c r="C2760"/>
      <c r="D2760"/>
      <c r="E2760"/>
      <c r="F2760"/>
      <c r="G2760"/>
      <c r="H2760"/>
    </row>
    <row r="2761" spans="1:8" ht="15">
      <c r="A2761"/>
      <c r="B2761"/>
      <c r="C2761"/>
      <c r="D2761"/>
      <c r="E2761"/>
      <c r="F2761"/>
      <c r="G2761"/>
      <c r="H2761"/>
    </row>
    <row r="2762" spans="1:8" ht="15">
      <c r="A2762"/>
      <c r="B2762"/>
      <c r="C2762"/>
      <c r="D2762"/>
      <c r="E2762"/>
      <c r="F2762"/>
      <c r="G2762"/>
      <c r="H2762"/>
    </row>
    <row r="2763" spans="1:8" ht="15">
      <c r="A2763"/>
      <c r="B2763"/>
      <c r="C2763"/>
      <c r="D2763"/>
      <c r="E2763"/>
      <c r="F2763"/>
      <c r="G2763"/>
      <c r="H2763"/>
    </row>
    <row r="2764" spans="1:8" ht="15">
      <c r="A2764"/>
      <c r="B2764"/>
      <c r="C2764"/>
      <c r="D2764"/>
      <c r="E2764"/>
      <c r="F2764"/>
      <c r="G2764"/>
      <c r="H2764"/>
    </row>
    <row r="2765" spans="1:8" ht="15">
      <c r="A2765"/>
      <c r="B2765"/>
      <c r="C2765"/>
      <c r="D2765"/>
      <c r="E2765"/>
      <c r="F2765"/>
      <c r="G2765"/>
      <c r="H2765"/>
    </row>
    <row r="2766" spans="1:8" ht="15">
      <c r="A2766"/>
      <c r="B2766"/>
      <c r="C2766"/>
      <c r="D2766"/>
      <c r="E2766"/>
      <c r="F2766"/>
      <c r="G2766"/>
      <c r="H2766"/>
    </row>
    <row r="2767" spans="1:8" ht="15">
      <c r="A2767"/>
      <c r="B2767"/>
      <c r="C2767"/>
      <c r="D2767"/>
      <c r="E2767"/>
      <c r="F2767"/>
      <c r="G2767"/>
      <c r="H2767"/>
    </row>
    <row r="2768" spans="1:8" ht="15">
      <c r="A2768"/>
      <c r="B2768"/>
      <c r="C2768"/>
      <c r="D2768"/>
      <c r="E2768"/>
      <c r="F2768"/>
      <c r="G2768"/>
      <c r="H2768"/>
    </row>
    <row r="2769" spans="1:8" ht="15">
      <c r="A2769"/>
      <c r="B2769"/>
      <c r="C2769"/>
      <c r="D2769"/>
      <c r="E2769"/>
      <c r="F2769"/>
      <c r="G2769"/>
      <c r="H2769"/>
    </row>
    <row r="2770" spans="1:8" ht="15">
      <c r="A2770"/>
      <c r="B2770"/>
      <c r="C2770"/>
      <c r="D2770"/>
      <c r="E2770"/>
      <c r="F2770"/>
      <c r="G2770"/>
      <c r="H2770"/>
    </row>
    <row r="2771" spans="1:8" ht="15">
      <c r="A2771"/>
      <c r="B2771"/>
      <c r="C2771"/>
      <c r="D2771"/>
      <c r="E2771"/>
      <c r="F2771"/>
      <c r="G2771"/>
      <c r="H2771"/>
    </row>
    <row r="2772" spans="1:8" ht="15">
      <c r="A2772"/>
      <c r="B2772"/>
      <c r="C2772"/>
      <c r="D2772"/>
      <c r="E2772"/>
      <c r="F2772"/>
      <c r="G2772"/>
      <c r="H2772"/>
    </row>
    <row r="2773" spans="1:8" ht="15">
      <c r="A2773"/>
      <c r="B2773"/>
      <c r="C2773"/>
      <c r="D2773"/>
      <c r="E2773"/>
      <c r="F2773"/>
      <c r="G2773"/>
      <c r="H2773"/>
    </row>
    <row r="2774" spans="1:8" ht="15">
      <c r="A2774"/>
      <c r="B2774"/>
      <c r="C2774"/>
      <c r="D2774"/>
      <c r="E2774"/>
      <c r="F2774"/>
      <c r="G2774"/>
      <c r="H2774"/>
    </row>
    <row r="2775" spans="1:8" ht="15">
      <c r="A2775"/>
      <c r="B2775"/>
      <c r="C2775"/>
      <c r="D2775"/>
      <c r="E2775"/>
      <c r="F2775"/>
      <c r="G2775"/>
      <c r="H2775"/>
    </row>
    <row r="2776" spans="1:8" ht="15">
      <c r="A2776"/>
      <c r="B2776"/>
      <c r="C2776"/>
      <c r="D2776"/>
      <c r="E2776"/>
      <c r="F2776"/>
      <c r="G2776"/>
      <c r="H2776"/>
    </row>
    <row r="2777" spans="1:8" ht="15">
      <c r="A2777"/>
      <c r="B2777"/>
      <c r="C2777"/>
      <c r="D2777"/>
      <c r="E2777"/>
      <c r="F2777"/>
      <c r="G2777"/>
      <c r="H2777"/>
    </row>
    <row r="2778" spans="1:8" ht="15">
      <c r="A2778"/>
      <c r="B2778"/>
      <c r="C2778"/>
      <c r="D2778"/>
      <c r="E2778"/>
      <c r="F2778"/>
      <c r="G2778"/>
      <c r="H2778"/>
    </row>
    <row r="2779" spans="1:8" ht="15">
      <c r="A2779"/>
      <c r="B2779"/>
      <c r="C2779"/>
      <c r="D2779"/>
      <c r="E2779"/>
      <c r="F2779"/>
      <c r="G2779"/>
      <c r="H2779"/>
    </row>
    <row r="2780" spans="1:8" ht="15">
      <c r="A2780"/>
      <c r="B2780"/>
      <c r="C2780"/>
      <c r="D2780"/>
      <c r="E2780"/>
      <c r="F2780"/>
      <c r="G2780"/>
      <c r="H2780"/>
    </row>
    <row r="2781" spans="1:8" ht="15">
      <c r="A2781"/>
      <c r="B2781"/>
      <c r="C2781"/>
      <c r="D2781"/>
      <c r="E2781"/>
      <c r="F2781"/>
      <c r="G2781"/>
      <c r="H2781"/>
    </row>
    <row r="2782" spans="1:8" ht="15">
      <c r="A2782"/>
      <c r="B2782"/>
      <c r="C2782"/>
      <c r="D2782"/>
      <c r="E2782"/>
      <c r="F2782"/>
      <c r="G2782"/>
      <c r="H2782"/>
    </row>
    <row r="2783" spans="1:8" ht="15">
      <c r="A2783"/>
      <c r="B2783"/>
      <c r="C2783"/>
      <c r="D2783"/>
      <c r="E2783"/>
      <c r="F2783"/>
      <c r="G2783"/>
      <c r="H2783"/>
    </row>
    <row r="2784" spans="1:8" ht="15">
      <c r="A2784"/>
      <c r="B2784"/>
      <c r="C2784"/>
      <c r="D2784"/>
      <c r="E2784"/>
      <c r="F2784"/>
      <c r="G2784"/>
      <c r="H2784"/>
    </row>
    <row r="2785" spans="1:8" ht="15">
      <c r="A2785"/>
      <c r="B2785"/>
      <c r="C2785"/>
      <c r="D2785"/>
      <c r="E2785"/>
      <c r="F2785"/>
      <c r="G2785"/>
      <c r="H2785"/>
    </row>
    <row r="2786" spans="1:8" ht="15">
      <c r="A2786"/>
      <c r="B2786"/>
      <c r="C2786"/>
      <c r="D2786"/>
      <c r="E2786"/>
      <c r="F2786"/>
      <c r="G2786"/>
      <c r="H2786"/>
    </row>
    <row r="2787" spans="1:8" ht="15">
      <c r="A2787"/>
      <c r="B2787"/>
      <c r="C2787"/>
      <c r="D2787"/>
      <c r="E2787"/>
      <c r="F2787"/>
      <c r="G2787"/>
      <c r="H2787"/>
    </row>
    <row r="2788" spans="1:8" ht="15">
      <c r="A2788"/>
      <c r="B2788"/>
      <c r="C2788"/>
      <c r="D2788"/>
      <c r="E2788"/>
      <c r="F2788"/>
      <c r="G2788"/>
      <c r="H2788"/>
    </row>
    <row r="2789" spans="1:8" ht="15">
      <c r="A2789"/>
      <c r="B2789"/>
      <c r="C2789"/>
      <c r="D2789"/>
      <c r="E2789"/>
      <c r="F2789"/>
      <c r="G2789"/>
      <c r="H2789"/>
    </row>
    <row r="2790" spans="1:8" ht="15">
      <c r="A2790"/>
      <c r="B2790"/>
      <c r="C2790"/>
      <c r="D2790"/>
      <c r="E2790"/>
      <c r="F2790"/>
      <c r="G2790"/>
      <c r="H2790"/>
    </row>
    <row r="2791" spans="1:8" ht="15">
      <c r="A2791"/>
      <c r="B2791"/>
      <c r="C2791"/>
      <c r="D2791"/>
      <c r="E2791"/>
      <c r="F2791"/>
      <c r="G2791"/>
      <c r="H2791"/>
    </row>
    <row r="2792" spans="1:8" ht="15">
      <c r="A2792"/>
      <c r="B2792"/>
      <c r="C2792"/>
      <c r="D2792"/>
      <c r="E2792"/>
      <c r="F2792"/>
      <c r="G2792"/>
      <c r="H2792"/>
    </row>
    <row r="2793" spans="1:8" ht="15">
      <c r="A2793"/>
      <c r="B2793"/>
      <c r="C2793"/>
      <c r="D2793"/>
      <c r="E2793"/>
      <c r="F2793"/>
      <c r="G2793"/>
      <c r="H2793"/>
    </row>
    <row r="2794" spans="1:8" ht="15">
      <c r="A2794"/>
      <c r="B2794"/>
      <c r="C2794"/>
      <c r="D2794"/>
      <c r="E2794"/>
      <c r="F2794"/>
      <c r="G2794"/>
      <c r="H2794"/>
    </row>
    <row r="2795" spans="1:8" ht="15">
      <c r="A2795"/>
      <c r="B2795"/>
      <c r="C2795"/>
      <c r="D2795"/>
      <c r="E2795"/>
      <c r="F2795"/>
      <c r="G2795"/>
      <c r="H2795"/>
    </row>
    <row r="2796" spans="1:8" ht="15">
      <c r="A2796"/>
      <c r="B2796"/>
      <c r="C2796"/>
      <c r="D2796"/>
      <c r="E2796"/>
      <c r="F2796"/>
      <c r="G2796"/>
      <c r="H2796"/>
    </row>
    <row r="2797" spans="1:8" ht="15">
      <c r="A2797"/>
      <c r="B2797"/>
      <c r="C2797"/>
      <c r="D2797"/>
      <c r="E2797"/>
      <c r="F2797"/>
      <c r="G2797"/>
      <c r="H2797"/>
    </row>
    <row r="2798" spans="1:8" ht="15">
      <c r="A2798"/>
      <c r="B2798"/>
      <c r="C2798"/>
      <c r="D2798"/>
      <c r="E2798"/>
      <c r="F2798"/>
      <c r="G2798"/>
      <c r="H2798"/>
    </row>
    <row r="2799" spans="1:8" ht="15">
      <c r="A2799"/>
      <c r="B2799"/>
      <c r="C2799"/>
      <c r="D2799"/>
      <c r="E2799"/>
      <c r="F2799"/>
      <c r="G2799"/>
      <c r="H2799"/>
    </row>
    <row r="2800" spans="1:8" ht="15">
      <c r="A2800"/>
      <c r="B2800"/>
      <c r="C2800"/>
      <c r="D2800"/>
      <c r="E2800"/>
      <c r="F2800"/>
      <c r="G2800"/>
      <c r="H2800"/>
    </row>
    <row r="2801" spans="1:8" ht="15">
      <c r="A2801"/>
      <c r="B2801"/>
      <c r="C2801"/>
      <c r="D2801"/>
      <c r="E2801"/>
      <c r="F2801"/>
      <c r="G2801"/>
      <c r="H2801"/>
    </row>
    <row r="2802" spans="1:8" ht="15">
      <c r="A2802"/>
      <c r="B2802"/>
      <c r="C2802"/>
      <c r="D2802"/>
      <c r="E2802"/>
      <c r="F2802"/>
      <c r="G2802"/>
      <c r="H2802"/>
    </row>
    <row r="2803" spans="1:8" ht="15">
      <c r="A2803"/>
      <c r="B2803"/>
      <c r="C2803"/>
      <c r="D2803"/>
      <c r="E2803"/>
      <c r="F2803"/>
      <c r="G2803"/>
      <c r="H2803"/>
    </row>
    <row r="2804" spans="1:8" ht="15">
      <c r="A2804"/>
      <c r="B2804"/>
      <c r="C2804"/>
      <c r="D2804"/>
      <c r="E2804"/>
      <c r="F2804"/>
      <c r="G2804"/>
      <c r="H2804"/>
    </row>
    <row r="2805" spans="1:8" ht="15">
      <c r="A2805"/>
      <c r="B2805"/>
      <c r="C2805"/>
      <c r="D2805"/>
      <c r="E2805"/>
      <c r="F2805"/>
      <c r="G2805"/>
      <c r="H2805"/>
    </row>
    <row r="2806" spans="1:8" ht="15">
      <c r="A2806"/>
      <c r="B2806"/>
      <c r="C2806"/>
      <c r="D2806"/>
      <c r="E2806"/>
      <c r="F2806"/>
      <c r="G2806"/>
      <c r="H2806"/>
    </row>
    <row r="2807" spans="1:8" ht="15">
      <c r="A2807"/>
      <c r="B2807"/>
      <c r="C2807"/>
      <c r="D2807"/>
      <c r="E2807"/>
      <c r="F2807"/>
      <c r="G2807"/>
      <c r="H2807"/>
    </row>
    <row r="2808" spans="1:8" ht="15">
      <c r="A2808"/>
      <c r="B2808"/>
      <c r="C2808"/>
      <c r="D2808"/>
      <c r="E2808"/>
      <c r="F2808"/>
      <c r="G2808"/>
      <c r="H2808"/>
    </row>
    <row r="2809" spans="1:8" ht="15">
      <c r="A2809"/>
      <c r="B2809"/>
      <c r="C2809"/>
      <c r="D2809"/>
      <c r="E2809"/>
      <c r="F2809"/>
      <c r="G2809"/>
      <c r="H2809"/>
    </row>
    <row r="2810" spans="1:8" ht="15">
      <c r="A2810"/>
      <c r="B2810"/>
      <c r="C2810"/>
      <c r="D2810"/>
      <c r="E2810"/>
      <c r="F2810"/>
      <c r="G2810"/>
      <c r="H2810"/>
    </row>
    <row r="2811" spans="1:8" ht="15">
      <c r="A2811"/>
      <c r="B2811"/>
      <c r="C2811"/>
      <c r="D2811"/>
      <c r="E2811"/>
      <c r="F2811"/>
      <c r="G2811"/>
      <c r="H2811"/>
    </row>
    <row r="2812" spans="1:8" ht="15">
      <c r="A2812"/>
      <c r="B2812"/>
      <c r="C2812"/>
      <c r="D2812"/>
      <c r="E2812"/>
      <c r="F2812"/>
      <c r="G2812"/>
      <c r="H2812"/>
    </row>
    <row r="2813" spans="1:8" ht="15">
      <c r="A2813"/>
      <c r="B2813"/>
      <c r="C2813"/>
      <c r="D2813"/>
      <c r="E2813"/>
      <c r="F2813"/>
      <c r="G2813"/>
      <c r="H2813"/>
    </row>
    <row r="2814" spans="1:8" ht="15">
      <c r="A2814"/>
      <c r="B2814"/>
      <c r="C2814"/>
      <c r="D2814"/>
      <c r="E2814"/>
      <c r="F2814"/>
      <c r="G2814"/>
      <c r="H2814"/>
    </row>
    <row r="2815" spans="1:8" ht="15">
      <c r="A2815"/>
      <c r="B2815"/>
      <c r="C2815"/>
      <c r="D2815"/>
      <c r="E2815"/>
      <c r="F2815"/>
      <c r="G2815"/>
      <c r="H2815"/>
    </row>
    <row r="2816" spans="1:8" ht="15">
      <c r="A2816"/>
      <c r="B2816"/>
      <c r="C2816"/>
      <c r="D2816"/>
      <c r="E2816"/>
      <c r="F2816"/>
      <c r="G2816"/>
      <c r="H2816"/>
    </row>
    <row r="2817" spans="1:8" ht="15">
      <c r="A2817"/>
      <c r="B2817"/>
      <c r="C2817"/>
      <c r="D2817"/>
      <c r="E2817"/>
      <c r="F2817"/>
      <c r="G2817"/>
      <c r="H2817"/>
    </row>
    <row r="2818" spans="1:8" ht="15">
      <c r="A2818"/>
      <c r="B2818"/>
      <c r="C2818"/>
      <c r="D2818"/>
      <c r="E2818"/>
      <c r="F2818"/>
      <c r="G2818"/>
      <c r="H2818"/>
    </row>
    <row r="2819" spans="1:8" ht="15">
      <c r="A2819"/>
      <c r="B2819"/>
      <c r="C2819"/>
      <c r="D2819"/>
      <c r="E2819"/>
      <c r="F2819"/>
      <c r="G2819"/>
      <c r="H2819"/>
    </row>
    <row r="2820" spans="1:8" ht="15">
      <c r="A2820"/>
      <c r="B2820"/>
      <c r="C2820"/>
      <c r="D2820"/>
      <c r="E2820"/>
      <c r="F2820"/>
      <c r="G2820"/>
      <c r="H2820"/>
    </row>
    <row r="2821" spans="1:8" ht="15">
      <c r="A2821"/>
      <c r="B2821"/>
      <c r="C2821"/>
      <c r="D2821"/>
      <c r="E2821"/>
      <c r="F2821"/>
      <c r="G2821"/>
      <c r="H2821"/>
    </row>
    <row r="2822" spans="1:8" ht="15">
      <c r="A2822"/>
      <c r="B2822"/>
      <c r="C2822"/>
      <c r="D2822"/>
      <c r="E2822"/>
      <c r="F2822"/>
      <c r="G2822"/>
      <c r="H2822"/>
    </row>
    <row r="2823" spans="1:8" ht="15">
      <c r="A2823"/>
      <c r="B2823"/>
      <c r="C2823"/>
      <c r="D2823"/>
      <c r="E2823"/>
      <c r="F2823"/>
      <c r="G2823"/>
      <c r="H2823"/>
    </row>
    <row r="2824" spans="1:8" ht="15">
      <c r="A2824"/>
      <c r="B2824"/>
      <c r="C2824"/>
      <c r="D2824"/>
      <c r="E2824"/>
      <c r="F2824"/>
      <c r="G2824"/>
      <c r="H2824"/>
    </row>
    <row r="2825" spans="1:8" ht="15">
      <c r="A2825"/>
      <c r="B2825"/>
      <c r="C2825"/>
      <c r="D2825"/>
      <c r="E2825"/>
      <c r="F2825"/>
      <c r="G2825"/>
      <c r="H2825"/>
    </row>
    <row r="2826" spans="1:8" ht="15">
      <c r="A2826"/>
      <c r="B2826"/>
      <c r="C2826"/>
      <c r="D2826"/>
      <c r="E2826"/>
      <c r="F2826"/>
      <c r="G2826"/>
      <c r="H2826"/>
    </row>
    <row r="2827" spans="1:8" ht="15">
      <c r="A2827"/>
      <c r="B2827"/>
      <c r="C2827"/>
      <c r="D2827"/>
      <c r="E2827"/>
      <c r="F2827"/>
      <c r="G2827"/>
      <c r="H2827"/>
    </row>
    <row r="2828" spans="1:8" ht="15">
      <c r="A2828"/>
      <c r="B2828"/>
      <c r="C2828"/>
      <c r="D2828"/>
      <c r="E2828"/>
      <c r="F2828"/>
      <c r="G2828"/>
      <c r="H2828"/>
    </row>
    <row r="2829" spans="1:8" ht="15">
      <c r="A2829"/>
      <c r="B2829"/>
      <c r="C2829"/>
      <c r="D2829"/>
      <c r="E2829"/>
      <c r="F2829"/>
      <c r="G2829"/>
      <c r="H2829"/>
    </row>
    <row r="2830" spans="1:8" ht="15">
      <c r="A2830"/>
      <c r="B2830"/>
      <c r="C2830"/>
      <c r="D2830"/>
      <c r="E2830"/>
      <c r="F2830"/>
      <c r="G2830"/>
      <c r="H2830"/>
    </row>
    <row r="2831" spans="1:8" ht="15">
      <c r="A2831"/>
      <c r="B2831"/>
      <c r="C2831"/>
      <c r="D2831"/>
      <c r="E2831"/>
      <c r="F2831"/>
      <c r="G2831"/>
      <c r="H2831"/>
    </row>
    <row r="2832" spans="1:8" ht="15">
      <c r="A2832"/>
      <c r="B2832"/>
      <c r="C2832"/>
      <c r="D2832"/>
      <c r="E2832"/>
      <c r="F2832"/>
      <c r="G2832"/>
      <c r="H2832"/>
    </row>
    <row r="2833" spans="1:8" ht="15">
      <c r="A2833"/>
      <c r="B2833"/>
      <c r="C2833"/>
      <c r="D2833"/>
      <c r="E2833"/>
      <c r="F2833"/>
      <c r="G2833"/>
      <c r="H2833"/>
    </row>
    <row r="2834" spans="1:8" ht="15">
      <c r="A2834"/>
      <c r="B2834"/>
      <c r="C2834"/>
      <c r="D2834"/>
      <c r="E2834"/>
      <c r="F2834"/>
      <c r="G2834"/>
      <c r="H2834"/>
    </row>
    <row r="2835" spans="1:8" ht="15">
      <c r="A2835"/>
      <c r="B2835"/>
      <c r="C2835"/>
      <c r="D2835"/>
      <c r="E2835"/>
      <c r="F2835"/>
      <c r="G2835"/>
      <c r="H2835"/>
    </row>
    <row r="2836" spans="1:8" ht="15">
      <c r="A2836"/>
      <c r="B2836"/>
      <c r="C2836"/>
      <c r="D2836"/>
      <c r="E2836"/>
      <c r="F2836"/>
      <c r="G2836"/>
      <c r="H2836"/>
    </row>
    <row r="2837" spans="1:8" ht="15">
      <c r="A2837"/>
      <c r="B2837"/>
      <c r="C2837"/>
      <c r="D2837"/>
      <c r="E2837"/>
      <c r="F2837"/>
      <c r="G2837"/>
      <c r="H2837"/>
    </row>
    <row r="2838" spans="1:8" ht="15">
      <c r="A2838"/>
      <c r="B2838"/>
      <c r="C2838"/>
      <c r="D2838"/>
      <c r="E2838"/>
      <c r="F2838"/>
      <c r="G2838"/>
      <c r="H2838"/>
    </row>
    <row r="2839" spans="1:8" ht="15">
      <c r="A2839"/>
      <c r="B2839"/>
      <c r="C2839"/>
      <c r="D2839"/>
      <c r="E2839"/>
      <c r="F2839"/>
      <c r="G2839"/>
      <c r="H2839"/>
    </row>
    <row r="2840" spans="1:8" ht="15">
      <c r="A2840"/>
      <c r="B2840"/>
      <c r="C2840"/>
      <c r="D2840"/>
      <c r="E2840"/>
      <c r="F2840"/>
      <c r="G2840"/>
      <c r="H2840"/>
    </row>
    <row r="2841" spans="1:8" ht="15">
      <c r="A2841"/>
      <c r="B2841"/>
      <c r="C2841"/>
      <c r="D2841"/>
      <c r="E2841"/>
      <c r="F2841"/>
      <c r="G2841"/>
      <c r="H2841"/>
    </row>
    <row r="2842" spans="1:8" ht="15">
      <c r="A2842"/>
      <c r="B2842"/>
      <c r="C2842"/>
      <c r="D2842"/>
      <c r="E2842"/>
      <c r="F2842"/>
      <c r="G2842"/>
      <c r="H2842"/>
    </row>
    <row r="2843" spans="1:8" ht="15">
      <c r="A2843"/>
      <c r="B2843"/>
      <c r="C2843"/>
      <c r="D2843"/>
      <c r="E2843"/>
      <c r="F2843"/>
      <c r="G2843"/>
      <c r="H2843"/>
    </row>
    <row r="2844" spans="1:8" ht="15">
      <c r="A2844"/>
      <c r="B2844"/>
      <c r="C2844"/>
      <c r="D2844"/>
      <c r="E2844"/>
      <c r="F2844"/>
      <c r="G2844"/>
      <c r="H2844"/>
    </row>
    <row r="2845" spans="1:8" ht="15">
      <c r="A2845"/>
      <c r="B2845"/>
      <c r="C2845"/>
      <c r="D2845"/>
      <c r="E2845"/>
      <c r="F2845"/>
      <c r="G2845"/>
      <c r="H2845"/>
    </row>
    <row r="2846" spans="1:8" ht="15">
      <c r="A2846"/>
      <c r="B2846"/>
      <c r="C2846"/>
      <c r="D2846"/>
      <c r="E2846"/>
      <c r="F2846"/>
      <c r="G2846"/>
      <c r="H2846"/>
    </row>
    <row r="2847" spans="1:8" ht="15">
      <c r="A2847"/>
      <c r="B2847"/>
      <c r="C2847"/>
      <c r="D2847"/>
      <c r="E2847"/>
      <c r="F2847"/>
      <c r="G2847"/>
      <c r="H2847"/>
    </row>
    <row r="2848" spans="1:8" ht="15">
      <c r="A2848"/>
      <c r="B2848"/>
      <c r="C2848"/>
      <c r="D2848"/>
      <c r="E2848"/>
      <c r="F2848"/>
      <c r="G2848"/>
      <c r="H2848"/>
    </row>
    <row r="2849" spans="1:8" ht="15">
      <c r="A2849"/>
      <c r="B2849"/>
      <c r="C2849"/>
      <c r="D2849"/>
      <c r="E2849"/>
      <c r="F2849"/>
      <c r="G2849"/>
      <c r="H2849"/>
    </row>
    <row r="2850" spans="1:8" ht="15">
      <c r="A2850"/>
      <c r="B2850"/>
      <c r="C2850"/>
      <c r="D2850"/>
      <c r="E2850"/>
      <c r="F2850"/>
      <c r="G2850"/>
      <c r="H2850"/>
    </row>
    <row r="2851" spans="1:8" ht="15">
      <c r="A2851"/>
      <c r="B2851"/>
      <c r="C2851"/>
      <c r="D2851"/>
      <c r="E2851"/>
      <c r="F2851"/>
      <c r="G2851"/>
      <c r="H2851"/>
    </row>
    <row r="2852" spans="1:8" ht="15">
      <c r="A2852"/>
      <c r="B2852"/>
      <c r="C2852"/>
      <c r="D2852"/>
      <c r="E2852"/>
      <c r="F2852"/>
      <c r="G2852"/>
      <c r="H2852"/>
    </row>
    <row r="2853" spans="1:8" ht="15">
      <c r="A2853"/>
      <c r="B2853"/>
      <c r="C2853"/>
      <c r="D2853"/>
      <c r="E2853"/>
      <c r="F2853"/>
      <c r="G2853"/>
      <c r="H2853"/>
    </row>
    <row r="2854" spans="1:8" ht="15">
      <c r="A2854"/>
      <c r="B2854"/>
      <c r="C2854"/>
      <c r="D2854"/>
      <c r="E2854"/>
      <c r="F2854"/>
      <c r="G2854"/>
      <c r="H2854"/>
    </row>
    <row r="2855" spans="1:8" ht="15">
      <c r="A2855"/>
      <c r="B2855"/>
      <c r="C2855"/>
      <c r="D2855"/>
      <c r="E2855"/>
      <c r="F2855"/>
      <c r="G2855"/>
      <c r="H2855"/>
    </row>
    <row r="2856" spans="1:8" ht="15">
      <c r="A2856"/>
      <c r="B2856"/>
      <c r="C2856"/>
      <c r="D2856"/>
      <c r="E2856"/>
      <c r="F2856"/>
      <c r="G2856"/>
      <c r="H2856"/>
    </row>
    <row r="2857" spans="1:8" ht="15">
      <c r="A2857"/>
      <c r="B2857"/>
      <c r="C2857"/>
      <c r="D2857"/>
      <c r="E2857"/>
      <c r="F2857"/>
      <c r="G2857"/>
      <c r="H2857"/>
    </row>
    <row r="2858" spans="1:8" ht="15">
      <c r="A2858"/>
      <c r="B2858"/>
      <c r="C2858"/>
      <c r="D2858"/>
      <c r="E2858"/>
      <c r="F2858"/>
      <c r="G2858"/>
      <c r="H2858"/>
    </row>
    <row r="2859" spans="1:8" ht="15">
      <c r="A2859"/>
      <c r="B2859"/>
      <c r="C2859"/>
      <c r="D2859"/>
      <c r="E2859"/>
      <c r="F2859"/>
      <c r="G2859"/>
      <c r="H2859"/>
    </row>
    <row r="2860" spans="1:8" ht="15">
      <c r="A2860"/>
      <c r="B2860"/>
      <c r="C2860"/>
      <c r="D2860"/>
      <c r="E2860"/>
      <c r="F2860"/>
      <c r="G2860"/>
      <c r="H2860"/>
    </row>
    <row r="2861" spans="1:8" ht="15">
      <c r="A2861"/>
      <c r="B2861"/>
      <c r="C2861"/>
      <c r="D2861"/>
      <c r="E2861"/>
      <c r="F2861"/>
      <c r="G2861"/>
      <c r="H2861"/>
    </row>
    <row r="2862" spans="1:8" ht="15">
      <c r="A2862"/>
      <c r="B2862"/>
      <c r="C2862"/>
      <c r="D2862"/>
      <c r="E2862"/>
      <c r="F2862"/>
      <c r="G2862"/>
      <c r="H2862"/>
    </row>
    <row r="2863" spans="1:8" ht="15">
      <c r="A2863"/>
      <c r="B2863"/>
      <c r="C2863"/>
      <c r="D2863"/>
      <c r="E2863"/>
      <c r="F2863"/>
      <c r="G2863"/>
      <c r="H2863"/>
    </row>
    <row r="2864" spans="1:8" ht="15">
      <c r="A2864"/>
      <c r="B2864"/>
      <c r="C2864"/>
      <c r="D2864"/>
      <c r="E2864"/>
      <c r="F2864"/>
      <c r="G2864"/>
      <c r="H2864"/>
    </row>
    <row r="2865" spans="1:8" ht="15">
      <c r="A2865"/>
      <c r="B2865"/>
      <c r="C2865"/>
      <c r="D2865"/>
      <c r="E2865"/>
      <c r="F2865"/>
      <c r="G2865"/>
      <c r="H2865"/>
    </row>
    <row r="2866" spans="1:8" ht="15">
      <c r="A2866"/>
      <c r="B2866"/>
      <c r="C2866"/>
      <c r="D2866"/>
      <c r="E2866"/>
      <c r="F2866"/>
      <c r="G2866"/>
      <c r="H2866"/>
    </row>
    <row r="2867" spans="1:8" ht="15">
      <c r="A2867"/>
      <c r="B2867"/>
      <c r="C2867"/>
      <c r="D2867"/>
      <c r="E2867"/>
      <c r="F2867"/>
      <c r="G2867"/>
      <c r="H2867"/>
    </row>
    <row r="2868" spans="1:8" ht="15">
      <c r="A2868"/>
      <c r="B2868"/>
      <c r="C2868"/>
      <c r="D2868"/>
      <c r="E2868"/>
      <c r="F2868"/>
      <c r="G2868"/>
      <c r="H2868"/>
    </row>
    <row r="2869" spans="1:8" ht="15">
      <c r="A2869"/>
      <c r="B2869"/>
      <c r="C2869"/>
      <c r="D2869"/>
      <c r="E2869"/>
      <c r="F2869"/>
      <c r="G2869"/>
      <c r="H2869"/>
    </row>
    <row r="2870" spans="1:8" ht="15">
      <c r="A2870"/>
      <c r="B2870"/>
      <c r="C2870"/>
      <c r="D2870"/>
      <c r="E2870"/>
      <c r="F2870"/>
      <c r="G2870"/>
      <c r="H2870"/>
    </row>
    <row r="2871" spans="1:8" ht="15">
      <c r="A2871"/>
      <c r="B2871"/>
      <c r="C2871"/>
      <c r="D2871"/>
      <c r="E2871"/>
      <c r="F2871"/>
      <c r="G2871"/>
      <c r="H2871"/>
    </row>
    <row r="2872" spans="1:8" ht="15">
      <c r="A2872"/>
      <c r="B2872"/>
      <c r="C2872"/>
      <c r="D2872"/>
      <c r="E2872"/>
      <c r="F2872"/>
      <c r="G2872"/>
      <c r="H2872"/>
    </row>
    <row r="2873" spans="1:8" ht="15">
      <c r="A2873"/>
      <c r="B2873"/>
      <c r="C2873"/>
      <c r="D2873"/>
      <c r="E2873"/>
      <c r="F2873"/>
      <c r="G2873"/>
      <c r="H2873"/>
    </row>
    <row r="2874" spans="1:8" ht="15">
      <c r="A2874"/>
      <c r="B2874"/>
      <c r="C2874"/>
      <c r="D2874"/>
      <c r="E2874"/>
      <c r="F2874"/>
      <c r="G2874"/>
      <c r="H2874"/>
    </row>
    <row r="2875" spans="1:8" ht="15">
      <c r="A2875"/>
      <c r="B2875"/>
      <c r="C2875"/>
      <c r="D2875"/>
      <c r="E2875"/>
      <c r="F2875"/>
      <c r="G2875"/>
      <c r="H2875"/>
    </row>
    <row r="2876" spans="1:8" ht="15">
      <c r="A2876"/>
      <c r="B2876"/>
      <c r="C2876"/>
      <c r="D2876"/>
      <c r="E2876"/>
      <c r="F2876"/>
      <c r="G2876"/>
      <c r="H2876"/>
    </row>
    <row r="2877" spans="1:8" ht="15">
      <c r="A2877"/>
      <c r="B2877"/>
      <c r="C2877"/>
      <c r="D2877"/>
      <c r="E2877"/>
      <c r="F2877"/>
      <c r="G2877"/>
      <c r="H2877"/>
    </row>
    <row r="2878" spans="1:8" ht="15">
      <c r="A2878"/>
      <c r="B2878"/>
      <c r="C2878"/>
      <c r="D2878"/>
      <c r="E2878"/>
      <c r="F2878"/>
      <c r="G2878"/>
      <c r="H2878"/>
    </row>
    <row r="2879" spans="1:8" ht="15">
      <c r="A2879"/>
      <c r="B2879"/>
      <c r="C2879"/>
      <c r="D2879"/>
      <c r="E2879"/>
      <c r="F2879"/>
      <c r="G2879"/>
      <c r="H2879"/>
    </row>
    <row r="2880" spans="1:8" ht="15">
      <c r="A2880"/>
      <c r="B2880"/>
      <c r="C2880"/>
      <c r="D2880"/>
      <c r="E2880"/>
      <c r="F2880"/>
      <c r="G2880"/>
      <c r="H2880"/>
    </row>
    <row r="2881" spans="1:8" ht="15">
      <c r="A2881"/>
      <c r="B2881"/>
      <c r="C2881"/>
      <c r="D2881"/>
      <c r="E2881"/>
      <c r="F2881"/>
      <c r="G2881"/>
      <c r="H2881"/>
    </row>
    <row r="2882" spans="1:8" ht="15">
      <c r="A2882"/>
      <c r="B2882"/>
      <c r="C2882"/>
      <c r="D2882"/>
      <c r="E2882"/>
      <c r="F2882"/>
      <c r="G2882"/>
      <c r="H2882"/>
    </row>
    <row r="2883" spans="1:8" ht="15">
      <c r="A2883"/>
      <c r="B2883"/>
      <c r="C2883"/>
      <c r="D2883"/>
      <c r="E2883"/>
      <c r="F2883"/>
      <c r="G2883"/>
      <c r="H2883"/>
    </row>
    <row r="2884" spans="1:8" ht="15">
      <c r="A2884"/>
      <c r="B2884"/>
      <c r="C2884"/>
      <c r="D2884"/>
      <c r="E2884"/>
      <c r="F2884"/>
      <c r="G2884"/>
      <c r="H2884"/>
    </row>
    <row r="2885" spans="1:8" ht="15">
      <c r="A2885"/>
      <c r="B2885"/>
      <c r="C2885"/>
      <c r="D2885"/>
      <c r="E2885"/>
      <c r="F2885"/>
      <c r="G2885"/>
      <c r="H2885"/>
    </row>
    <row r="2886" spans="1:8" ht="15">
      <c r="A2886"/>
      <c r="B2886"/>
      <c r="C2886"/>
      <c r="D2886"/>
      <c r="E2886"/>
      <c r="F2886"/>
      <c r="G2886"/>
      <c r="H2886"/>
    </row>
    <row r="2887" spans="1:8" ht="15">
      <c r="A2887"/>
      <c r="B2887"/>
      <c r="C2887"/>
      <c r="D2887"/>
      <c r="E2887"/>
      <c r="F2887"/>
      <c r="G2887"/>
      <c r="H2887"/>
    </row>
    <row r="2888" spans="1:8" ht="15">
      <c r="A2888"/>
      <c r="B2888"/>
      <c r="C2888"/>
      <c r="D2888"/>
      <c r="E2888"/>
      <c r="F2888"/>
      <c r="G2888"/>
      <c r="H2888"/>
    </row>
    <row r="2889" spans="1:8" ht="15">
      <c r="A2889"/>
      <c r="B2889"/>
      <c r="C2889"/>
      <c r="D2889"/>
      <c r="E2889"/>
      <c r="F2889"/>
      <c r="G2889"/>
      <c r="H2889"/>
    </row>
    <row r="2890" spans="1:8" ht="15">
      <c r="A2890"/>
      <c r="B2890"/>
      <c r="C2890"/>
      <c r="D2890"/>
      <c r="E2890"/>
      <c r="F2890"/>
      <c r="G2890"/>
      <c r="H2890"/>
    </row>
    <row r="2891" spans="1:8" ht="15">
      <c r="A2891"/>
      <c r="B2891"/>
      <c r="C2891"/>
      <c r="D2891"/>
      <c r="E2891"/>
      <c r="F2891"/>
      <c r="G2891"/>
      <c r="H2891"/>
    </row>
    <row r="2892" spans="1:8" ht="15">
      <c r="A2892"/>
      <c r="B2892"/>
      <c r="C2892"/>
      <c r="D2892"/>
      <c r="E2892"/>
      <c r="F2892"/>
      <c r="G2892"/>
      <c r="H2892"/>
    </row>
    <row r="2893" spans="1:8" ht="15">
      <c r="A2893"/>
      <c r="B2893"/>
      <c r="C2893"/>
      <c r="D2893"/>
      <c r="E2893"/>
      <c r="F2893"/>
      <c r="G2893"/>
      <c r="H2893"/>
    </row>
    <row r="2894" spans="1:8" ht="15">
      <c r="A2894"/>
      <c r="B2894"/>
      <c r="C2894"/>
      <c r="D2894"/>
      <c r="E2894"/>
      <c r="F2894"/>
      <c r="G2894"/>
      <c r="H2894"/>
    </row>
    <row r="2895" spans="1:8" ht="15">
      <c r="A2895"/>
      <c r="B2895"/>
      <c r="C2895"/>
      <c r="D2895"/>
      <c r="E2895"/>
      <c r="F2895"/>
      <c r="G2895"/>
      <c r="H2895"/>
    </row>
    <row r="2896" spans="1:8" ht="15">
      <c r="A2896"/>
      <c r="B2896"/>
      <c r="C2896"/>
      <c r="D2896"/>
      <c r="E2896"/>
      <c r="F2896"/>
      <c r="G2896"/>
      <c r="H2896"/>
    </row>
    <row r="2897" spans="1:8" ht="15">
      <c r="A2897"/>
      <c r="B2897"/>
      <c r="C2897"/>
      <c r="D2897"/>
      <c r="E2897"/>
      <c r="F2897"/>
      <c r="G2897"/>
      <c r="H2897"/>
    </row>
    <row r="2898" spans="1:8" ht="15">
      <c r="A2898"/>
      <c r="B2898"/>
      <c r="C2898"/>
      <c r="D2898"/>
      <c r="E2898"/>
      <c r="F2898"/>
      <c r="G2898"/>
      <c r="H2898"/>
    </row>
    <row r="2899" spans="1:8" ht="15">
      <c r="A2899"/>
      <c r="B2899"/>
      <c r="C2899"/>
      <c r="D2899"/>
      <c r="E2899"/>
      <c r="F2899"/>
      <c r="G2899"/>
      <c r="H2899"/>
    </row>
    <row r="2900" spans="1:8" ht="15">
      <c r="A2900"/>
      <c r="B2900"/>
      <c r="C2900"/>
      <c r="D2900"/>
      <c r="E2900"/>
      <c r="F2900"/>
      <c r="G2900"/>
      <c r="H2900"/>
    </row>
    <row r="2901" spans="1:8" ht="15">
      <c r="A2901"/>
      <c r="B2901"/>
      <c r="C2901"/>
      <c r="D2901"/>
      <c r="E2901"/>
      <c r="F2901"/>
      <c r="G2901"/>
      <c r="H2901"/>
    </row>
    <row r="2902" spans="1:8" ht="15">
      <c r="A2902"/>
      <c r="B2902"/>
      <c r="C2902"/>
      <c r="D2902"/>
      <c r="E2902"/>
      <c r="F2902"/>
      <c r="G2902"/>
      <c r="H2902"/>
    </row>
    <row r="2903" spans="1:8" ht="15">
      <c r="A2903"/>
      <c r="B2903"/>
      <c r="C2903"/>
      <c r="D2903"/>
      <c r="E2903"/>
      <c r="F2903"/>
      <c r="G2903"/>
      <c r="H2903"/>
    </row>
    <row r="2904" spans="1:8" ht="15">
      <c r="A2904"/>
      <c r="B2904"/>
      <c r="C2904"/>
      <c r="D2904"/>
      <c r="E2904"/>
      <c r="F2904"/>
      <c r="G2904"/>
      <c r="H2904"/>
    </row>
    <row r="2905" spans="1:8" ht="15">
      <c r="A2905"/>
      <c r="B2905"/>
      <c r="C2905"/>
      <c r="D2905"/>
      <c r="E2905"/>
      <c r="F2905"/>
      <c r="G2905"/>
      <c r="H2905"/>
    </row>
    <row r="2906" spans="1:8" ht="15">
      <c r="A2906"/>
      <c r="B2906"/>
      <c r="C2906"/>
      <c r="D2906"/>
      <c r="E2906"/>
      <c r="F2906"/>
      <c r="G2906"/>
      <c r="H2906"/>
    </row>
    <row r="2907" spans="1:8" ht="15">
      <c r="A2907"/>
      <c r="B2907"/>
      <c r="C2907"/>
      <c r="D2907"/>
      <c r="E2907"/>
      <c r="F2907"/>
      <c r="G2907"/>
      <c r="H2907"/>
    </row>
    <row r="2908" spans="1:8" ht="15">
      <c r="A2908"/>
      <c r="B2908"/>
      <c r="C2908"/>
      <c r="D2908"/>
      <c r="E2908"/>
      <c r="F2908"/>
      <c r="G2908"/>
      <c r="H2908"/>
    </row>
    <row r="2909" spans="1:8" ht="15">
      <c r="A2909"/>
      <c r="B2909"/>
      <c r="C2909"/>
      <c r="D2909"/>
      <c r="E2909"/>
      <c r="F2909"/>
      <c r="G2909"/>
      <c r="H2909"/>
    </row>
    <row r="2910" spans="1:8" ht="15">
      <c r="A2910"/>
      <c r="B2910"/>
      <c r="C2910"/>
      <c r="D2910"/>
      <c r="E2910"/>
      <c r="F2910"/>
      <c r="G2910"/>
      <c r="H2910"/>
    </row>
    <row r="2911" spans="1:8" ht="15">
      <c r="A2911"/>
      <c r="B2911"/>
      <c r="C2911"/>
      <c r="D2911"/>
      <c r="E2911"/>
      <c r="F2911"/>
      <c r="G2911"/>
      <c r="H2911"/>
    </row>
    <row r="2912" spans="1:8" ht="15">
      <c r="A2912"/>
      <c r="B2912"/>
      <c r="C2912"/>
      <c r="D2912"/>
      <c r="E2912"/>
      <c r="F2912"/>
      <c r="G2912"/>
      <c r="H2912"/>
    </row>
    <row r="2913" spans="1:8" ht="15">
      <c r="A2913"/>
      <c r="B2913"/>
      <c r="C2913"/>
      <c r="D2913"/>
      <c r="E2913"/>
      <c r="F2913"/>
      <c r="G2913"/>
      <c r="H2913"/>
    </row>
    <row r="2914" spans="1:8" ht="15">
      <c r="A2914"/>
      <c r="B2914"/>
      <c r="C2914"/>
      <c r="D2914"/>
      <c r="E2914"/>
      <c r="F2914"/>
      <c r="G2914"/>
      <c r="H2914"/>
    </row>
    <row r="2915" spans="1:8" ht="15">
      <c r="A2915"/>
      <c r="B2915"/>
      <c r="C2915"/>
      <c r="D2915"/>
      <c r="E2915"/>
      <c r="F2915"/>
      <c r="G2915"/>
      <c r="H2915"/>
    </row>
    <row r="2916" spans="1:8" ht="15">
      <c r="A2916"/>
      <c r="B2916"/>
      <c r="C2916"/>
      <c r="D2916"/>
      <c r="E2916"/>
      <c r="F2916"/>
      <c r="G2916"/>
      <c r="H2916"/>
    </row>
    <row r="2917" spans="1:8" ht="15">
      <c r="A2917"/>
      <c r="B2917"/>
      <c r="C2917"/>
      <c r="D2917"/>
      <c r="E2917"/>
      <c r="F2917"/>
      <c r="G2917"/>
      <c r="H2917"/>
    </row>
    <row r="2918" spans="1:8" ht="15">
      <c r="A2918"/>
      <c r="B2918"/>
      <c r="C2918"/>
      <c r="D2918"/>
      <c r="E2918"/>
      <c r="F2918"/>
      <c r="G2918"/>
      <c r="H2918"/>
    </row>
    <row r="2919" spans="1:8" ht="15">
      <c r="A2919"/>
      <c r="B2919"/>
      <c r="C2919"/>
      <c r="D2919"/>
      <c r="E2919"/>
      <c r="F2919"/>
      <c r="G2919"/>
      <c r="H2919"/>
    </row>
    <row r="2920" spans="1:8" ht="15">
      <c r="A2920"/>
      <c r="B2920"/>
      <c r="C2920"/>
      <c r="D2920"/>
      <c r="E2920"/>
      <c r="F2920"/>
      <c r="G2920"/>
      <c r="H2920"/>
    </row>
    <row r="2921" spans="1:8" ht="15">
      <c r="A2921"/>
      <c r="B2921"/>
      <c r="C2921"/>
      <c r="D2921"/>
      <c r="E2921"/>
      <c r="F2921"/>
      <c r="G2921"/>
      <c r="H2921"/>
    </row>
    <row r="2922" spans="1:8" ht="15">
      <c r="A2922"/>
      <c r="B2922"/>
      <c r="C2922"/>
      <c r="D2922"/>
      <c r="E2922"/>
      <c r="F2922"/>
      <c r="G2922"/>
      <c r="H2922"/>
    </row>
    <row r="2923" spans="1:8" ht="15">
      <c r="A2923"/>
      <c r="B2923"/>
      <c r="C2923"/>
      <c r="D2923"/>
      <c r="E2923"/>
      <c r="F2923"/>
      <c r="G2923"/>
      <c r="H2923"/>
    </row>
    <row r="2924" spans="1:8" ht="15">
      <c r="A2924"/>
      <c r="B2924"/>
      <c r="C2924"/>
      <c r="D2924"/>
      <c r="E2924"/>
      <c r="F2924"/>
      <c r="G2924"/>
      <c r="H2924"/>
    </row>
    <row r="2925" spans="1:8" ht="15">
      <c r="A2925"/>
      <c r="B2925"/>
      <c r="C2925"/>
      <c r="D2925"/>
      <c r="E2925"/>
      <c r="F2925"/>
      <c r="G2925"/>
      <c r="H2925"/>
    </row>
    <row r="2926" spans="1:8" ht="15">
      <c r="A2926"/>
      <c r="B2926"/>
      <c r="C2926"/>
      <c r="D2926"/>
      <c r="E2926"/>
      <c r="F2926"/>
      <c r="G2926"/>
      <c r="H2926"/>
    </row>
    <row r="2927" spans="1:8" ht="15">
      <c r="A2927"/>
      <c r="B2927"/>
      <c r="C2927"/>
      <c r="D2927"/>
      <c r="E2927"/>
      <c r="F2927"/>
      <c r="G2927"/>
      <c r="H2927"/>
    </row>
    <row r="2928" spans="1:8" ht="15">
      <c r="A2928"/>
      <c r="B2928"/>
      <c r="C2928"/>
      <c r="D2928"/>
      <c r="E2928"/>
      <c r="F2928"/>
      <c r="G2928"/>
      <c r="H2928"/>
    </row>
    <row r="2929" spans="1:8" ht="15">
      <c r="A2929"/>
      <c r="B2929"/>
      <c r="C2929"/>
      <c r="D2929"/>
      <c r="E2929"/>
      <c r="F2929"/>
      <c r="G2929"/>
      <c r="H2929"/>
    </row>
    <row r="2930" spans="1:8" ht="15">
      <c r="A2930"/>
      <c r="B2930"/>
      <c r="C2930"/>
      <c r="D2930"/>
      <c r="E2930"/>
      <c r="F2930"/>
      <c r="G2930"/>
      <c r="H2930"/>
    </row>
    <row r="2931" spans="1:8" ht="15">
      <c r="A2931"/>
      <c r="B2931"/>
      <c r="C2931"/>
      <c r="D2931"/>
      <c r="E2931"/>
      <c r="F2931"/>
      <c r="G2931"/>
      <c r="H2931"/>
    </row>
    <row r="2932" spans="1:8" ht="15">
      <c r="A2932"/>
      <c r="B2932"/>
      <c r="C2932"/>
      <c r="D2932"/>
      <c r="E2932"/>
      <c r="F2932"/>
      <c r="G2932"/>
      <c r="H2932"/>
    </row>
    <row r="2933" spans="1:8" ht="15">
      <c r="A2933"/>
      <c r="B2933"/>
      <c r="C2933"/>
      <c r="D2933"/>
      <c r="E2933"/>
      <c r="F2933"/>
      <c r="G2933"/>
      <c r="H2933"/>
    </row>
    <row r="2934" spans="1:8" ht="15">
      <c r="A2934"/>
      <c r="B2934"/>
      <c r="C2934"/>
      <c r="D2934"/>
      <c r="E2934"/>
      <c r="F2934"/>
      <c r="G2934"/>
      <c r="H2934"/>
    </row>
    <row r="2935" spans="1:8" ht="15">
      <c r="A2935"/>
      <c r="B2935"/>
      <c r="C2935"/>
      <c r="D2935"/>
      <c r="E2935"/>
      <c r="F2935"/>
      <c r="G2935"/>
      <c r="H2935"/>
    </row>
    <row r="2936" spans="1:8" ht="15">
      <c r="A2936"/>
      <c r="B2936"/>
      <c r="C2936"/>
      <c r="D2936"/>
      <c r="E2936"/>
      <c r="F2936"/>
      <c r="G2936"/>
      <c r="H2936"/>
    </row>
    <row r="2937" spans="1:8" ht="15">
      <c r="A2937"/>
      <c r="B2937"/>
      <c r="C2937"/>
      <c r="D2937"/>
      <c r="E2937"/>
      <c r="F2937"/>
      <c r="G2937"/>
      <c r="H2937"/>
    </row>
    <row r="2938" spans="1:8" ht="15">
      <c r="A2938"/>
      <c r="B2938"/>
      <c r="C2938"/>
      <c r="D2938"/>
      <c r="E2938"/>
      <c r="F2938"/>
      <c r="G2938"/>
      <c r="H2938"/>
    </row>
    <row r="2939" spans="1:8" ht="15">
      <c r="A2939"/>
      <c r="B2939"/>
      <c r="C2939"/>
      <c r="D2939"/>
      <c r="E2939"/>
      <c r="F2939"/>
      <c r="G2939"/>
      <c r="H2939"/>
    </row>
    <row r="2940" spans="1:8" ht="15">
      <c r="A2940"/>
      <c r="B2940"/>
      <c r="C2940"/>
      <c r="D2940"/>
      <c r="E2940"/>
      <c r="F2940"/>
      <c r="G2940"/>
      <c r="H2940"/>
    </row>
    <row r="2941" spans="1:8" ht="15">
      <c r="A2941"/>
      <c r="B2941"/>
      <c r="C2941"/>
      <c r="D2941"/>
      <c r="E2941"/>
      <c r="F2941"/>
      <c r="G2941"/>
      <c r="H2941"/>
    </row>
    <row r="2942" spans="1:8" ht="15">
      <c r="A2942"/>
      <c r="B2942"/>
      <c r="C2942"/>
      <c r="D2942"/>
      <c r="E2942"/>
      <c r="F2942"/>
      <c r="G2942"/>
      <c r="H2942"/>
    </row>
    <row r="2943" spans="1:8" ht="15">
      <c r="A2943"/>
      <c r="B2943"/>
      <c r="C2943"/>
      <c r="D2943"/>
      <c r="E2943"/>
      <c r="F2943"/>
      <c r="G2943"/>
      <c r="H2943"/>
    </row>
    <row r="2944" spans="1:8" ht="15">
      <c r="A2944"/>
      <c r="B2944"/>
      <c r="C2944"/>
      <c r="D2944"/>
      <c r="E2944"/>
      <c r="F2944"/>
      <c r="G2944"/>
      <c r="H2944"/>
    </row>
    <row r="2945" spans="1:8" ht="15">
      <c r="A2945"/>
      <c r="B2945"/>
      <c r="C2945"/>
      <c r="D2945"/>
      <c r="E2945"/>
      <c r="F2945"/>
      <c r="G2945"/>
      <c r="H2945"/>
    </row>
    <row r="2946" spans="1:8" ht="15">
      <c r="A2946"/>
      <c r="B2946"/>
      <c r="C2946"/>
      <c r="D2946"/>
      <c r="E2946"/>
      <c r="F2946"/>
      <c r="G2946"/>
      <c r="H2946"/>
    </row>
    <row r="2947" spans="1:8" ht="15">
      <c r="A2947"/>
      <c r="B2947"/>
      <c r="C2947"/>
      <c r="D2947"/>
      <c r="E2947"/>
      <c r="F2947"/>
      <c r="G2947"/>
      <c r="H2947"/>
    </row>
    <row r="2948" spans="1:8" ht="15">
      <c r="A2948"/>
      <c r="B2948"/>
      <c r="C2948"/>
      <c r="D2948"/>
      <c r="E2948"/>
      <c r="F2948"/>
      <c r="G2948"/>
      <c r="H2948"/>
    </row>
    <row r="2949" spans="1:8" ht="15">
      <c r="A2949"/>
      <c r="B2949"/>
      <c r="C2949"/>
      <c r="D2949"/>
      <c r="E2949"/>
      <c r="F2949"/>
      <c r="G2949"/>
      <c r="H2949"/>
    </row>
    <row r="2950" spans="1:8" ht="15">
      <c r="A2950"/>
      <c r="B2950"/>
      <c r="C2950"/>
      <c r="D2950"/>
      <c r="E2950"/>
      <c r="F2950"/>
      <c r="G2950"/>
      <c r="H2950"/>
    </row>
    <row r="2951" spans="1:8" ht="15">
      <c r="A2951"/>
      <c r="B2951"/>
      <c r="C2951"/>
      <c r="D2951"/>
      <c r="E2951"/>
      <c r="F2951"/>
      <c r="G2951"/>
      <c r="H2951"/>
    </row>
    <row r="2952" spans="1:8" ht="15">
      <c r="A2952"/>
      <c r="B2952"/>
      <c r="C2952"/>
      <c r="D2952"/>
      <c r="E2952"/>
      <c r="F2952"/>
      <c r="G2952"/>
      <c r="H2952"/>
    </row>
    <row r="2953" spans="1:8" ht="15">
      <c r="A2953"/>
      <c r="B2953"/>
      <c r="C2953"/>
      <c r="D2953"/>
      <c r="E2953"/>
      <c r="F2953"/>
      <c r="G2953"/>
      <c r="H2953"/>
    </row>
    <row r="2954" spans="1:8" ht="15">
      <c r="A2954"/>
      <c r="B2954"/>
      <c r="C2954"/>
      <c r="D2954"/>
      <c r="E2954"/>
      <c r="F2954"/>
      <c r="G2954"/>
      <c r="H2954"/>
    </row>
    <row r="2955" spans="1:8" ht="15">
      <c r="A2955"/>
      <c r="B2955"/>
      <c r="C2955"/>
      <c r="D2955"/>
      <c r="E2955"/>
      <c r="F2955"/>
      <c r="G2955"/>
      <c r="H2955"/>
    </row>
    <row r="2956" spans="1:8" ht="15">
      <c r="A2956"/>
      <c r="B2956"/>
      <c r="C2956"/>
      <c r="D2956"/>
      <c r="E2956"/>
      <c r="F2956"/>
      <c r="G2956"/>
      <c r="H2956"/>
    </row>
    <row r="2957" spans="1:8" ht="15">
      <c r="A2957"/>
      <c r="B2957"/>
      <c r="C2957"/>
      <c r="D2957"/>
      <c r="E2957"/>
      <c r="F2957"/>
      <c r="G2957"/>
      <c r="H2957"/>
    </row>
    <row r="2958" spans="1:8" ht="15">
      <c r="A2958"/>
      <c r="B2958"/>
      <c r="C2958"/>
      <c r="D2958"/>
      <c r="E2958"/>
      <c r="F2958"/>
      <c r="G2958"/>
      <c r="H2958"/>
    </row>
    <row r="2959" spans="1:8" ht="15">
      <c r="A2959"/>
      <c r="B2959"/>
      <c r="C2959"/>
      <c r="D2959"/>
      <c r="E2959"/>
      <c r="F2959"/>
      <c r="G2959"/>
      <c r="H2959"/>
    </row>
    <row r="2960" spans="1:8" ht="15">
      <c r="A2960"/>
      <c r="B2960"/>
      <c r="C2960"/>
      <c r="D2960"/>
      <c r="E2960"/>
      <c r="F2960"/>
      <c r="G2960"/>
      <c r="H2960"/>
    </row>
    <row r="2961" spans="1:8" ht="15">
      <c r="A2961"/>
      <c r="B2961"/>
      <c r="C2961"/>
      <c r="D2961"/>
      <c r="E2961"/>
      <c r="F2961"/>
      <c r="G2961"/>
      <c r="H2961"/>
    </row>
    <row r="2962" spans="1:8" ht="15">
      <c r="A2962"/>
      <c r="B2962"/>
      <c r="C2962"/>
      <c r="D2962"/>
      <c r="E2962"/>
      <c r="F2962"/>
      <c r="G2962"/>
      <c r="H2962"/>
    </row>
    <row r="2963" spans="1:8" ht="15">
      <c r="A2963"/>
      <c r="B2963"/>
      <c r="C2963"/>
      <c r="D2963"/>
      <c r="E2963"/>
      <c r="F2963"/>
      <c r="G2963"/>
      <c r="H2963"/>
    </row>
    <row r="2964" spans="1:8" ht="15">
      <c r="A2964"/>
      <c r="B2964"/>
      <c r="C2964"/>
      <c r="D2964"/>
      <c r="E2964"/>
      <c r="F2964"/>
      <c r="G2964"/>
      <c r="H2964"/>
    </row>
    <row r="2965" spans="1:8" ht="15">
      <c r="A2965"/>
      <c r="B2965"/>
      <c r="C2965"/>
      <c r="D2965"/>
      <c r="E2965"/>
      <c r="F2965"/>
      <c r="G2965"/>
      <c r="H2965"/>
    </row>
    <row r="2966" spans="1:8" ht="15">
      <c r="A2966"/>
      <c r="B2966"/>
      <c r="C2966"/>
      <c r="D2966"/>
      <c r="E2966"/>
      <c r="F2966"/>
      <c r="G2966"/>
      <c r="H2966"/>
    </row>
    <row r="2967" spans="1:8" ht="15">
      <c r="A2967"/>
      <c r="B2967"/>
      <c r="C2967"/>
      <c r="D2967"/>
      <c r="E2967"/>
      <c r="F2967"/>
      <c r="G2967"/>
      <c r="H2967"/>
    </row>
    <row r="2968" spans="1:8" ht="15">
      <c r="A2968"/>
      <c r="B2968"/>
      <c r="C2968"/>
      <c r="D2968"/>
      <c r="E2968"/>
      <c r="F2968"/>
      <c r="G2968"/>
      <c r="H2968"/>
    </row>
    <row r="2969" spans="1:8" ht="15">
      <c r="A2969"/>
      <c r="B2969"/>
      <c r="C2969"/>
      <c r="D2969"/>
      <c r="E2969"/>
      <c r="F2969"/>
      <c r="G2969"/>
      <c r="H2969"/>
    </row>
    <row r="2970" spans="1:8" ht="15">
      <c r="A2970"/>
      <c r="B2970"/>
      <c r="C2970"/>
      <c r="D2970"/>
      <c r="E2970"/>
      <c r="F2970"/>
      <c r="G2970"/>
      <c r="H2970"/>
    </row>
    <row r="2971" spans="1:8" ht="15">
      <c r="A2971"/>
      <c r="B2971"/>
      <c r="C2971"/>
      <c r="D2971"/>
      <c r="E2971"/>
      <c r="F2971"/>
      <c r="G2971"/>
      <c r="H2971"/>
    </row>
    <row r="2972" spans="1:8" ht="15">
      <c r="A2972"/>
      <c r="B2972"/>
      <c r="C2972"/>
      <c r="D2972"/>
      <c r="E2972"/>
      <c r="F2972"/>
      <c r="G2972"/>
      <c r="H2972"/>
    </row>
    <row r="2973" spans="1:8" ht="15">
      <c r="A2973"/>
      <c r="B2973"/>
      <c r="C2973"/>
      <c r="D2973"/>
      <c r="E2973"/>
      <c r="F2973"/>
      <c r="G2973"/>
      <c r="H2973"/>
    </row>
    <row r="2974" spans="1:8" ht="15">
      <c r="A2974"/>
      <c r="B2974"/>
      <c r="C2974"/>
      <c r="D2974"/>
      <c r="E2974"/>
      <c r="F2974"/>
      <c r="G2974"/>
      <c r="H2974"/>
    </row>
    <row r="2975" spans="1:8" ht="15">
      <c r="A2975"/>
      <c r="B2975"/>
      <c r="C2975"/>
      <c r="D2975"/>
      <c r="E2975"/>
      <c r="F2975"/>
      <c r="G2975"/>
      <c r="H2975"/>
    </row>
    <row r="2976" spans="1:8" ht="15">
      <c r="A2976"/>
      <c r="B2976"/>
      <c r="C2976"/>
      <c r="D2976"/>
      <c r="E2976"/>
      <c r="F2976"/>
      <c r="G2976"/>
      <c r="H2976"/>
    </row>
    <row r="2977" spans="1:8" ht="15">
      <c r="A2977"/>
      <c r="B2977"/>
      <c r="C2977"/>
      <c r="D2977"/>
      <c r="E2977"/>
      <c r="F2977"/>
      <c r="G2977"/>
      <c r="H2977"/>
    </row>
    <row r="2978" spans="1:8" ht="15">
      <c r="A2978"/>
      <c r="B2978"/>
      <c r="C2978"/>
      <c r="D2978"/>
      <c r="E2978"/>
      <c r="F2978"/>
      <c r="G2978"/>
      <c r="H2978"/>
    </row>
    <row r="2979" spans="1:8" ht="15">
      <c r="A2979"/>
      <c r="B2979"/>
      <c r="C2979"/>
      <c r="D2979"/>
      <c r="E2979"/>
      <c r="F2979"/>
      <c r="G2979"/>
      <c r="H2979"/>
    </row>
    <row r="2980" spans="1:8" ht="15">
      <c r="A2980"/>
      <c r="B2980"/>
      <c r="C2980"/>
      <c r="D2980"/>
      <c r="E2980"/>
      <c r="F2980"/>
      <c r="G2980"/>
      <c r="H2980"/>
    </row>
    <row r="2981" spans="1:8" ht="15">
      <c r="A2981"/>
      <c r="B2981"/>
      <c r="C2981"/>
      <c r="D2981"/>
      <c r="E2981"/>
      <c r="F2981"/>
      <c r="G2981"/>
      <c r="H2981"/>
    </row>
    <row r="2982" spans="1:8" ht="15">
      <c r="A2982"/>
      <c r="B2982"/>
      <c r="C2982"/>
      <c r="D2982"/>
      <c r="E2982"/>
      <c r="F2982"/>
      <c r="G2982"/>
      <c r="H2982"/>
    </row>
    <row r="2983" spans="1:8" ht="15">
      <c r="A2983"/>
      <c r="B2983"/>
      <c r="C2983"/>
      <c r="D2983"/>
      <c r="E2983"/>
      <c r="F2983"/>
      <c r="G2983"/>
      <c r="H2983"/>
    </row>
    <row r="2984" spans="1:8" ht="15">
      <c r="A2984"/>
      <c r="B2984"/>
      <c r="C2984"/>
      <c r="D2984"/>
      <c r="E2984"/>
      <c r="F2984"/>
      <c r="G2984"/>
      <c r="H2984"/>
    </row>
    <row r="2985" spans="1:8" ht="15">
      <c r="A2985"/>
      <c r="B2985"/>
      <c r="C2985"/>
      <c r="D2985"/>
      <c r="E2985"/>
      <c r="F2985"/>
      <c r="G2985"/>
      <c r="H2985"/>
    </row>
    <row r="2986" spans="1:8" ht="15">
      <c r="A2986"/>
      <c r="B2986"/>
      <c r="C2986"/>
      <c r="D2986"/>
      <c r="E2986"/>
      <c r="F2986"/>
      <c r="G2986"/>
      <c r="H2986"/>
    </row>
    <row r="2987" spans="1:8" ht="15">
      <c r="A2987"/>
      <c r="B2987"/>
      <c r="C2987"/>
      <c r="D2987"/>
      <c r="E2987"/>
      <c r="F2987"/>
      <c r="G2987"/>
      <c r="H2987"/>
    </row>
    <row r="2988" spans="1:8" ht="15">
      <c r="A2988"/>
      <c r="B2988"/>
      <c r="C2988"/>
      <c r="D2988"/>
      <c r="E2988"/>
      <c r="F2988"/>
      <c r="G2988"/>
      <c r="H2988"/>
    </row>
    <row r="2989" spans="1:8" ht="15">
      <c r="A2989"/>
      <c r="B2989"/>
      <c r="C2989"/>
      <c r="D2989"/>
      <c r="E2989"/>
      <c r="F2989"/>
      <c r="G2989"/>
      <c r="H2989"/>
    </row>
    <row r="2990" spans="1:8" ht="15">
      <c r="A2990"/>
      <c r="B2990"/>
      <c r="C2990"/>
      <c r="D2990"/>
      <c r="E2990"/>
      <c r="F2990"/>
      <c r="G2990"/>
      <c r="H2990"/>
    </row>
    <row r="2991" spans="1:8" ht="15">
      <c r="A2991"/>
      <c r="B2991"/>
      <c r="C2991"/>
      <c r="D2991"/>
      <c r="E2991"/>
      <c r="F2991"/>
      <c r="G2991"/>
      <c r="H2991"/>
    </row>
    <row r="2992" spans="1:8" ht="15">
      <c r="A2992"/>
      <c r="B2992"/>
      <c r="C2992"/>
      <c r="D2992"/>
      <c r="E2992"/>
      <c r="F2992"/>
      <c r="G2992"/>
      <c r="H2992"/>
    </row>
    <row r="2993" spans="1:8" ht="15">
      <c r="A2993"/>
      <c r="B2993"/>
      <c r="C2993"/>
      <c r="D2993"/>
      <c r="E2993"/>
      <c r="F2993"/>
      <c r="G2993"/>
      <c r="H2993"/>
    </row>
    <row r="2994" spans="1:8" ht="15">
      <c r="A2994"/>
      <c r="B2994"/>
      <c r="C2994"/>
      <c r="D2994"/>
      <c r="E2994"/>
      <c r="F2994"/>
      <c r="G2994"/>
      <c r="H2994"/>
    </row>
    <row r="2995" spans="1:8" ht="15">
      <c r="A2995"/>
      <c r="B2995"/>
      <c r="C2995"/>
      <c r="D2995"/>
      <c r="E2995"/>
      <c r="F2995"/>
      <c r="G2995"/>
      <c r="H2995"/>
    </row>
    <row r="2996" spans="1:8" ht="15">
      <c r="A2996"/>
      <c r="B2996"/>
      <c r="C2996"/>
      <c r="D2996"/>
      <c r="E2996"/>
      <c r="F2996"/>
      <c r="G2996"/>
      <c r="H2996"/>
    </row>
    <row r="2997" spans="1:8" ht="15">
      <c r="A2997"/>
      <c r="B2997"/>
      <c r="C2997"/>
      <c r="D2997"/>
      <c r="E2997"/>
      <c r="F2997"/>
      <c r="G2997"/>
      <c r="H2997"/>
    </row>
    <row r="2998" spans="1:8" ht="15">
      <c r="A2998"/>
      <c r="B2998"/>
      <c r="C2998"/>
      <c r="D2998"/>
      <c r="E2998"/>
      <c r="F2998"/>
      <c r="G2998"/>
      <c r="H2998"/>
    </row>
    <row r="2999" spans="1:8" ht="15">
      <c r="A2999"/>
      <c r="B2999"/>
      <c r="C2999"/>
      <c r="D2999"/>
      <c r="E2999"/>
      <c r="F2999"/>
      <c r="G2999"/>
      <c r="H2999"/>
    </row>
    <row r="3000" spans="1:8" ht="15">
      <c r="A3000"/>
      <c r="B3000"/>
      <c r="C3000"/>
      <c r="D3000"/>
      <c r="E3000"/>
      <c r="F3000"/>
      <c r="G3000"/>
      <c r="H3000"/>
    </row>
    <row r="3001" spans="1:8" ht="15">
      <c r="A3001"/>
      <c r="B3001"/>
      <c r="C3001"/>
      <c r="D3001"/>
      <c r="E3001"/>
      <c r="F3001"/>
      <c r="G3001"/>
      <c r="H3001"/>
    </row>
    <row r="3002" spans="1:8" ht="15">
      <c r="A3002"/>
      <c r="B3002"/>
      <c r="C3002"/>
      <c r="D3002"/>
      <c r="E3002"/>
      <c r="F3002"/>
      <c r="G3002"/>
      <c r="H3002"/>
    </row>
    <row r="3003" spans="1:8" ht="15">
      <c r="A3003"/>
      <c r="B3003"/>
      <c r="C3003"/>
      <c r="D3003"/>
      <c r="E3003"/>
      <c r="F3003"/>
      <c r="G3003"/>
      <c r="H3003"/>
    </row>
    <row r="3004" spans="1:8" ht="15">
      <c r="A3004"/>
      <c r="B3004"/>
      <c r="C3004"/>
      <c r="D3004"/>
      <c r="E3004"/>
      <c r="F3004"/>
      <c r="G3004"/>
      <c r="H3004"/>
    </row>
    <row r="3005" spans="1:8" ht="15">
      <c r="A3005"/>
      <c r="B3005"/>
      <c r="C3005"/>
      <c r="D3005"/>
      <c r="E3005"/>
      <c r="F3005"/>
      <c r="G3005"/>
      <c r="H3005"/>
    </row>
    <row r="3006" spans="1:8" ht="15">
      <c r="A3006"/>
      <c r="B3006"/>
      <c r="C3006"/>
      <c r="D3006"/>
      <c r="E3006"/>
      <c r="F3006"/>
      <c r="G3006"/>
      <c r="H3006"/>
    </row>
    <row r="3007" spans="1:8" ht="15">
      <c r="A3007"/>
      <c r="B3007"/>
      <c r="C3007"/>
      <c r="D3007"/>
      <c r="E3007"/>
      <c r="F3007"/>
      <c r="G3007"/>
      <c r="H3007"/>
    </row>
    <row r="3008" spans="1:8" ht="15">
      <c r="A3008"/>
      <c r="B3008"/>
      <c r="C3008"/>
      <c r="D3008"/>
      <c r="E3008"/>
      <c r="F3008"/>
      <c r="G3008"/>
      <c r="H3008"/>
    </row>
    <row r="3009" spans="1:8" ht="15">
      <c r="A3009"/>
      <c r="B3009"/>
      <c r="C3009"/>
      <c r="D3009"/>
      <c r="E3009"/>
      <c r="F3009"/>
      <c r="G3009"/>
      <c r="H3009"/>
    </row>
    <row r="3010" spans="1:8" ht="15">
      <c r="A3010"/>
      <c r="B3010"/>
      <c r="C3010"/>
      <c r="D3010"/>
      <c r="E3010"/>
      <c r="F3010"/>
      <c r="G3010"/>
      <c r="H3010"/>
    </row>
    <row r="3011" spans="1:8" ht="15">
      <c r="A3011"/>
      <c r="B3011"/>
      <c r="C3011"/>
      <c r="D3011"/>
      <c r="E3011"/>
      <c r="F3011"/>
      <c r="G3011"/>
      <c r="H3011"/>
    </row>
    <row r="3012" spans="1:8" ht="15">
      <c r="A3012"/>
      <c r="B3012"/>
      <c r="C3012"/>
      <c r="D3012"/>
      <c r="E3012"/>
      <c r="F3012"/>
      <c r="G3012"/>
      <c r="H3012"/>
    </row>
    <row r="3013" spans="1:8" ht="15">
      <c r="A3013"/>
      <c r="B3013"/>
      <c r="C3013"/>
      <c r="D3013"/>
      <c r="E3013"/>
      <c r="F3013"/>
      <c r="G3013"/>
      <c r="H3013"/>
    </row>
    <row r="3014" spans="1:8" ht="15">
      <c r="A3014"/>
      <c r="B3014"/>
      <c r="C3014"/>
      <c r="D3014"/>
      <c r="E3014"/>
      <c r="F3014"/>
      <c r="G3014"/>
      <c r="H3014"/>
    </row>
    <row r="3015" spans="1:8" ht="15">
      <c r="A3015"/>
      <c r="B3015"/>
      <c r="C3015"/>
      <c r="D3015"/>
      <c r="E3015"/>
      <c r="F3015"/>
      <c r="G3015"/>
      <c r="H3015"/>
    </row>
    <row r="3016" spans="1:8" ht="15">
      <c r="A3016"/>
      <c r="B3016"/>
      <c r="C3016"/>
      <c r="D3016"/>
      <c r="E3016"/>
      <c r="F3016"/>
      <c r="G3016"/>
      <c r="H3016"/>
    </row>
    <row r="3017" spans="1:8" ht="15">
      <c r="A3017"/>
      <c r="B3017"/>
      <c r="C3017"/>
      <c r="D3017"/>
      <c r="E3017"/>
      <c r="F3017"/>
      <c r="G3017"/>
      <c r="H3017"/>
    </row>
    <row r="3018" spans="1:8" ht="15">
      <c r="A3018"/>
      <c r="B3018"/>
      <c r="C3018"/>
      <c r="D3018"/>
      <c r="E3018"/>
      <c r="F3018"/>
      <c r="G3018"/>
      <c r="H3018"/>
    </row>
    <row r="3019" spans="1:8" ht="15">
      <c r="A3019"/>
      <c r="B3019"/>
      <c r="C3019"/>
      <c r="D3019"/>
      <c r="E3019"/>
      <c r="F3019"/>
      <c r="G3019"/>
      <c r="H3019"/>
    </row>
    <row r="3020" spans="1:8" ht="15">
      <c r="A3020"/>
      <c r="B3020"/>
      <c r="C3020"/>
      <c r="D3020"/>
      <c r="E3020"/>
      <c r="F3020"/>
      <c r="G3020"/>
      <c r="H3020"/>
    </row>
    <row r="3021" spans="1:8" ht="15">
      <c r="A3021"/>
      <c r="B3021"/>
      <c r="C3021"/>
      <c r="D3021"/>
      <c r="E3021"/>
      <c r="F3021"/>
      <c r="G3021"/>
      <c r="H3021"/>
    </row>
    <row r="3022" spans="1:8" ht="15">
      <c r="A3022"/>
      <c r="B3022"/>
      <c r="C3022"/>
      <c r="D3022"/>
      <c r="E3022"/>
      <c r="F3022"/>
      <c r="G3022"/>
      <c r="H3022"/>
    </row>
    <row r="3023" spans="1:8" ht="15">
      <c r="A3023"/>
      <c r="B3023"/>
      <c r="C3023"/>
      <c r="D3023"/>
      <c r="E3023"/>
      <c r="F3023"/>
      <c r="G3023"/>
      <c r="H3023"/>
    </row>
    <row r="3024" spans="1:8" ht="15">
      <c r="A3024"/>
      <c r="B3024"/>
      <c r="C3024"/>
      <c r="D3024"/>
      <c r="E3024"/>
      <c r="F3024"/>
      <c r="G3024"/>
      <c r="H3024"/>
    </row>
    <row r="3025" spans="1:8" ht="15">
      <c r="A3025"/>
      <c r="B3025"/>
      <c r="C3025"/>
      <c r="D3025"/>
      <c r="E3025"/>
      <c r="F3025"/>
      <c r="G3025"/>
      <c r="H3025"/>
    </row>
    <row r="3026" spans="1:8" ht="15">
      <c r="A3026"/>
      <c r="B3026"/>
      <c r="C3026"/>
      <c r="D3026"/>
      <c r="E3026"/>
      <c r="F3026"/>
      <c r="G3026"/>
      <c r="H3026"/>
    </row>
    <row r="3027" spans="1:8" ht="15">
      <c r="A3027"/>
      <c r="B3027"/>
      <c r="C3027"/>
      <c r="D3027"/>
      <c r="E3027"/>
      <c r="F3027"/>
      <c r="G3027"/>
      <c r="H3027"/>
    </row>
    <row r="3028" spans="1:8" ht="15">
      <c r="A3028"/>
      <c r="B3028"/>
      <c r="C3028"/>
      <c r="D3028"/>
      <c r="E3028"/>
      <c r="F3028"/>
      <c r="G3028"/>
      <c r="H3028"/>
    </row>
    <row r="3029" spans="1:8" ht="15">
      <c r="A3029"/>
      <c r="B3029"/>
      <c r="C3029"/>
      <c r="D3029"/>
      <c r="E3029"/>
      <c r="F3029"/>
      <c r="G3029"/>
      <c r="H3029"/>
    </row>
    <row r="3030" spans="1:8" ht="15">
      <c r="A3030"/>
      <c r="B3030"/>
      <c r="C3030"/>
      <c r="D3030"/>
      <c r="E3030"/>
      <c r="F3030"/>
      <c r="G3030"/>
      <c r="H3030"/>
    </row>
  </sheetData>
  <pageMargins left="0.70866141732283472" right="0.70866141732283472" top="0.74803149606299213" bottom="0.85416666666666663" header="0.31496062992125984" footer="0.31496062992125984"/>
  <pageSetup paperSize="9" scale="105" orientation="portrait" r:id="rId2"/>
  <headerFooter>
    <oddHeader>&amp;L&amp;"-,Bold"&amp;12บัญชีรายวันทั่วไป&amp;R&amp;"-,Bold"&amp;10หน้าที่ &amp;P/&amp;N</oddHeader>
    <oddFooter>&amp;L&amp;10ผู้บันทึก....................&amp;R&amp;10ผู้ตรวจสอบ....................</oddFooter>
  </headerFooter>
  <drawing r:id="rId3"/>
  <legacyDrawing r:id="rId4"/>
  <controls>
    <mc:AlternateContent xmlns:mc="http://schemas.openxmlformats.org/markup-compatibility/2006">
      <mc:Choice Requires="x14">
        <control shapeId="7170" r:id="rId5" name="Label1">
          <controlPr defaultSize="0" print="0" autoLine="0" autoPict="0" r:id="rId6">
            <anchor moveWithCells="1">
              <from>
                <xdr:col>8</xdr:col>
                <xdr:colOff>38100</xdr:colOff>
                <xdr:row>2</xdr:row>
                <xdr:rowOff>19050</xdr:rowOff>
              </from>
              <to>
                <xdr:col>11</xdr:col>
                <xdr:colOff>9525</xdr:colOff>
                <xdr:row>3</xdr:row>
                <xdr:rowOff>104775</xdr:rowOff>
              </to>
            </anchor>
          </controlPr>
        </control>
      </mc:Choice>
      <mc:Fallback>
        <control shapeId="7170" r:id="rId5" name="Label1"/>
      </mc:Fallback>
    </mc:AlternateContent>
    <mc:AlternateContent xmlns:mc="http://schemas.openxmlformats.org/markup-compatibility/2006">
      <mc:Choice Requires="x14">
        <control shapeId="7169" r:id="rId7" name="Button 1">
          <controlPr defaultSize="0" print="0" autoFill="0" autoPict="0" macro="[0]!Button1_Click">
            <anchor moveWithCells="1" sizeWithCells="1">
              <from>
                <xdr:col>11</xdr:col>
                <xdr:colOff>419100</xdr:colOff>
                <xdr:row>2</xdr:row>
                <xdr:rowOff>19050</xdr:rowOff>
              </from>
              <to>
                <xdr:col>13</xdr:col>
                <xdr:colOff>276225</xdr:colOff>
                <xdr:row>3</xdr:row>
                <xdr:rowOff>133350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2048"/>
  <sheetViews>
    <sheetView topLeftCell="A3" zoomScale="130" zoomScaleNormal="130" workbookViewId="0">
      <pane xSplit="1" ySplit="2" topLeftCell="B5" activePane="bottomRight" state="frozen"/>
      <selection pane="topRight" activeCell="B21" activeCellId="1" sqref="B21 B21"/>
      <selection pane="bottomLeft" activeCell="B21" activeCellId="1" sqref="B21 B21"/>
      <selection pane="bottomRight" activeCell="H22" sqref="H22"/>
    </sheetView>
  </sheetViews>
  <sheetFormatPr defaultColWidth="9" defaultRowHeight="12"/>
  <cols>
    <col min="1" max="1" width="7.7109375" style="13" customWidth="1"/>
    <col min="2" max="2" width="2.28515625" style="13" customWidth="1"/>
    <col min="3" max="3" width="9.140625" style="19" bestFit="1" customWidth="1"/>
    <col min="4" max="4" width="34.7109375" style="16" customWidth="1"/>
    <col min="5" max="6" width="15.85546875" style="30" customWidth="1"/>
    <col min="7" max="7" width="13.7109375" style="13" customWidth="1"/>
    <col min="8" max="16384" width="9" style="13"/>
  </cols>
  <sheetData>
    <row r="1" spans="1:7" ht="15" hidden="1">
      <c r="A1"/>
      <c r="B1"/>
    </row>
    <row r="2" spans="1:7" hidden="1"/>
    <row r="3" spans="1:7" ht="15">
      <c r="C3" s="13"/>
      <c r="D3" s="13"/>
      <c r="E3" s="14" t="s">
        <v>147</v>
      </c>
      <c r="F3" s="13"/>
      <c r="G3"/>
    </row>
    <row r="4" spans="1:7" ht="15">
      <c r="A4" s="14" t="s">
        <v>40</v>
      </c>
      <c r="B4" s="14" t="s">
        <v>151</v>
      </c>
      <c r="C4" s="17" t="s">
        <v>136</v>
      </c>
      <c r="D4" s="14" t="s">
        <v>139</v>
      </c>
      <c r="E4" s="31" t="s">
        <v>44</v>
      </c>
      <c r="F4" s="31" t="s">
        <v>45</v>
      </c>
      <c r="G4"/>
    </row>
    <row r="5" spans="1:7" ht="15">
      <c r="A5" s="13">
        <v>101001</v>
      </c>
      <c r="B5" s="13" t="s">
        <v>47</v>
      </c>
      <c r="C5" s="13"/>
      <c r="D5" s="13"/>
      <c r="E5" s="32"/>
      <c r="F5" s="32"/>
      <c r="G5"/>
    </row>
    <row r="6" spans="1:7" ht="15">
      <c r="C6" s="112">
        <v>243995</v>
      </c>
      <c r="D6" s="13" t="s">
        <v>161</v>
      </c>
      <c r="E6" s="32">
        <v>15650</v>
      </c>
      <c r="F6" s="32">
        <v>15650</v>
      </c>
      <c r="G6"/>
    </row>
    <row r="7" spans="1:7" ht="15">
      <c r="C7" s="112">
        <v>244026</v>
      </c>
      <c r="D7" s="13" t="s">
        <v>161</v>
      </c>
      <c r="E7" s="32">
        <v>7790</v>
      </c>
      <c r="F7" s="32">
        <v>7790</v>
      </c>
      <c r="G7"/>
    </row>
    <row r="8" spans="1:7" ht="15">
      <c r="C8" s="112">
        <v>244055</v>
      </c>
      <c r="D8" s="13" t="s">
        <v>161</v>
      </c>
      <c r="E8" s="32">
        <v>4050</v>
      </c>
      <c r="F8" s="32">
        <v>4050</v>
      </c>
      <c r="G8"/>
    </row>
    <row r="9" spans="1:7" ht="15">
      <c r="C9" s="112">
        <v>244086</v>
      </c>
      <c r="D9" s="13" t="s">
        <v>161</v>
      </c>
      <c r="E9" s="32">
        <v>2980</v>
      </c>
      <c r="F9" s="32">
        <v>2980</v>
      </c>
      <c r="G9"/>
    </row>
    <row r="10" spans="1:7" ht="15">
      <c r="C10" s="112">
        <v>244116</v>
      </c>
      <c r="D10" s="13" t="s">
        <v>161</v>
      </c>
      <c r="E10" s="32">
        <v>5090</v>
      </c>
      <c r="F10" s="32">
        <v>5090</v>
      </c>
      <c r="G10"/>
    </row>
    <row r="11" spans="1:7" ht="15">
      <c r="C11" s="112">
        <v>244147</v>
      </c>
      <c r="D11" s="13" t="s">
        <v>161</v>
      </c>
      <c r="E11" s="32">
        <v>4060</v>
      </c>
      <c r="F11" s="32">
        <v>4060</v>
      </c>
      <c r="G11"/>
    </row>
    <row r="12" spans="1:7" ht="15">
      <c r="C12" s="112">
        <v>244177</v>
      </c>
      <c r="D12" s="13" t="s">
        <v>161</v>
      </c>
      <c r="E12" s="32">
        <v>2700</v>
      </c>
      <c r="F12" s="32">
        <v>2700</v>
      </c>
      <c r="G12"/>
    </row>
    <row r="13" spans="1:7" ht="15">
      <c r="C13" s="112">
        <v>244208</v>
      </c>
      <c r="D13" s="13" t="s">
        <v>161</v>
      </c>
      <c r="E13" s="32">
        <v>6390</v>
      </c>
      <c r="F13" s="32">
        <v>6390</v>
      </c>
      <c r="G13"/>
    </row>
    <row r="14" spans="1:7" ht="15">
      <c r="C14" s="112">
        <v>244239</v>
      </c>
      <c r="D14" s="13" t="s">
        <v>162</v>
      </c>
      <c r="E14" s="32">
        <v>1990</v>
      </c>
      <c r="F14" s="32">
        <v>1990</v>
      </c>
      <c r="G14"/>
    </row>
    <row r="15" spans="1:7" ht="15">
      <c r="C15" s="112">
        <v>244269</v>
      </c>
      <c r="D15" s="13" t="s">
        <v>161</v>
      </c>
      <c r="E15" s="32">
        <v>4580</v>
      </c>
      <c r="F15" s="32">
        <v>4580</v>
      </c>
      <c r="G15"/>
    </row>
    <row r="16" spans="1:7" ht="15">
      <c r="C16" s="112">
        <v>244300</v>
      </c>
      <c r="D16" s="13" t="s">
        <v>161</v>
      </c>
      <c r="E16" s="32">
        <v>1720</v>
      </c>
      <c r="F16" s="32">
        <v>1720</v>
      </c>
      <c r="G16"/>
    </row>
    <row r="17" spans="3:7" ht="15">
      <c r="C17" s="112">
        <v>244330</v>
      </c>
      <c r="D17" s="13" t="s">
        <v>161</v>
      </c>
      <c r="E17" s="32">
        <v>4120</v>
      </c>
      <c r="F17" s="32">
        <v>4120</v>
      </c>
      <c r="G17"/>
    </row>
    <row r="18" spans="3:7" ht="15">
      <c r="C18" s="13" t="s">
        <v>168</v>
      </c>
      <c r="D18" s="13" t="s">
        <v>161</v>
      </c>
      <c r="E18" s="32">
        <v>3550</v>
      </c>
      <c r="F18" s="32">
        <v>3550</v>
      </c>
      <c r="G18"/>
    </row>
    <row r="19" spans="3:7" ht="15">
      <c r="C19" s="13" t="s">
        <v>169</v>
      </c>
      <c r="D19" s="13" t="s">
        <v>161</v>
      </c>
      <c r="E19" s="32">
        <v>3410</v>
      </c>
      <c r="F19" s="32">
        <v>3410</v>
      </c>
      <c r="G19"/>
    </row>
    <row r="20" spans="3:7" ht="15">
      <c r="C20" s="13" t="s">
        <v>170</v>
      </c>
      <c r="D20" s="13" t="s">
        <v>161</v>
      </c>
      <c r="E20" s="32">
        <v>3950</v>
      </c>
      <c r="F20" s="32">
        <v>3950</v>
      </c>
      <c r="G20"/>
    </row>
    <row r="21" spans="3:7" ht="15">
      <c r="C21" s="13" t="s">
        <v>171</v>
      </c>
      <c r="D21" s="13" t="s">
        <v>161</v>
      </c>
      <c r="E21" s="32">
        <v>3100</v>
      </c>
      <c r="F21" s="32">
        <v>3100</v>
      </c>
      <c r="G21"/>
    </row>
    <row r="22" spans="3:7" ht="15">
      <c r="C22" s="13" t="s">
        <v>172</v>
      </c>
      <c r="D22" s="13" t="s">
        <v>161</v>
      </c>
      <c r="E22" s="32">
        <v>1470</v>
      </c>
      <c r="F22" s="32">
        <v>1470</v>
      </c>
      <c r="G22"/>
    </row>
    <row r="23" spans="3:7" ht="15">
      <c r="C23" s="13" t="s">
        <v>173</v>
      </c>
      <c r="D23" s="13" t="s">
        <v>161</v>
      </c>
      <c r="E23" s="32">
        <v>1750</v>
      </c>
      <c r="F23" s="32">
        <v>1750</v>
      </c>
      <c r="G23"/>
    </row>
    <row r="24" spans="3:7" ht="15">
      <c r="C24" s="13" t="s">
        <v>174</v>
      </c>
      <c r="D24" s="13" t="s">
        <v>161</v>
      </c>
      <c r="E24" s="32">
        <v>4390</v>
      </c>
      <c r="F24" s="32">
        <v>4390</v>
      </c>
      <c r="G24"/>
    </row>
    <row r="25" spans="3:7" ht="15">
      <c r="C25" s="13" t="s">
        <v>175</v>
      </c>
      <c r="D25" s="13" t="s">
        <v>161</v>
      </c>
      <c r="E25" s="32">
        <v>1960</v>
      </c>
      <c r="F25" s="32">
        <v>1960</v>
      </c>
      <c r="G25"/>
    </row>
    <row r="26" spans="3:7" ht="15">
      <c r="C26" s="13" t="s">
        <v>176</v>
      </c>
      <c r="D26" s="13" t="s">
        <v>161</v>
      </c>
      <c r="E26" s="32">
        <v>3580</v>
      </c>
      <c r="F26" s="32">
        <v>3580</v>
      </c>
      <c r="G26"/>
    </row>
    <row r="27" spans="3:7" ht="15">
      <c r="C27" s="13" t="s">
        <v>177</v>
      </c>
      <c r="D27" s="13" t="s">
        <v>161</v>
      </c>
      <c r="E27" s="32">
        <v>2660</v>
      </c>
      <c r="F27" s="32">
        <v>2660</v>
      </c>
      <c r="G27"/>
    </row>
    <row r="28" spans="3:7" ht="15">
      <c r="C28" s="13" t="s">
        <v>178</v>
      </c>
      <c r="D28" s="13" t="s">
        <v>161</v>
      </c>
      <c r="E28" s="32">
        <v>3650</v>
      </c>
      <c r="F28" s="32">
        <v>3650</v>
      </c>
      <c r="G28"/>
    </row>
    <row r="29" spans="3:7" ht="15">
      <c r="C29" s="13" t="s">
        <v>179</v>
      </c>
      <c r="D29" s="13" t="s">
        <v>161</v>
      </c>
      <c r="E29" s="32">
        <v>3690</v>
      </c>
      <c r="F29" s="32">
        <v>3690</v>
      </c>
      <c r="G29"/>
    </row>
    <row r="30" spans="3:7" ht="15">
      <c r="C30" s="13" t="s">
        <v>180</v>
      </c>
      <c r="D30" s="13" t="s">
        <v>161</v>
      </c>
      <c r="E30" s="32">
        <v>3720</v>
      </c>
      <c r="F30" s="32">
        <v>3720</v>
      </c>
      <c r="G30"/>
    </row>
    <row r="31" spans="3:7" ht="15">
      <c r="C31" s="13" t="s">
        <v>181</v>
      </c>
      <c r="D31" s="13" t="s">
        <v>161</v>
      </c>
      <c r="E31" s="32">
        <v>4110</v>
      </c>
      <c r="F31" s="32">
        <v>4110</v>
      </c>
      <c r="G31"/>
    </row>
    <row r="32" spans="3:7" ht="15">
      <c r="C32" s="13" t="s">
        <v>182</v>
      </c>
      <c r="D32" s="13" t="s">
        <v>161</v>
      </c>
      <c r="E32" s="32">
        <v>3270</v>
      </c>
      <c r="F32" s="32">
        <v>3270</v>
      </c>
      <c r="G32"/>
    </row>
    <row r="33" spans="1:7" ht="15">
      <c r="C33" s="13" t="s">
        <v>183</v>
      </c>
      <c r="D33" s="13" t="s">
        <v>161</v>
      </c>
      <c r="E33" s="32">
        <v>6590</v>
      </c>
      <c r="F33" s="32">
        <v>6590</v>
      </c>
      <c r="G33"/>
    </row>
    <row r="34" spans="1:7" ht="15">
      <c r="C34" s="13" t="s">
        <v>184</v>
      </c>
      <c r="D34" s="13" t="s">
        <v>161</v>
      </c>
      <c r="E34" s="32">
        <v>4760</v>
      </c>
      <c r="F34" s="32">
        <v>4760</v>
      </c>
      <c r="G34"/>
    </row>
    <row r="35" spans="1:7" ht="15">
      <c r="C35" s="13" t="s">
        <v>187</v>
      </c>
      <c r="D35" s="13" t="s">
        <v>161</v>
      </c>
      <c r="E35" s="32">
        <v>3810</v>
      </c>
      <c r="F35" s="32">
        <v>3810</v>
      </c>
      <c r="G35"/>
    </row>
    <row r="36" spans="1:7" ht="15">
      <c r="C36" s="13" t="s">
        <v>188</v>
      </c>
      <c r="D36" s="13" t="s">
        <v>161</v>
      </c>
      <c r="E36" s="32">
        <v>5930</v>
      </c>
      <c r="F36" s="32">
        <v>5930</v>
      </c>
      <c r="G36"/>
    </row>
    <row r="37" spans="1:7" ht="15">
      <c r="A37" s="13">
        <v>101002</v>
      </c>
      <c r="B37" s="13" t="s">
        <v>48</v>
      </c>
      <c r="C37" s="13"/>
      <c r="D37" s="13"/>
      <c r="E37" s="32"/>
      <c r="F37" s="32"/>
      <c r="G37"/>
    </row>
    <row r="38" spans="1:7" ht="15">
      <c r="C38" s="112">
        <v>243995</v>
      </c>
      <c r="D38" s="13" t="s">
        <v>161</v>
      </c>
      <c r="E38" s="32">
        <v>15650</v>
      </c>
      <c r="F38" s="32"/>
      <c r="G38"/>
    </row>
    <row r="39" spans="1:7" ht="15">
      <c r="C39" s="112">
        <v>243995</v>
      </c>
      <c r="D39" s="13" t="s">
        <v>163</v>
      </c>
      <c r="E39" s="32">
        <v>3252387.82</v>
      </c>
      <c r="F39" s="32"/>
      <c r="G39"/>
    </row>
    <row r="40" spans="1:7" ht="15">
      <c r="C40" s="112">
        <v>244026</v>
      </c>
      <c r="D40" s="13" t="s">
        <v>161</v>
      </c>
      <c r="E40" s="32">
        <v>7790</v>
      </c>
      <c r="F40" s="32"/>
      <c r="G40"/>
    </row>
    <row r="41" spans="1:7" ht="15">
      <c r="C41" s="112">
        <v>244055</v>
      </c>
      <c r="D41" s="13" t="s">
        <v>161</v>
      </c>
      <c r="E41" s="32">
        <v>4050</v>
      </c>
      <c r="F41" s="32"/>
      <c r="G41"/>
    </row>
    <row r="42" spans="1:7" ht="15">
      <c r="C42" s="112">
        <v>244086</v>
      </c>
      <c r="D42" s="13" t="s">
        <v>161</v>
      </c>
      <c r="E42" s="32">
        <v>2980</v>
      </c>
      <c r="F42" s="32"/>
      <c r="G42"/>
    </row>
    <row r="43" spans="1:7" ht="15">
      <c r="C43" s="112">
        <v>244116</v>
      </c>
      <c r="D43" s="13" t="s">
        <v>161</v>
      </c>
      <c r="E43" s="32">
        <v>5090</v>
      </c>
      <c r="F43" s="32"/>
      <c r="G43"/>
    </row>
    <row r="44" spans="1:7" ht="15">
      <c r="C44" s="112">
        <v>244147</v>
      </c>
      <c r="D44" s="13" t="s">
        <v>161</v>
      </c>
      <c r="E44" s="32">
        <v>4060</v>
      </c>
      <c r="F44" s="32"/>
      <c r="G44"/>
    </row>
    <row r="45" spans="1:7" ht="15">
      <c r="C45" s="112">
        <v>244177</v>
      </c>
      <c r="D45" s="13" t="s">
        <v>161</v>
      </c>
      <c r="E45" s="32">
        <v>2700</v>
      </c>
      <c r="F45" s="32"/>
      <c r="G45"/>
    </row>
    <row r="46" spans="1:7" ht="15">
      <c r="C46" s="112">
        <v>244208</v>
      </c>
      <c r="D46" s="13" t="s">
        <v>161</v>
      </c>
      <c r="E46" s="32">
        <v>6390</v>
      </c>
      <c r="F46" s="32"/>
      <c r="G46"/>
    </row>
    <row r="47" spans="1:7" ht="15">
      <c r="C47" s="112">
        <v>244239</v>
      </c>
      <c r="D47" s="13" t="s">
        <v>162</v>
      </c>
      <c r="E47" s="32">
        <v>1990</v>
      </c>
      <c r="F47" s="32"/>
      <c r="G47"/>
    </row>
    <row r="48" spans="1:7" ht="15">
      <c r="C48" s="112">
        <v>244239</v>
      </c>
      <c r="D48" s="13" t="s">
        <v>165</v>
      </c>
      <c r="E48" s="32"/>
      <c r="F48" s="32">
        <v>12159.4</v>
      </c>
      <c r="G48"/>
    </row>
    <row r="49" spans="3:7" ht="15">
      <c r="C49" s="112">
        <v>244239</v>
      </c>
      <c r="D49" s="13" t="s">
        <v>167</v>
      </c>
      <c r="E49" s="32"/>
      <c r="F49" s="32">
        <v>61600</v>
      </c>
      <c r="G49"/>
    </row>
    <row r="50" spans="3:7" ht="15">
      <c r="C50" s="112">
        <v>244269</v>
      </c>
      <c r="D50" s="13" t="s">
        <v>161</v>
      </c>
      <c r="E50" s="32">
        <v>4580</v>
      </c>
      <c r="F50" s="32"/>
      <c r="G50"/>
    </row>
    <row r="51" spans="3:7" ht="15">
      <c r="C51" s="112">
        <v>244300</v>
      </c>
      <c r="D51" s="13" t="s">
        <v>161</v>
      </c>
      <c r="E51" s="32">
        <v>1720</v>
      </c>
      <c r="F51" s="32"/>
      <c r="G51"/>
    </row>
    <row r="52" spans="3:7" ht="15">
      <c r="C52" s="112">
        <v>244330</v>
      </c>
      <c r="D52" s="13" t="s">
        <v>161</v>
      </c>
      <c r="E52" s="32">
        <v>4120</v>
      </c>
      <c r="F52" s="32"/>
      <c r="G52"/>
    </row>
    <row r="53" spans="3:7" ht="15">
      <c r="C53" s="13" t="s">
        <v>168</v>
      </c>
      <c r="D53" s="13" t="s">
        <v>161</v>
      </c>
      <c r="E53" s="32">
        <v>3550</v>
      </c>
      <c r="F53" s="32"/>
      <c r="G53"/>
    </row>
    <row r="54" spans="3:7" ht="15">
      <c r="C54" s="13" t="s">
        <v>169</v>
      </c>
      <c r="D54" s="13" t="s">
        <v>161</v>
      </c>
      <c r="E54" s="32">
        <v>3410</v>
      </c>
      <c r="F54" s="32"/>
      <c r="G54"/>
    </row>
    <row r="55" spans="3:7" ht="15">
      <c r="C55" s="13" t="s">
        <v>170</v>
      </c>
      <c r="D55" s="13" t="s">
        <v>161</v>
      </c>
      <c r="E55" s="32">
        <v>3950</v>
      </c>
      <c r="F55" s="32"/>
      <c r="G55"/>
    </row>
    <row r="56" spans="3:7" ht="15">
      <c r="C56" s="13" t="s">
        <v>171</v>
      </c>
      <c r="D56" s="13" t="s">
        <v>161</v>
      </c>
      <c r="E56" s="32">
        <v>3100</v>
      </c>
      <c r="F56" s="32"/>
      <c r="G56"/>
    </row>
    <row r="57" spans="3:7" ht="15">
      <c r="C57" s="13" t="s">
        <v>172</v>
      </c>
      <c r="D57" s="13" t="s">
        <v>161</v>
      </c>
      <c r="E57" s="32">
        <v>1470</v>
      </c>
      <c r="F57" s="32"/>
      <c r="G57"/>
    </row>
    <row r="58" spans="3:7" ht="15">
      <c r="C58" s="13" t="s">
        <v>173</v>
      </c>
      <c r="D58" s="13" t="s">
        <v>161</v>
      </c>
      <c r="E58" s="32">
        <v>1750</v>
      </c>
      <c r="F58" s="32"/>
      <c r="G58"/>
    </row>
    <row r="59" spans="3:7" ht="15">
      <c r="C59" s="13" t="s">
        <v>174</v>
      </c>
      <c r="D59" s="13" t="s">
        <v>161</v>
      </c>
      <c r="E59" s="32">
        <v>4390</v>
      </c>
      <c r="F59" s="32"/>
      <c r="G59"/>
    </row>
    <row r="60" spans="3:7" ht="15">
      <c r="C60" s="13" t="s">
        <v>175</v>
      </c>
      <c r="D60" s="13" t="s">
        <v>161</v>
      </c>
      <c r="E60" s="32">
        <v>1960</v>
      </c>
      <c r="F60" s="32"/>
      <c r="G60"/>
    </row>
    <row r="61" spans="3:7" ht="15">
      <c r="C61" s="13" t="s">
        <v>176</v>
      </c>
      <c r="D61" s="13" t="s">
        <v>161</v>
      </c>
      <c r="E61" s="32">
        <v>3580</v>
      </c>
      <c r="F61" s="32"/>
      <c r="G61"/>
    </row>
    <row r="62" spans="3:7" ht="15">
      <c r="C62" s="13" t="s">
        <v>177</v>
      </c>
      <c r="D62" s="13" t="s">
        <v>161</v>
      </c>
      <c r="E62" s="32">
        <v>2660</v>
      </c>
      <c r="F62" s="32"/>
      <c r="G62"/>
    </row>
    <row r="63" spans="3:7" ht="15">
      <c r="C63" s="13" t="s">
        <v>178</v>
      </c>
      <c r="D63" s="13" t="s">
        <v>161</v>
      </c>
      <c r="E63" s="32">
        <v>3650</v>
      </c>
      <c r="F63" s="32"/>
      <c r="G63"/>
    </row>
    <row r="64" spans="3:7" ht="15">
      <c r="C64" s="13" t="s">
        <v>179</v>
      </c>
      <c r="D64" s="13" t="s">
        <v>161</v>
      </c>
      <c r="E64" s="32">
        <v>3690</v>
      </c>
      <c r="F64" s="32"/>
      <c r="G64"/>
    </row>
    <row r="65" spans="1:7" ht="15">
      <c r="C65" s="13" t="s">
        <v>180</v>
      </c>
      <c r="D65" s="13" t="s">
        <v>161</v>
      </c>
      <c r="E65" s="32">
        <v>3720</v>
      </c>
      <c r="F65" s="32"/>
      <c r="G65"/>
    </row>
    <row r="66" spans="1:7" ht="15">
      <c r="C66" s="13" t="s">
        <v>181</v>
      </c>
      <c r="D66" s="13" t="s">
        <v>161</v>
      </c>
      <c r="E66" s="32">
        <v>4110</v>
      </c>
      <c r="F66" s="32"/>
      <c r="G66"/>
    </row>
    <row r="67" spans="1:7" ht="15">
      <c r="C67" s="13" t="s">
        <v>182</v>
      </c>
      <c r="D67" s="13" t="s">
        <v>161</v>
      </c>
      <c r="E67" s="32">
        <v>3270</v>
      </c>
      <c r="F67" s="32"/>
      <c r="G67"/>
    </row>
    <row r="68" spans="1:7" ht="15">
      <c r="C68" s="13" t="s">
        <v>183</v>
      </c>
      <c r="D68" s="13" t="s">
        <v>161</v>
      </c>
      <c r="E68" s="32">
        <v>6590</v>
      </c>
      <c r="F68" s="32"/>
      <c r="G68"/>
    </row>
    <row r="69" spans="1:7" ht="15">
      <c r="C69" s="13" t="s">
        <v>184</v>
      </c>
      <c r="D69" s="13" t="s">
        <v>161</v>
      </c>
      <c r="E69" s="32">
        <v>4760</v>
      </c>
      <c r="F69" s="32"/>
      <c r="G69"/>
    </row>
    <row r="70" spans="1:7" ht="15">
      <c r="C70" s="13" t="s">
        <v>184</v>
      </c>
      <c r="D70" s="13" t="s">
        <v>186</v>
      </c>
      <c r="E70" s="32"/>
      <c r="F70" s="32">
        <v>407022.3</v>
      </c>
      <c r="G70"/>
    </row>
    <row r="71" spans="1:7" ht="15">
      <c r="C71" s="13" t="s">
        <v>187</v>
      </c>
      <c r="D71" s="13" t="s">
        <v>161</v>
      </c>
      <c r="E71" s="32">
        <v>3810</v>
      </c>
      <c r="F71" s="32"/>
      <c r="G71"/>
    </row>
    <row r="72" spans="1:7" ht="15">
      <c r="C72" s="13" t="s">
        <v>188</v>
      </c>
      <c r="D72" s="13" t="s">
        <v>161</v>
      </c>
      <c r="E72" s="32">
        <v>5930</v>
      </c>
      <c r="F72" s="32"/>
      <c r="G72"/>
    </row>
    <row r="73" spans="1:7" ht="15">
      <c r="C73" s="13" t="s">
        <v>188</v>
      </c>
      <c r="D73" s="13" t="s">
        <v>97</v>
      </c>
      <c r="E73" s="32">
        <v>6479.13</v>
      </c>
      <c r="F73" s="32"/>
      <c r="G73"/>
    </row>
    <row r="74" spans="1:7" ht="15">
      <c r="A74" s="13">
        <v>101003</v>
      </c>
      <c r="B74" s="13" t="s">
        <v>49</v>
      </c>
      <c r="C74" s="13"/>
      <c r="D74" s="13"/>
      <c r="E74" s="32"/>
      <c r="F74" s="32"/>
      <c r="G74"/>
    </row>
    <row r="75" spans="1:7" ht="15">
      <c r="C75" s="112">
        <v>243995</v>
      </c>
      <c r="D75" s="13" t="s">
        <v>163</v>
      </c>
      <c r="E75" s="32">
        <v>133027.51</v>
      </c>
      <c r="F75" s="32"/>
      <c r="G75"/>
    </row>
    <row r="76" spans="1:7" ht="15">
      <c r="A76" s="13">
        <v>101005</v>
      </c>
      <c r="B76" s="13" t="s">
        <v>51</v>
      </c>
      <c r="C76" s="13"/>
      <c r="D76" s="13"/>
      <c r="E76" s="32"/>
      <c r="F76" s="32"/>
      <c r="G76"/>
    </row>
    <row r="77" spans="1:7" ht="15">
      <c r="C77" s="112">
        <v>243995</v>
      </c>
      <c r="D77" s="13" t="s">
        <v>163</v>
      </c>
      <c r="E77" s="32">
        <v>1</v>
      </c>
      <c r="F77" s="32"/>
      <c r="G77"/>
    </row>
    <row r="78" spans="1:7" ht="15">
      <c r="A78" s="13">
        <v>101007</v>
      </c>
      <c r="B78" s="13" t="s">
        <v>53</v>
      </c>
      <c r="C78" s="13"/>
      <c r="D78" s="13"/>
      <c r="E78" s="32"/>
      <c r="F78" s="32"/>
      <c r="G78"/>
    </row>
    <row r="79" spans="1:7" ht="15">
      <c r="C79" s="112">
        <v>243995</v>
      </c>
      <c r="D79" s="13" t="s">
        <v>163</v>
      </c>
      <c r="E79" s="32">
        <v>1</v>
      </c>
      <c r="F79" s="32"/>
      <c r="G79"/>
    </row>
    <row r="80" spans="1:7" ht="15">
      <c r="A80" s="13">
        <v>101009</v>
      </c>
      <c r="B80" s="13" t="s">
        <v>55</v>
      </c>
      <c r="C80" s="13"/>
      <c r="D80" s="13"/>
      <c r="E80" s="32"/>
      <c r="F80" s="32"/>
      <c r="G80"/>
    </row>
    <row r="81" spans="1:7" ht="15">
      <c r="C81" s="112">
        <v>243995</v>
      </c>
      <c r="D81" s="13" t="s">
        <v>163</v>
      </c>
      <c r="E81" s="32">
        <v>4878.6499999999996</v>
      </c>
      <c r="F81" s="32"/>
      <c r="G81"/>
    </row>
    <row r="82" spans="1:7" ht="15">
      <c r="A82" s="13">
        <v>101011</v>
      </c>
      <c r="B82" s="13" t="s">
        <v>57</v>
      </c>
      <c r="C82" s="13"/>
      <c r="D82" s="13"/>
      <c r="E82" s="32"/>
      <c r="F82" s="32"/>
      <c r="G82"/>
    </row>
    <row r="83" spans="1:7" ht="15">
      <c r="C83" s="112">
        <v>243995</v>
      </c>
      <c r="D83" s="13" t="s">
        <v>163</v>
      </c>
      <c r="E83" s="32">
        <v>1</v>
      </c>
      <c r="F83" s="32"/>
      <c r="G83"/>
    </row>
    <row r="84" spans="1:7" ht="15">
      <c r="A84" s="13">
        <v>101013</v>
      </c>
      <c r="B84" s="13" t="s">
        <v>59</v>
      </c>
      <c r="C84" s="13"/>
      <c r="D84" s="13"/>
      <c r="E84" s="32"/>
      <c r="F84" s="32"/>
      <c r="G84"/>
    </row>
    <row r="85" spans="1:7" ht="15">
      <c r="C85" s="112">
        <v>243995</v>
      </c>
      <c r="D85" s="13" t="s">
        <v>163</v>
      </c>
      <c r="E85" s="32">
        <v>1</v>
      </c>
      <c r="F85" s="32"/>
      <c r="G85"/>
    </row>
    <row r="86" spans="1:7" ht="15">
      <c r="A86" s="13">
        <v>101015</v>
      </c>
      <c r="B86" s="13" t="s">
        <v>61</v>
      </c>
      <c r="C86" s="13"/>
      <c r="D86" s="13"/>
      <c r="E86" s="32"/>
      <c r="F86" s="32"/>
      <c r="G86"/>
    </row>
    <row r="87" spans="1:7" ht="15">
      <c r="C87" s="112">
        <v>243995</v>
      </c>
      <c r="D87" s="13" t="s">
        <v>163</v>
      </c>
      <c r="E87" s="32">
        <v>1</v>
      </c>
      <c r="F87" s="32"/>
      <c r="G87"/>
    </row>
    <row r="88" spans="1:7" ht="15">
      <c r="A88" s="13">
        <v>101017</v>
      </c>
      <c r="B88" s="13" t="s">
        <v>63</v>
      </c>
      <c r="C88" s="13"/>
      <c r="D88" s="13"/>
      <c r="E88" s="32"/>
      <c r="F88" s="32"/>
      <c r="G88"/>
    </row>
    <row r="89" spans="1:7" ht="15">
      <c r="C89" s="112">
        <v>243995</v>
      </c>
      <c r="D89" s="13" t="s">
        <v>163</v>
      </c>
      <c r="E89" s="32">
        <v>1</v>
      </c>
      <c r="F89" s="32"/>
      <c r="G89"/>
    </row>
    <row r="90" spans="1:7" ht="15">
      <c r="A90" s="13">
        <v>101019</v>
      </c>
      <c r="B90" s="13" t="s">
        <v>65</v>
      </c>
      <c r="C90" s="13"/>
      <c r="D90" s="13"/>
      <c r="E90" s="32"/>
      <c r="F90" s="32"/>
      <c r="G90"/>
    </row>
    <row r="91" spans="1:7" ht="15">
      <c r="C91" s="112">
        <v>243995</v>
      </c>
      <c r="D91" s="13" t="s">
        <v>163</v>
      </c>
      <c r="E91" s="32">
        <v>6180.95</v>
      </c>
      <c r="F91" s="32"/>
      <c r="G91"/>
    </row>
    <row r="92" spans="1:7" ht="15">
      <c r="A92" s="13">
        <v>101021</v>
      </c>
      <c r="B92" s="13" t="s">
        <v>67</v>
      </c>
      <c r="C92" s="13"/>
      <c r="D92" s="13"/>
      <c r="E92" s="32"/>
      <c r="F92" s="32"/>
      <c r="G92"/>
    </row>
    <row r="93" spans="1:7" ht="15">
      <c r="C93" s="112">
        <v>243995</v>
      </c>
      <c r="D93" s="13" t="s">
        <v>163</v>
      </c>
      <c r="E93" s="32">
        <v>14704.62</v>
      </c>
      <c r="F93" s="32"/>
      <c r="G93"/>
    </row>
    <row r="94" spans="1:7" ht="15">
      <c r="A94" s="13">
        <v>201002</v>
      </c>
      <c r="B94" s="13" t="s">
        <v>71</v>
      </c>
      <c r="C94" s="13"/>
      <c r="D94" s="13"/>
      <c r="E94" s="32"/>
      <c r="F94" s="32"/>
      <c r="G94"/>
    </row>
    <row r="95" spans="1:7" ht="15">
      <c r="C95" s="112">
        <v>243995</v>
      </c>
      <c r="D95" s="13" t="s">
        <v>163</v>
      </c>
      <c r="E95" s="32"/>
      <c r="F95" s="32">
        <v>203310</v>
      </c>
      <c r="G95"/>
    </row>
    <row r="96" spans="1:7" ht="15">
      <c r="C96" s="112">
        <v>244026</v>
      </c>
      <c r="D96" s="13" t="s">
        <v>161</v>
      </c>
      <c r="E96" s="32"/>
      <c r="F96" s="32">
        <v>400</v>
      </c>
      <c r="G96"/>
    </row>
    <row r="97" spans="1:7" ht="15">
      <c r="C97" s="112">
        <v>244208</v>
      </c>
      <c r="D97" s="13" t="s">
        <v>161</v>
      </c>
      <c r="E97" s="32"/>
      <c r="F97" s="32">
        <v>1200</v>
      </c>
      <c r="G97"/>
    </row>
    <row r="98" spans="1:7" ht="15">
      <c r="C98" s="112">
        <v>244330</v>
      </c>
      <c r="D98" s="13" t="s">
        <v>161</v>
      </c>
      <c r="E98" s="32"/>
      <c r="F98" s="32">
        <v>800</v>
      </c>
      <c r="G98"/>
    </row>
    <row r="99" spans="1:7" ht="15">
      <c r="C99" s="13" t="s">
        <v>170</v>
      </c>
      <c r="D99" s="13" t="s">
        <v>161</v>
      </c>
      <c r="E99" s="32"/>
      <c r="F99" s="32">
        <v>400</v>
      </c>
      <c r="G99"/>
    </row>
    <row r="100" spans="1:7" ht="15">
      <c r="C100" s="13" t="s">
        <v>174</v>
      </c>
      <c r="D100" s="13" t="s">
        <v>161</v>
      </c>
      <c r="E100" s="32"/>
      <c r="F100" s="32">
        <v>800</v>
      </c>
      <c r="G100"/>
    </row>
    <row r="101" spans="1:7" ht="15">
      <c r="C101" s="13" t="s">
        <v>177</v>
      </c>
      <c r="D101" s="13" t="s">
        <v>161</v>
      </c>
      <c r="E101" s="32"/>
      <c r="F101" s="32">
        <v>600</v>
      </c>
      <c r="G101"/>
    </row>
    <row r="102" spans="1:7" ht="15">
      <c r="C102" s="13" t="s">
        <v>181</v>
      </c>
      <c r="D102" s="13" t="s">
        <v>161</v>
      </c>
      <c r="E102" s="32"/>
      <c r="F102" s="32">
        <v>800</v>
      </c>
      <c r="G102"/>
    </row>
    <row r="103" spans="1:7" ht="15">
      <c r="C103" s="13" t="s">
        <v>184</v>
      </c>
      <c r="D103" s="13" t="s">
        <v>161</v>
      </c>
      <c r="E103" s="32"/>
      <c r="F103" s="32">
        <v>400</v>
      </c>
      <c r="G103"/>
    </row>
    <row r="104" spans="1:7" ht="15">
      <c r="A104" s="13">
        <v>201004</v>
      </c>
      <c r="B104" s="13" t="s">
        <v>73</v>
      </c>
      <c r="C104" s="13"/>
      <c r="D104" s="13"/>
      <c r="E104" s="32"/>
      <c r="F104" s="32"/>
      <c r="G104"/>
    </row>
    <row r="105" spans="1:7" ht="15">
      <c r="C105" s="112">
        <v>243995</v>
      </c>
      <c r="D105" s="13" t="s">
        <v>161</v>
      </c>
      <c r="E105" s="32"/>
      <c r="F105" s="32">
        <v>5830</v>
      </c>
      <c r="G105"/>
    </row>
    <row r="106" spans="1:7" ht="15">
      <c r="C106" s="112">
        <v>243995</v>
      </c>
      <c r="D106" s="13" t="s">
        <v>163</v>
      </c>
      <c r="E106" s="32"/>
      <c r="F106" s="32">
        <v>126280</v>
      </c>
      <c r="G106"/>
    </row>
    <row r="107" spans="1:7" ht="15">
      <c r="C107" s="112">
        <v>244026</v>
      </c>
      <c r="D107" s="13" t="s">
        <v>161</v>
      </c>
      <c r="E107" s="32"/>
      <c r="F107" s="32">
        <v>2530</v>
      </c>
      <c r="G107"/>
    </row>
    <row r="108" spans="1:7" ht="15">
      <c r="A108" s="13">
        <v>201008</v>
      </c>
      <c r="B108" s="13" t="s">
        <v>77</v>
      </c>
      <c r="C108" s="13"/>
      <c r="D108" s="13"/>
      <c r="E108" s="32"/>
      <c r="F108" s="32"/>
      <c r="G108"/>
    </row>
    <row r="109" spans="1:7" ht="15">
      <c r="C109" s="112">
        <v>243995</v>
      </c>
      <c r="D109" s="13" t="s">
        <v>163</v>
      </c>
      <c r="E109" s="32"/>
      <c r="F109" s="32">
        <v>12285.9</v>
      </c>
      <c r="G109"/>
    </row>
    <row r="110" spans="1:7" ht="15">
      <c r="A110" s="13">
        <v>301001</v>
      </c>
      <c r="B110" s="13" t="s">
        <v>78</v>
      </c>
      <c r="C110" s="13"/>
      <c r="D110" s="13"/>
      <c r="E110" s="32"/>
      <c r="F110" s="32"/>
      <c r="G110"/>
    </row>
    <row r="111" spans="1:7" ht="15">
      <c r="C111" s="112">
        <v>243995</v>
      </c>
      <c r="D111" s="13" t="s">
        <v>163</v>
      </c>
      <c r="E111" s="32"/>
      <c r="F111" s="32">
        <v>544281.59</v>
      </c>
      <c r="G111"/>
    </row>
    <row r="112" spans="1:7" ht="15">
      <c r="A112" s="13">
        <v>301002</v>
      </c>
      <c r="B112" s="13" t="s">
        <v>79</v>
      </c>
      <c r="C112" s="13"/>
      <c r="D112" s="13"/>
      <c r="E112" s="32"/>
      <c r="F112" s="32"/>
      <c r="G112"/>
    </row>
    <row r="113" spans="1:7" ht="15">
      <c r="C113" s="112">
        <v>243995</v>
      </c>
      <c r="D113" s="13" t="s">
        <v>163</v>
      </c>
      <c r="E113" s="32"/>
      <c r="F113" s="32">
        <v>2432040.7400000002</v>
      </c>
      <c r="G113"/>
    </row>
    <row r="114" spans="1:7" ht="15">
      <c r="A114" s="13">
        <v>301003</v>
      </c>
      <c r="B114" s="13" t="s">
        <v>80</v>
      </c>
      <c r="C114" s="13"/>
      <c r="D114" s="13"/>
      <c r="E114" s="32"/>
      <c r="F114" s="32"/>
      <c r="G114"/>
    </row>
    <row r="115" spans="1:7" ht="15">
      <c r="C115" s="112">
        <v>243995</v>
      </c>
      <c r="D115" s="13" t="s">
        <v>163</v>
      </c>
      <c r="E115" s="32"/>
      <c r="F115" s="32">
        <v>53438.14</v>
      </c>
      <c r="G115"/>
    </row>
    <row r="116" spans="1:7" ht="15">
      <c r="A116" s="13">
        <v>401003</v>
      </c>
      <c r="B116" s="13" t="s">
        <v>83</v>
      </c>
      <c r="C116" s="13"/>
      <c r="D116" s="13"/>
      <c r="E116" s="32"/>
      <c r="F116" s="32"/>
      <c r="G116"/>
    </row>
    <row r="117" spans="1:7" ht="15">
      <c r="C117" s="112">
        <v>243995</v>
      </c>
      <c r="D117" s="13" t="s">
        <v>161</v>
      </c>
      <c r="E117" s="32"/>
      <c r="F117" s="32">
        <v>2500</v>
      </c>
      <c r="G117"/>
    </row>
    <row r="118" spans="1:7" ht="15">
      <c r="C118" s="112">
        <v>243995</v>
      </c>
      <c r="D118" s="13" t="s">
        <v>163</v>
      </c>
      <c r="E118" s="32"/>
      <c r="F118" s="32">
        <v>159800</v>
      </c>
      <c r="G118"/>
    </row>
    <row r="119" spans="1:7" ht="15">
      <c r="C119" s="112">
        <v>244026</v>
      </c>
      <c r="D119" s="13" t="s">
        <v>161</v>
      </c>
      <c r="E119" s="32"/>
      <c r="F119" s="32">
        <v>2200</v>
      </c>
      <c r="G119"/>
    </row>
    <row r="120" spans="1:7" ht="15">
      <c r="C120" s="112">
        <v>244055</v>
      </c>
      <c r="D120" s="13" t="s">
        <v>161</v>
      </c>
      <c r="E120" s="32"/>
      <c r="F120" s="32">
        <v>3300</v>
      </c>
      <c r="G120"/>
    </row>
    <row r="121" spans="1:7" ht="15">
      <c r="C121" s="112">
        <v>244086</v>
      </c>
      <c r="D121" s="13" t="s">
        <v>161</v>
      </c>
      <c r="E121" s="32"/>
      <c r="F121" s="32">
        <v>2300</v>
      </c>
      <c r="G121"/>
    </row>
    <row r="122" spans="1:7" ht="15">
      <c r="C122" s="112">
        <v>244116</v>
      </c>
      <c r="D122" s="13" t="s">
        <v>161</v>
      </c>
      <c r="E122" s="32"/>
      <c r="F122" s="32">
        <v>3300</v>
      </c>
      <c r="G122"/>
    </row>
    <row r="123" spans="1:7" ht="15">
      <c r="C123" s="112">
        <v>244147</v>
      </c>
      <c r="D123" s="13" t="s">
        <v>161</v>
      </c>
      <c r="E123" s="32"/>
      <c r="F123" s="32">
        <v>2800</v>
      </c>
      <c r="G123"/>
    </row>
    <row r="124" spans="1:7" ht="15">
      <c r="C124" s="112">
        <v>244177</v>
      </c>
      <c r="D124" s="13" t="s">
        <v>161</v>
      </c>
      <c r="E124" s="32"/>
      <c r="F124" s="32">
        <v>2500</v>
      </c>
      <c r="G124"/>
    </row>
    <row r="125" spans="1:7" ht="15">
      <c r="C125" s="112">
        <v>244208</v>
      </c>
      <c r="D125" s="13" t="s">
        <v>161</v>
      </c>
      <c r="E125" s="32"/>
      <c r="F125" s="32">
        <v>2300</v>
      </c>
      <c r="G125"/>
    </row>
    <row r="126" spans="1:7" ht="15">
      <c r="C126" s="112">
        <v>244239</v>
      </c>
      <c r="D126" s="13" t="s">
        <v>162</v>
      </c>
      <c r="E126" s="32"/>
      <c r="F126" s="32">
        <v>1700</v>
      </c>
      <c r="G126"/>
    </row>
    <row r="127" spans="1:7" ht="15">
      <c r="C127" s="112">
        <v>244269</v>
      </c>
      <c r="D127" s="13" t="s">
        <v>161</v>
      </c>
      <c r="E127" s="32"/>
      <c r="F127" s="32">
        <v>3100</v>
      </c>
      <c r="G127"/>
    </row>
    <row r="128" spans="1:7" ht="15">
      <c r="C128" s="112">
        <v>244300</v>
      </c>
      <c r="D128" s="13" t="s">
        <v>161</v>
      </c>
      <c r="E128" s="32"/>
      <c r="F128" s="32">
        <v>1600</v>
      </c>
      <c r="G128"/>
    </row>
    <row r="129" spans="3:7" ht="15">
      <c r="C129" s="112">
        <v>244330</v>
      </c>
      <c r="D129" s="13" t="s">
        <v>161</v>
      </c>
      <c r="E129" s="32"/>
      <c r="F129" s="32">
        <v>2800</v>
      </c>
      <c r="G129"/>
    </row>
    <row r="130" spans="3:7" ht="15">
      <c r="C130" s="13" t="s">
        <v>168</v>
      </c>
      <c r="D130" s="13" t="s">
        <v>161</v>
      </c>
      <c r="E130" s="32"/>
      <c r="F130" s="32">
        <v>2900</v>
      </c>
      <c r="G130"/>
    </row>
    <row r="131" spans="3:7" ht="15">
      <c r="C131" s="13" t="s">
        <v>169</v>
      </c>
      <c r="D131" s="13" t="s">
        <v>161</v>
      </c>
      <c r="E131" s="32"/>
      <c r="F131" s="32">
        <v>2800</v>
      </c>
      <c r="G131"/>
    </row>
    <row r="132" spans="3:7" ht="15">
      <c r="C132" s="13" t="s">
        <v>170</v>
      </c>
      <c r="D132" s="13" t="s">
        <v>161</v>
      </c>
      <c r="E132" s="32"/>
      <c r="F132" s="32">
        <v>2300</v>
      </c>
      <c r="G132"/>
    </row>
    <row r="133" spans="3:7" ht="15">
      <c r="C133" s="13" t="s">
        <v>171</v>
      </c>
      <c r="D133" s="13" t="s">
        <v>161</v>
      </c>
      <c r="E133" s="32"/>
      <c r="F133" s="32">
        <v>2300</v>
      </c>
      <c r="G133"/>
    </row>
    <row r="134" spans="3:7" ht="15">
      <c r="C134" s="13" t="s">
        <v>172</v>
      </c>
      <c r="D134" s="13" t="s">
        <v>161</v>
      </c>
      <c r="E134" s="32"/>
      <c r="F134" s="32">
        <v>1200</v>
      </c>
      <c r="G134"/>
    </row>
    <row r="135" spans="3:7" ht="15">
      <c r="C135" s="13" t="s">
        <v>173</v>
      </c>
      <c r="D135" s="13" t="s">
        <v>161</v>
      </c>
      <c r="E135" s="32"/>
      <c r="F135" s="32">
        <v>1300</v>
      </c>
      <c r="G135"/>
    </row>
    <row r="136" spans="3:7" ht="15">
      <c r="C136" s="13" t="s">
        <v>174</v>
      </c>
      <c r="D136" s="13" t="s">
        <v>161</v>
      </c>
      <c r="E136" s="32"/>
      <c r="F136" s="32">
        <v>2800</v>
      </c>
      <c r="G136"/>
    </row>
    <row r="137" spans="3:7" ht="15">
      <c r="C137" s="13" t="s">
        <v>175</v>
      </c>
      <c r="D137" s="13" t="s">
        <v>161</v>
      </c>
      <c r="E137" s="32"/>
      <c r="F137" s="32">
        <v>1700</v>
      </c>
      <c r="G137"/>
    </row>
    <row r="138" spans="3:7" ht="15">
      <c r="C138" s="13" t="s">
        <v>176</v>
      </c>
      <c r="D138" s="13" t="s">
        <v>161</v>
      </c>
      <c r="E138" s="32"/>
      <c r="F138" s="32">
        <v>2500</v>
      </c>
      <c r="G138"/>
    </row>
    <row r="139" spans="3:7" ht="15">
      <c r="C139" s="13" t="s">
        <v>177</v>
      </c>
      <c r="D139" s="13" t="s">
        <v>161</v>
      </c>
      <c r="E139" s="32"/>
      <c r="F139" s="32">
        <v>1700</v>
      </c>
      <c r="G139"/>
    </row>
    <row r="140" spans="3:7" ht="15">
      <c r="C140" s="13" t="s">
        <v>178</v>
      </c>
      <c r="D140" s="13" t="s">
        <v>161</v>
      </c>
      <c r="E140" s="32"/>
      <c r="F140" s="32">
        <v>2400</v>
      </c>
      <c r="G140"/>
    </row>
    <row r="141" spans="3:7" ht="15">
      <c r="C141" s="13" t="s">
        <v>179</v>
      </c>
      <c r="D141" s="13" t="s">
        <v>161</v>
      </c>
      <c r="E141" s="32"/>
      <c r="F141" s="32">
        <v>1700</v>
      </c>
      <c r="G141"/>
    </row>
    <row r="142" spans="3:7" ht="15">
      <c r="C142" s="13" t="s">
        <v>180</v>
      </c>
      <c r="D142" s="13" t="s">
        <v>161</v>
      </c>
      <c r="E142" s="32"/>
      <c r="F142" s="32">
        <v>3000</v>
      </c>
      <c r="G142"/>
    </row>
    <row r="143" spans="3:7" ht="15">
      <c r="C143" s="13" t="s">
        <v>181</v>
      </c>
      <c r="D143" s="13" t="s">
        <v>161</v>
      </c>
      <c r="E143" s="32"/>
      <c r="F143" s="32">
        <v>2600</v>
      </c>
      <c r="G143"/>
    </row>
    <row r="144" spans="3:7" ht="15">
      <c r="C144" s="13" t="s">
        <v>182</v>
      </c>
      <c r="D144" s="13" t="s">
        <v>161</v>
      </c>
      <c r="E144" s="32"/>
      <c r="F144" s="32">
        <v>2100</v>
      </c>
      <c r="G144"/>
    </row>
    <row r="145" spans="1:7" ht="15">
      <c r="C145" s="13" t="s">
        <v>183</v>
      </c>
      <c r="D145" s="13" t="s">
        <v>161</v>
      </c>
      <c r="E145" s="32"/>
      <c r="F145" s="32">
        <v>2800</v>
      </c>
      <c r="G145"/>
    </row>
    <row r="146" spans="1:7" ht="15">
      <c r="C146" s="13" t="s">
        <v>184</v>
      </c>
      <c r="D146" s="13" t="s">
        <v>161</v>
      </c>
      <c r="E146" s="32"/>
      <c r="F146" s="32">
        <v>3000</v>
      </c>
      <c r="G146"/>
    </row>
    <row r="147" spans="1:7" ht="15">
      <c r="C147" s="13" t="s">
        <v>187</v>
      </c>
      <c r="D147" s="13" t="s">
        <v>161</v>
      </c>
      <c r="E147" s="32"/>
      <c r="F147" s="32">
        <v>3000</v>
      </c>
      <c r="G147"/>
    </row>
    <row r="148" spans="1:7" ht="15">
      <c r="C148" s="13" t="s">
        <v>188</v>
      </c>
      <c r="D148" s="13" t="s">
        <v>161</v>
      </c>
      <c r="E148" s="32"/>
      <c r="F148" s="32">
        <v>3400</v>
      </c>
      <c r="G148"/>
    </row>
    <row r="149" spans="1:7" ht="15">
      <c r="A149" s="13">
        <v>401004</v>
      </c>
      <c r="B149" s="13" t="s">
        <v>84</v>
      </c>
      <c r="C149" s="13"/>
      <c r="D149" s="13"/>
      <c r="E149" s="32"/>
      <c r="F149" s="32"/>
      <c r="G149"/>
    </row>
    <row r="150" spans="1:7" ht="15">
      <c r="C150" s="112">
        <v>243995</v>
      </c>
      <c r="D150" s="13" t="s">
        <v>161</v>
      </c>
      <c r="E150" s="32"/>
      <c r="F150" s="32">
        <v>180</v>
      </c>
      <c r="G150"/>
    </row>
    <row r="151" spans="1:7" ht="15">
      <c r="C151" s="112">
        <v>243995</v>
      </c>
      <c r="D151" s="13" t="s">
        <v>163</v>
      </c>
      <c r="E151" s="32"/>
      <c r="F151" s="32">
        <v>20340</v>
      </c>
      <c r="G151"/>
    </row>
    <row r="152" spans="1:7" ht="15">
      <c r="C152" s="112">
        <v>244026</v>
      </c>
      <c r="D152" s="13" t="s">
        <v>161</v>
      </c>
      <c r="E152" s="32"/>
      <c r="F152" s="32">
        <v>360</v>
      </c>
      <c r="G152"/>
    </row>
    <row r="153" spans="1:7" ht="15">
      <c r="C153" s="112">
        <v>244055</v>
      </c>
      <c r="D153" s="13" t="s">
        <v>161</v>
      </c>
      <c r="E153" s="32"/>
      <c r="F153" s="32">
        <v>360</v>
      </c>
      <c r="G153"/>
    </row>
    <row r="154" spans="1:7" ht="15">
      <c r="C154" s="112">
        <v>244086</v>
      </c>
      <c r="D154" s="13" t="s">
        <v>161</v>
      </c>
      <c r="E154" s="32"/>
      <c r="F154" s="32">
        <v>180</v>
      </c>
      <c r="G154"/>
    </row>
    <row r="155" spans="1:7" ht="15">
      <c r="C155" s="112">
        <v>244208</v>
      </c>
      <c r="D155" s="13" t="s">
        <v>161</v>
      </c>
      <c r="E155" s="32"/>
      <c r="F155" s="32">
        <v>360</v>
      </c>
      <c r="G155"/>
    </row>
    <row r="156" spans="1:7" ht="15">
      <c r="C156" s="112">
        <v>244330</v>
      </c>
      <c r="D156" s="13" t="s">
        <v>161</v>
      </c>
      <c r="E156" s="32"/>
      <c r="F156" s="32">
        <v>180</v>
      </c>
      <c r="G156"/>
    </row>
    <row r="157" spans="1:7" ht="15">
      <c r="C157" s="13" t="s">
        <v>170</v>
      </c>
      <c r="D157" s="13" t="s">
        <v>161</v>
      </c>
      <c r="E157" s="32"/>
      <c r="F157" s="32">
        <v>900</v>
      </c>
      <c r="G157"/>
    </row>
    <row r="158" spans="1:7" ht="15">
      <c r="C158" s="13" t="s">
        <v>171</v>
      </c>
      <c r="D158" s="13" t="s">
        <v>161</v>
      </c>
      <c r="E158" s="32"/>
      <c r="F158" s="32">
        <v>540</v>
      </c>
      <c r="G158"/>
    </row>
    <row r="159" spans="1:7" ht="15">
      <c r="C159" s="13" t="s">
        <v>172</v>
      </c>
      <c r="D159" s="13" t="s">
        <v>161</v>
      </c>
      <c r="E159" s="32"/>
      <c r="F159" s="32">
        <v>180</v>
      </c>
      <c r="G159"/>
    </row>
    <row r="160" spans="1:7" ht="15">
      <c r="C160" s="13" t="s">
        <v>173</v>
      </c>
      <c r="D160" s="13" t="s">
        <v>161</v>
      </c>
      <c r="E160" s="32"/>
      <c r="F160" s="32">
        <v>360</v>
      </c>
      <c r="G160"/>
    </row>
    <row r="161" spans="1:7" ht="15">
      <c r="C161" s="13" t="s">
        <v>174</v>
      </c>
      <c r="D161" s="13" t="s">
        <v>161</v>
      </c>
      <c r="E161" s="32"/>
      <c r="F161" s="32">
        <v>360</v>
      </c>
      <c r="G161"/>
    </row>
    <row r="162" spans="1:7" ht="15">
      <c r="C162" s="13" t="s">
        <v>177</v>
      </c>
      <c r="D162" s="13" t="s">
        <v>161</v>
      </c>
      <c r="E162" s="32"/>
      <c r="F162" s="32">
        <v>180</v>
      </c>
      <c r="G162"/>
    </row>
    <row r="163" spans="1:7" ht="15">
      <c r="C163" s="13" t="s">
        <v>178</v>
      </c>
      <c r="D163" s="13" t="s">
        <v>161</v>
      </c>
      <c r="E163" s="32"/>
      <c r="F163" s="32">
        <v>900</v>
      </c>
      <c r="G163"/>
    </row>
    <row r="164" spans="1:7" ht="15">
      <c r="C164" s="13" t="s">
        <v>179</v>
      </c>
      <c r="D164" s="13" t="s">
        <v>161</v>
      </c>
      <c r="E164" s="32"/>
      <c r="F164" s="32">
        <v>1620</v>
      </c>
      <c r="G164"/>
    </row>
    <row r="165" spans="1:7" ht="15">
      <c r="C165" s="13" t="s">
        <v>180</v>
      </c>
      <c r="D165" s="13" t="s">
        <v>161</v>
      </c>
      <c r="E165" s="32"/>
      <c r="F165" s="32">
        <v>360</v>
      </c>
      <c r="G165"/>
    </row>
    <row r="166" spans="1:7" ht="15">
      <c r="C166" s="13" t="s">
        <v>181</v>
      </c>
      <c r="D166" s="13" t="s">
        <v>161</v>
      </c>
      <c r="E166" s="32"/>
      <c r="F166" s="32">
        <v>360</v>
      </c>
      <c r="G166"/>
    </row>
    <row r="167" spans="1:7" ht="15">
      <c r="C167" s="13" t="s">
        <v>184</v>
      </c>
      <c r="D167" s="13" t="s">
        <v>161</v>
      </c>
      <c r="E167" s="32"/>
      <c r="F167" s="32">
        <v>720</v>
      </c>
      <c r="G167"/>
    </row>
    <row r="168" spans="1:7" ht="15">
      <c r="C168" s="13" t="s">
        <v>187</v>
      </c>
      <c r="D168" s="13" t="s">
        <v>161</v>
      </c>
      <c r="E168" s="32"/>
      <c r="F168" s="32">
        <v>360</v>
      </c>
      <c r="G168"/>
    </row>
    <row r="169" spans="1:7" ht="15">
      <c r="A169" s="13">
        <v>401005</v>
      </c>
      <c r="B169" s="13" t="s">
        <v>85</v>
      </c>
      <c r="C169" s="13"/>
      <c r="D169" s="13"/>
      <c r="E169" s="32"/>
      <c r="F169" s="32"/>
      <c r="G169"/>
    </row>
    <row r="170" spans="1:7" ht="15">
      <c r="C170" s="112">
        <v>243995</v>
      </c>
      <c r="D170" s="13" t="s">
        <v>163</v>
      </c>
      <c r="E170" s="32"/>
      <c r="F170" s="32">
        <v>11280</v>
      </c>
      <c r="G170"/>
    </row>
    <row r="171" spans="1:7" ht="15">
      <c r="C171" s="112">
        <v>244116</v>
      </c>
      <c r="D171" s="13" t="s">
        <v>161</v>
      </c>
      <c r="E171" s="32"/>
      <c r="F171" s="32">
        <v>1200</v>
      </c>
      <c r="G171"/>
    </row>
    <row r="172" spans="1:7" ht="15">
      <c r="C172" s="112">
        <v>244147</v>
      </c>
      <c r="D172" s="13" t="s">
        <v>161</v>
      </c>
      <c r="E172" s="32"/>
      <c r="F172" s="32">
        <v>480</v>
      </c>
      <c r="G172"/>
    </row>
    <row r="173" spans="1:7" ht="15">
      <c r="C173" s="112">
        <v>244269</v>
      </c>
      <c r="D173" s="13" t="s">
        <v>161</v>
      </c>
      <c r="E173" s="32"/>
      <c r="F173" s="32">
        <v>720</v>
      </c>
      <c r="G173"/>
    </row>
    <row r="174" spans="1:7" ht="15">
      <c r="C174" s="13" t="s">
        <v>168</v>
      </c>
      <c r="D174" s="13" t="s">
        <v>161</v>
      </c>
      <c r="E174" s="32"/>
      <c r="F174" s="32">
        <v>240</v>
      </c>
      <c r="G174"/>
    </row>
    <row r="175" spans="1:7" ht="15">
      <c r="C175" s="13" t="s">
        <v>169</v>
      </c>
      <c r="D175" s="13" t="s">
        <v>161</v>
      </c>
      <c r="E175" s="32"/>
      <c r="F175" s="32">
        <v>240</v>
      </c>
      <c r="G175"/>
    </row>
    <row r="176" spans="1:7" ht="15">
      <c r="C176" s="13" t="s">
        <v>176</v>
      </c>
      <c r="D176" s="13" t="s">
        <v>161</v>
      </c>
      <c r="E176" s="32"/>
      <c r="F176" s="32">
        <v>480</v>
      </c>
      <c r="G176"/>
    </row>
    <row r="177" spans="1:7" ht="15">
      <c r="C177" s="13" t="s">
        <v>182</v>
      </c>
      <c r="D177" s="13" t="s">
        <v>161</v>
      </c>
      <c r="E177" s="32"/>
      <c r="F177" s="32">
        <v>720</v>
      </c>
      <c r="G177"/>
    </row>
    <row r="178" spans="1:7" ht="15">
      <c r="C178" s="13" t="s">
        <v>183</v>
      </c>
      <c r="D178" s="13" t="s">
        <v>161</v>
      </c>
      <c r="E178" s="32"/>
      <c r="F178" s="32">
        <v>3360</v>
      </c>
      <c r="G178"/>
    </row>
    <row r="179" spans="1:7" ht="15">
      <c r="A179" s="13">
        <v>401007</v>
      </c>
      <c r="B179" s="13" t="s">
        <v>87</v>
      </c>
      <c r="C179" s="13"/>
      <c r="D179" s="13"/>
      <c r="E179" s="32"/>
      <c r="F179" s="32"/>
      <c r="G179"/>
    </row>
    <row r="180" spans="1:7" ht="15">
      <c r="C180" s="112">
        <v>243995</v>
      </c>
      <c r="D180" s="13" t="s">
        <v>163</v>
      </c>
      <c r="E180" s="32"/>
      <c r="F180" s="32">
        <v>1150</v>
      </c>
      <c r="G180"/>
    </row>
    <row r="181" spans="1:7" ht="15">
      <c r="C181" s="112">
        <v>244026</v>
      </c>
      <c r="D181" s="13" t="s">
        <v>161</v>
      </c>
      <c r="E181" s="32"/>
      <c r="F181" s="32">
        <v>50</v>
      </c>
      <c r="G181"/>
    </row>
    <row r="182" spans="1:7" ht="15">
      <c r="C182" s="112">
        <v>244086</v>
      </c>
      <c r="D182" s="13" t="s">
        <v>161</v>
      </c>
      <c r="E182" s="32"/>
      <c r="F182" s="32">
        <v>200</v>
      </c>
      <c r="G182"/>
    </row>
    <row r="183" spans="1:7" ht="15">
      <c r="C183" s="112">
        <v>244116</v>
      </c>
      <c r="D183" s="13" t="s">
        <v>161</v>
      </c>
      <c r="E183" s="32"/>
      <c r="F183" s="32">
        <v>50</v>
      </c>
      <c r="G183"/>
    </row>
    <row r="184" spans="1:7" ht="15">
      <c r="C184" s="112">
        <v>244147</v>
      </c>
      <c r="D184" s="13" t="s">
        <v>161</v>
      </c>
      <c r="E184" s="32"/>
      <c r="F184" s="32">
        <v>250</v>
      </c>
      <c r="G184"/>
    </row>
    <row r="185" spans="1:7" ht="15">
      <c r="C185" s="112">
        <v>244208</v>
      </c>
      <c r="D185" s="13" t="s">
        <v>161</v>
      </c>
      <c r="E185" s="32"/>
      <c r="F185" s="32">
        <v>150</v>
      </c>
      <c r="G185"/>
    </row>
    <row r="186" spans="1:7" ht="15">
      <c r="C186" s="112">
        <v>244269</v>
      </c>
      <c r="D186" s="13" t="s">
        <v>161</v>
      </c>
      <c r="E186" s="32"/>
      <c r="F186" s="32">
        <v>150</v>
      </c>
      <c r="G186"/>
    </row>
    <row r="187" spans="1:7" ht="15">
      <c r="C187" s="13" t="s">
        <v>176</v>
      </c>
      <c r="D187" s="13" t="s">
        <v>161</v>
      </c>
      <c r="E187" s="32"/>
      <c r="F187" s="32">
        <v>100</v>
      </c>
      <c r="G187"/>
    </row>
    <row r="188" spans="1:7" ht="15">
      <c r="C188" s="13" t="s">
        <v>182</v>
      </c>
      <c r="D188" s="13" t="s">
        <v>161</v>
      </c>
      <c r="E188" s="32"/>
      <c r="F188" s="32">
        <v>50</v>
      </c>
      <c r="G188"/>
    </row>
    <row r="189" spans="1:7" ht="15">
      <c r="A189" s="13">
        <v>401008</v>
      </c>
      <c r="B189" s="13" t="s">
        <v>88</v>
      </c>
      <c r="C189" s="13"/>
      <c r="D189" s="13"/>
      <c r="E189" s="32"/>
      <c r="F189" s="32"/>
      <c r="G189"/>
    </row>
    <row r="190" spans="1:7" ht="15">
      <c r="C190" s="112">
        <v>243995</v>
      </c>
      <c r="D190" s="13" t="s">
        <v>163</v>
      </c>
      <c r="E190" s="32"/>
      <c r="F190" s="32">
        <v>13000</v>
      </c>
      <c r="G190"/>
    </row>
    <row r="191" spans="1:7" ht="15">
      <c r="C191" s="112">
        <v>244208</v>
      </c>
      <c r="D191" s="13" t="s">
        <v>161</v>
      </c>
      <c r="E191" s="32"/>
      <c r="F191" s="32">
        <v>2000</v>
      </c>
      <c r="G191"/>
    </row>
    <row r="192" spans="1:7" ht="15">
      <c r="A192" s="13">
        <v>401009</v>
      </c>
      <c r="B192" s="13" t="s">
        <v>89</v>
      </c>
      <c r="C192" s="13"/>
      <c r="D192" s="13"/>
      <c r="E192" s="32"/>
      <c r="F192" s="32"/>
      <c r="G192"/>
    </row>
    <row r="193" spans="1:7" ht="15">
      <c r="C193" s="112">
        <v>243995</v>
      </c>
      <c r="D193" s="13" t="s">
        <v>163</v>
      </c>
      <c r="E193" s="32"/>
      <c r="F193" s="32">
        <v>4000</v>
      </c>
      <c r="G193"/>
    </row>
    <row r="194" spans="1:7" ht="15">
      <c r="A194" s="13">
        <v>401010</v>
      </c>
      <c r="B194" s="13" t="s">
        <v>90</v>
      </c>
      <c r="C194" s="13"/>
      <c r="D194" s="13"/>
      <c r="E194" s="32"/>
      <c r="F194" s="32"/>
      <c r="G194"/>
    </row>
    <row r="195" spans="1:7" ht="15">
      <c r="C195" s="112">
        <v>243995</v>
      </c>
      <c r="D195" s="13" t="s">
        <v>163</v>
      </c>
      <c r="E195" s="32"/>
      <c r="F195" s="32">
        <v>2640</v>
      </c>
      <c r="G195"/>
    </row>
    <row r="196" spans="1:7" ht="15">
      <c r="A196" s="13">
        <v>401012</v>
      </c>
      <c r="B196" s="13" t="s">
        <v>92</v>
      </c>
      <c r="C196" s="13"/>
      <c r="D196" s="13"/>
      <c r="E196" s="32"/>
      <c r="F196" s="32"/>
      <c r="G196"/>
    </row>
    <row r="197" spans="1:7" ht="15">
      <c r="C197" s="112">
        <v>243995</v>
      </c>
      <c r="D197" s="13" t="s">
        <v>161</v>
      </c>
      <c r="E197" s="32"/>
      <c r="F197" s="32">
        <v>320</v>
      </c>
      <c r="G197"/>
    </row>
    <row r="198" spans="1:7" ht="15">
      <c r="C198" s="112">
        <v>243995</v>
      </c>
      <c r="D198" s="13" t="s">
        <v>163</v>
      </c>
      <c r="E198" s="32"/>
      <c r="F198" s="32">
        <v>19620</v>
      </c>
      <c r="G198"/>
    </row>
    <row r="199" spans="1:7" ht="15">
      <c r="C199" s="112">
        <v>244026</v>
      </c>
      <c r="D199" s="13" t="s">
        <v>161</v>
      </c>
      <c r="E199" s="32"/>
      <c r="F199" s="32">
        <v>180</v>
      </c>
      <c r="G199"/>
    </row>
    <row r="200" spans="1:7" ht="15">
      <c r="C200" s="112">
        <v>244055</v>
      </c>
      <c r="D200" s="13" t="s">
        <v>161</v>
      </c>
      <c r="E200" s="32"/>
      <c r="F200" s="32">
        <v>340</v>
      </c>
      <c r="G200"/>
    </row>
    <row r="201" spans="1:7" ht="15">
      <c r="C201" s="112">
        <v>244086</v>
      </c>
      <c r="D201" s="13" t="s">
        <v>161</v>
      </c>
      <c r="E201" s="32"/>
      <c r="F201" s="32">
        <v>300</v>
      </c>
      <c r="G201"/>
    </row>
    <row r="202" spans="1:7" ht="15">
      <c r="C202" s="112">
        <v>244116</v>
      </c>
      <c r="D202" s="13" t="s">
        <v>161</v>
      </c>
      <c r="E202" s="32"/>
      <c r="F202" s="32">
        <v>490</v>
      </c>
      <c r="G202"/>
    </row>
    <row r="203" spans="1:7" ht="15">
      <c r="C203" s="112">
        <v>244147</v>
      </c>
      <c r="D203" s="13" t="s">
        <v>161</v>
      </c>
      <c r="E203" s="32"/>
      <c r="F203" s="32">
        <v>530</v>
      </c>
      <c r="G203"/>
    </row>
    <row r="204" spans="1:7" ht="15">
      <c r="C204" s="112">
        <v>244177</v>
      </c>
      <c r="D204" s="13" t="s">
        <v>161</v>
      </c>
      <c r="E204" s="32"/>
      <c r="F204" s="32">
        <v>200</v>
      </c>
      <c r="G204"/>
    </row>
    <row r="205" spans="1:7" ht="15">
      <c r="C205" s="112">
        <v>244208</v>
      </c>
      <c r="D205" s="13" t="s">
        <v>161</v>
      </c>
      <c r="E205" s="32"/>
      <c r="F205" s="32">
        <v>380</v>
      </c>
      <c r="G205"/>
    </row>
    <row r="206" spans="1:7" ht="15">
      <c r="C206" s="112">
        <v>244239</v>
      </c>
      <c r="D206" s="13" t="s">
        <v>162</v>
      </c>
      <c r="E206" s="32"/>
      <c r="F206" s="32">
        <v>190</v>
      </c>
      <c r="G206"/>
    </row>
    <row r="207" spans="1:7" ht="15">
      <c r="C207" s="112">
        <v>244269</v>
      </c>
      <c r="D207" s="13" t="s">
        <v>161</v>
      </c>
      <c r="E207" s="32"/>
      <c r="F207" s="32">
        <v>510</v>
      </c>
      <c r="G207"/>
    </row>
    <row r="208" spans="1:7" ht="15">
      <c r="C208" s="112">
        <v>244300</v>
      </c>
      <c r="D208" s="13" t="s">
        <v>161</v>
      </c>
      <c r="E208" s="32"/>
      <c r="F208" s="32">
        <v>120</v>
      </c>
      <c r="G208"/>
    </row>
    <row r="209" spans="3:7" ht="15">
      <c r="C209" s="112">
        <v>244330</v>
      </c>
      <c r="D209" s="13" t="s">
        <v>161</v>
      </c>
      <c r="E209" s="32"/>
      <c r="F209" s="32">
        <v>340</v>
      </c>
      <c r="G209"/>
    </row>
    <row r="210" spans="3:7" ht="15">
      <c r="C210" s="13" t="s">
        <v>168</v>
      </c>
      <c r="D210" s="13" t="s">
        <v>161</v>
      </c>
      <c r="E210" s="32"/>
      <c r="F210" s="32">
        <v>410</v>
      </c>
      <c r="G210"/>
    </row>
    <row r="211" spans="3:7" ht="15">
      <c r="C211" s="13" t="s">
        <v>169</v>
      </c>
      <c r="D211" s="13" t="s">
        <v>161</v>
      </c>
      <c r="E211" s="32"/>
      <c r="F211" s="32">
        <v>370</v>
      </c>
      <c r="G211"/>
    </row>
    <row r="212" spans="3:7" ht="15">
      <c r="C212" s="13" t="s">
        <v>170</v>
      </c>
      <c r="D212" s="13" t="s">
        <v>161</v>
      </c>
      <c r="E212" s="32"/>
      <c r="F212" s="32">
        <v>300</v>
      </c>
      <c r="G212"/>
    </row>
    <row r="213" spans="3:7" ht="15">
      <c r="C213" s="13" t="s">
        <v>171</v>
      </c>
      <c r="D213" s="13" t="s">
        <v>161</v>
      </c>
      <c r="E213" s="32"/>
      <c r="F213" s="32">
        <v>260</v>
      </c>
      <c r="G213"/>
    </row>
    <row r="214" spans="3:7" ht="15">
      <c r="C214" s="13" t="s">
        <v>172</v>
      </c>
      <c r="D214" s="13" t="s">
        <v>161</v>
      </c>
      <c r="E214" s="32"/>
      <c r="F214" s="32">
        <v>90</v>
      </c>
      <c r="G214"/>
    </row>
    <row r="215" spans="3:7" ht="15">
      <c r="C215" s="13" t="s">
        <v>173</v>
      </c>
      <c r="D215" s="13" t="s">
        <v>161</v>
      </c>
      <c r="E215" s="32"/>
      <c r="F215" s="32">
        <v>90</v>
      </c>
      <c r="G215"/>
    </row>
    <row r="216" spans="3:7" ht="15">
      <c r="C216" s="13" t="s">
        <v>174</v>
      </c>
      <c r="D216" s="13" t="s">
        <v>161</v>
      </c>
      <c r="E216" s="32"/>
      <c r="F216" s="32">
        <v>380</v>
      </c>
      <c r="G216"/>
    </row>
    <row r="217" spans="3:7" ht="15">
      <c r="C217" s="13" t="s">
        <v>175</v>
      </c>
      <c r="D217" s="13" t="s">
        <v>161</v>
      </c>
      <c r="E217" s="32"/>
      <c r="F217" s="32">
        <v>210</v>
      </c>
      <c r="G217"/>
    </row>
    <row r="218" spans="3:7" ht="15">
      <c r="C218" s="13" t="s">
        <v>176</v>
      </c>
      <c r="D218" s="13" t="s">
        <v>161</v>
      </c>
      <c r="E218" s="32"/>
      <c r="F218" s="32">
        <v>400</v>
      </c>
      <c r="G218"/>
    </row>
    <row r="219" spans="3:7" ht="15">
      <c r="C219" s="13" t="s">
        <v>177</v>
      </c>
      <c r="D219" s="13" t="s">
        <v>161</v>
      </c>
      <c r="E219" s="32"/>
      <c r="F219" s="32">
        <v>180</v>
      </c>
      <c r="G219"/>
    </row>
    <row r="220" spans="3:7" ht="15">
      <c r="C220" s="13" t="s">
        <v>178</v>
      </c>
      <c r="D220" s="13" t="s">
        <v>161</v>
      </c>
      <c r="E220" s="32"/>
      <c r="F220" s="32">
        <v>350</v>
      </c>
      <c r="G220"/>
    </row>
    <row r="221" spans="3:7" ht="15">
      <c r="C221" s="13" t="s">
        <v>179</v>
      </c>
      <c r="D221" s="13" t="s">
        <v>161</v>
      </c>
      <c r="E221" s="32"/>
      <c r="F221" s="32">
        <v>320</v>
      </c>
      <c r="G221"/>
    </row>
    <row r="222" spans="3:7" ht="15">
      <c r="C222" s="13" t="s">
        <v>180</v>
      </c>
      <c r="D222" s="13" t="s">
        <v>161</v>
      </c>
      <c r="E222" s="32"/>
      <c r="F222" s="32">
        <v>360</v>
      </c>
      <c r="G222"/>
    </row>
    <row r="223" spans="3:7" ht="15">
      <c r="C223" s="13" t="s">
        <v>181</v>
      </c>
      <c r="D223" s="13" t="s">
        <v>161</v>
      </c>
      <c r="E223" s="32"/>
      <c r="F223" s="32">
        <v>350</v>
      </c>
      <c r="G223"/>
    </row>
    <row r="224" spans="3:7" ht="15">
      <c r="C224" s="13" t="s">
        <v>182</v>
      </c>
      <c r="D224" s="13" t="s">
        <v>161</v>
      </c>
      <c r="E224" s="32"/>
      <c r="F224" s="32">
        <v>350</v>
      </c>
      <c r="G224"/>
    </row>
    <row r="225" spans="1:7" ht="15">
      <c r="C225" s="13" t="s">
        <v>183</v>
      </c>
      <c r="D225" s="13" t="s">
        <v>161</v>
      </c>
      <c r="E225" s="32"/>
      <c r="F225" s="32">
        <v>330</v>
      </c>
      <c r="G225"/>
    </row>
    <row r="226" spans="1:7" ht="15">
      <c r="C226" s="13" t="s">
        <v>184</v>
      </c>
      <c r="D226" s="13" t="s">
        <v>161</v>
      </c>
      <c r="E226" s="32"/>
      <c r="F226" s="32">
        <v>640</v>
      </c>
      <c r="G226"/>
    </row>
    <row r="227" spans="1:7" ht="15">
      <c r="C227" s="13" t="s">
        <v>187</v>
      </c>
      <c r="D227" s="13" t="s">
        <v>161</v>
      </c>
      <c r="E227" s="32"/>
      <c r="F227" s="32">
        <v>400</v>
      </c>
      <c r="G227"/>
    </row>
    <row r="228" spans="1:7" ht="15">
      <c r="C228" s="13" t="s">
        <v>188</v>
      </c>
      <c r="D228" s="13" t="s">
        <v>161</v>
      </c>
      <c r="E228" s="32"/>
      <c r="F228" s="32">
        <v>480</v>
      </c>
      <c r="G228"/>
    </row>
    <row r="229" spans="1:7" ht="15">
      <c r="A229" s="13">
        <v>401013</v>
      </c>
      <c r="B229" s="13" t="s">
        <v>93</v>
      </c>
      <c r="C229" s="13"/>
      <c r="D229" s="13"/>
      <c r="E229" s="32"/>
      <c r="F229" s="32"/>
      <c r="G229"/>
    </row>
    <row r="230" spans="1:7" ht="15">
      <c r="C230" s="112">
        <v>243995</v>
      </c>
      <c r="D230" s="13" t="s">
        <v>161</v>
      </c>
      <c r="E230" s="32"/>
      <c r="F230" s="32">
        <v>4770</v>
      </c>
      <c r="G230"/>
    </row>
    <row r="231" spans="1:7" ht="15">
      <c r="C231" s="112">
        <v>243995</v>
      </c>
      <c r="D231" s="13" t="s">
        <v>163</v>
      </c>
      <c r="E231" s="32"/>
      <c r="F231" s="32">
        <v>103320</v>
      </c>
      <c r="G231"/>
    </row>
    <row r="232" spans="1:7" ht="15">
      <c r="C232" s="112">
        <v>244026</v>
      </c>
      <c r="D232" s="13" t="s">
        <v>161</v>
      </c>
      <c r="E232" s="32"/>
      <c r="F232" s="32">
        <v>2070</v>
      </c>
      <c r="G232"/>
    </row>
    <row r="233" spans="1:7" ht="15">
      <c r="A233" s="13">
        <v>401014</v>
      </c>
      <c r="B233" s="13" t="s">
        <v>94</v>
      </c>
      <c r="C233" s="13"/>
      <c r="D233" s="13"/>
      <c r="E233" s="32"/>
      <c r="F233" s="32"/>
      <c r="G233"/>
    </row>
    <row r="234" spans="1:7" ht="15">
      <c r="C234" s="112">
        <v>243995</v>
      </c>
      <c r="D234" s="13" t="s">
        <v>161</v>
      </c>
      <c r="E234" s="32"/>
      <c r="F234" s="32">
        <v>2000</v>
      </c>
      <c r="G234"/>
    </row>
    <row r="235" spans="1:7" ht="15">
      <c r="C235" s="112">
        <v>243995</v>
      </c>
      <c r="D235" s="13" t="s">
        <v>163</v>
      </c>
      <c r="E235" s="32"/>
      <c r="F235" s="32">
        <v>2000</v>
      </c>
      <c r="G235"/>
    </row>
    <row r="236" spans="1:7" ht="15">
      <c r="C236" s="13" t="s">
        <v>188</v>
      </c>
      <c r="D236" s="13" t="s">
        <v>161</v>
      </c>
      <c r="E236" s="32"/>
      <c r="F236" s="32">
        <v>2000</v>
      </c>
      <c r="G236"/>
    </row>
    <row r="237" spans="1:7" ht="15">
      <c r="A237" s="13">
        <v>401016</v>
      </c>
      <c r="B237" s="13" t="s">
        <v>96</v>
      </c>
      <c r="C237" s="13"/>
      <c r="D237" s="13"/>
      <c r="E237" s="32"/>
      <c r="F237" s="32"/>
      <c r="G237"/>
    </row>
    <row r="238" spans="1:7" ht="15">
      <c r="C238" s="112">
        <v>243995</v>
      </c>
      <c r="D238" s="13" t="s">
        <v>163</v>
      </c>
      <c r="E238" s="32"/>
      <c r="F238" s="32">
        <v>600</v>
      </c>
      <c r="G238"/>
    </row>
    <row r="239" spans="1:7" ht="15">
      <c r="C239" s="112">
        <v>244239</v>
      </c>
      <c r="D239" s="13" t="s">
        <v>162</v>
      </c>
      <c r="E239" s="32"/>
      <c r="F239" s="32">
        <v>100</v>
      </c>
      <c r="G239"/>
    </row>
    <row r="240" spans="1:7" ht="15">
      <c r="A240" s="13">
        <v>401017</v>
      </c>
      <c r="B240" s="13" t="s">
        <v>97</v>
      </c>
      <c r="C240" s="13"/>
      <c r="D240" s="13"/>
      <c r="E240" s="32"/>
      <c r="F240" s="32"/>
      <c r="G240"/>
    </row>
    <row r="241" spans="1:7" ht="15">
      <c r="C241" s="13" t="s">
        <v>188</v>
      </c>
      <c r="D241" s="13" t="s">
        <v>97</v>
      </c>
      <c r="E241" s="32"/>
      <c r="F241" s="32">
        <v>6479.13</v>
      </c>
      <c r="G241"/>
    </row>
    <row r="242" spans="1:7" ht="15">
      <c r="A242" s="13">
        <v>401018</v>
      </c>
      <c r="B242" s="13" t="s">
        <v>98</v>
      </c>
      <c r="C242" s="13"/>
      <c r="D242" s="13"/>
      <c r="E242" s="32"/>
      <c r="F242" s="32"/>
      <c r="G242"/>
    </row>
    <row r="243" spans="1:7" ht="15">
      <c r="C243" s="112">
        <v>243995</v>
      </c>
      <c r="D243" s="13" t="s">
        <v>161</v>
      </c>
      <c r="E243" s="32"/>
      <c r="F243" s="32">
        <v>50</v>
      </c>
      <c r="G243"/>
    </row>
    <row r="244" spans="1:7" ht="15">
      <c r="C244" s="112">
        <v>243995</v>
      </c>
      <c r="D244" s="13" t="s">
        <v>163</v>
      </c>
      <c r="E244" s="32"/>
      <c r="F244" s="32">
        <v>1500</v>
      </c>
      <c r="G244"/>
    </row>
    <row r="245" spans="1:7" ht="15">
      <c r="C245" s="112">
        <v>244055</v>
      </c>
      <c r="D245" s="13" t="s">
        <v>161</v>
      </c>
      <c r="E245" s="32"/>
      <c r="F245" s="32">
        <v>50</v>
      </c>
      <c r="G245"/>
    </row>
    <row r="246" spans="1:7" ht="15">
      <c r="C246" s="112">
        <v>244116</v>
      </c>
      <c r="D246" s="13" t="s">
        <v>161</v>
      </c>
      <c r="E246" s="32"/>
      <c r="F246" s="32">
        <v>50</v>
      </c>
      <c r="G246"/>
    </row>
    <row r="247" spans="1:7" ht="15">
      <c r="C247" s="112">
        <v>244269</v>
      </c>
      <c r="D247" s="13" t="s">
        <v>161</v>
      </c>
      <c r="E247" s="32"/>
      <c r="F247" s="32">
        <v>100</v>
      </c>
      <c r="G247"/>
    </row>
    <row r="248" spans="1:7" ht="15">
      <c r="C248" s="13" t="s">
        <v>170</v>
      </c>
      <c r="D248" s="13" t="s">
        <v>161</v>
      </c>
      <c r="E248" s="32"/>
      <c r="F248" s="32">
        <v>50</v>
      </c>
      <c r="G248"/>
    </row>
    <row r="249" spans="1:7" ht="15">
      <c r="C249" s="13" t="s">
        <v>174</v>
      </c>
      <c r="D249" s="13" t="s">
        <v>161</v>
      </c>
      <c r="E249" s="32"/>
      <c r="F249" s="32">
        <v>50</v>
      </c>
      <c r="G249"/>
    </row>
    <row r="250" spans="1:7" ht="15">
      <c r="C250" s="13" t="s">
        <v>175</v>
      </c>
      <c r="D250" s="13" t="s">
        <v>161</v>
      </c>
      <c r="E250" s="32"/>
      <c r="F250" s="32">
        <v>50</v>
      </c>
      <c r="G250"/>
    </row>
    <row r="251" spans="1:7" ht="15">
      <c r="C251" s="13" t="s">
        <v>176</v>
      </c>
      <c r="D251" s="13" t="s">
        <v>161</v>
      </c>
      <c r="E251" s="32"/>
      <c r="F251" s="32">
        <v>100</v>
      </c>
      <c r="G251"/>
    </row>
    <row r="252" spans="1:7" ht="15">
      <c r="C252" s="13" t="s">
        <v>179</v>
      </c>
      <c r="D252" s="13" t="s">
        <v>161</v>
      </c>
      <c r="E252" s="32"/>
      <c r="F252" s="32">
        <v>50</v>
      </c>
      <c r="G252"/>
    </row>
    <row r="253" spans="1:7" ht="15">
      <c r="C253" s="13" t="s">
        <v>182</v>
      </c>
      <c r="D253" s="13" t="s">
        <v>161</v>
      </c>
      <c r="E253" s="32"/>
      <c r="F253" s="32">
        <v>50</v>
      </c>
      <c r="G253"/>
    </row>
    <row r="254" spans="1:7" ht="15">
      <c r="C254" s="13" t="s">
        <v>183</v>
      </c>
      <c r="D254" s="13" t="s">
        <v>161</v>
      </c>
      <c r="E254" s="32"/>
      <c r="F254" s="32">
        <v>100</v>
      </c>
      <c r="G254"/>
    </row>
    <row r="255" spans="1:7" ht="15">
      <c r="C255" s="13" t="s">
        <v>187</v>
      </c>
      <c r="D255" s="13" t="s">
        <v>161</v>
      </c>
      <c r="E255" s="32"/>
      <c r="F255" s="32">
        <v>50</v>
      </c>
      <c r="G255"/>
    </row>
    <row r="256" spans="1:7" ht="15">
      <c r="C256" s="13" t="s">
        <v>188</v>
      </c>
      <c r="D256" s="13" t="s">
        <v>161</v>
      </c>
      <c r="E256" s="32"/>
      <c r="F256" s="32">
        <v>50</v>
      </c>
      <c r="G256"/>
    </row>
    <row r="257" spans="1:7" ht="15">
      <c r="A257" s="13">
        <v>501001</v>
      </c>
      <c r="B257" s="13" t="s">
        <v>100</v>
      </c>
      <c r="C257" s="13"/>
      <c r="D257" s="13"/>
      <c r="E257" s="32"/>
      <c r="F257" s="32"/>
      <c r="G257"/>
    </row>
    <row r="258" spans="1:7" ht="15">
      <c r="C258" s="112">
        <v>243995</v>
      </c>
      <c r="D258" s="13" t="s">
        <v>163</v>
      </c>
      <c r="E258" s="32">
        <v>61600</v>
      </c>
      <c r="F258" s="32"/>
      <c r="G258"/>
    </row>
    <row r="259" spans="1:7" ht="15">
      <c r="C259" s="112">
        <v>244239</v>
      </c>
      <c r="D259" s="13" t="s">
        <v>167</v>
      </c>
      <c r="E259" s="32">
        <v>61600</v>
      </c>
      <c r="F259" s="32"/>
      <c r="G259"/>
    </row>
    <row r="260" spans="1:7" ht="15">
      <c r="A260" s="13">
        <v>501003</v>
      </c>
      <c r="B260" s="13" t="s">
        <v>102</v>
      </c>
      <c r="C260" s="13"/>
      <c r="D260" s="13"/>
      <c r="E260" s="32"/>
      <c r="F260" s="32"/>
      <c r="G260"/>
    </row>
    <row r="261" spans="1:7" ht="15">
      <c r="C261" s="112">
        <v>243995</v>
      </c>
      <c r="D261" s="13" t="s">
        <v>163</v>
      </c>
      <c r="E261" s="32">
        <v>25984.2</v>
      </c>
      <c r="F261" s="32"/>
      <c r="G261"/>
    </row>
    <row r="262" spans="1:7" ht="15">
      <c r="C262" s="112">
        <v>244239</v>
      </c>
      <c r="D262" s="13" t="s">
        <v>165</v>
      </c>
      <c r="E262" s="32">
        <v>12159.4</v>
      </c>
      <c r="F262" s="32"/>
      <c r="G262"/>
    </row>
    <row r="263" spans="1:7" ht="15">
      <c r="A263" s="13">
        <v>501022</v>
      </c>
      <c r="B263" s="13" t="s">
        <v>121</v>
      </c>
      <c r="C263" s="13"/>
      <c r="D263" s="13"/>
      <c r="E263" s="32"/>
      <c r="F263" s="32"/>
      <c r="G263"/>
    </row>
    <row r="264" spans="1:7" ht="15">
      <c r="C264" s="112">
        <v>243995</v>
      </c>
      <c r="D264" s="13" t="s">
        <v>163</v>
      </c>
      <c r="E264" s="32">
        <v>106058.31</v>
      </c>
      <c r="F264" s="32"/>
      <c r="G264"/>
    </row>
    <row r="265" spans="1:7" ht="15">
      <c r="A265" s="13">
        <v>501023</v>
      </c>
      <c r="B265" s="13" t="s">
        <v>122</v>
      </c>
      <c r="C265" s="13"/>
      <c r="D265" s="13"/>
      <c r="E265" s="32"/>
      <c r="F265" s="32"/>
      <c r="G265"/>
    </row>
    <row r="266" spans="1:7" ht="15">
      <c r="C266" s="112">
        <v>243995</v>
      </c>
      <c r="D266" s="13" t="s">
        <v>163</v>
      </c>
      <c r="E266" s="32">
        <v>106058.31</v>
      </c>
      <c r="F266" s="32"/>
      <c r="G266"/>
    </row>
    <row r="267" spans="1:7" ht="15">
      <c r="A267" s="13">
        <v>501025</v>
      </c>
      <c r="B267" s="13" t="s">
        <v>186</v>
      </c>
      <c r="C267" s="13"/>
      <c r="D267" s="13"/>
      <c r="E267" s="32"/>
      <c r="F267" s="32"/>
      <c r="G267"/>
    </row>
    <row r="268" spans="1:7" ht="15">
      <c r="C268" s="13" t="s">
        <v>184</v>
      </c>
      <c r="D268" s="13" t="s">
        <v>186</v>
      </c>
      <c r="E268" s="32">
        <v>407022.3</v>
      </c>
      <c r="F268" s="32"/>
      <c r="G268"/>
    </row>
    <row r="269" spans="1:7" ht="15">
      <c r="A269" s="13" t="s">
        <v>159</v>
      </c>
      <c r="C269" s="13"/>
      <c r="D269" s="13"/>
      <c r="E269" s="32">
        <v>4459087.2</v>
      </c>
      <c r="F269" s="32">
        <v>4459087.2</v>
      </c>
      <c r="G269"/>
    </row>
    <row r="270" spans="1:7" ht="15">
      <c r="A270"/>
      <c r="B270"/>
      <c r="C270"/>
      <c r="D270"/>
      <c r="E270"/>
      <c r="F270"/>
      <c r="G270"/>
    </row>
    <row r="271" spans="1:7" ht="15">
      <c r="A271"/>
      <c r="B271"/>
      <c r="C271"/>
      <c r="D271"/>
      <c r="E271"/>
      <c r="F271"/>
      <c r="G271"/>
    </row>
    <row r="272" spans="1:7" ht="15">
      <c r="A272"/>
      <c r="B272"/>
      <c r="C272"/>
      <c r="D272"/>
      <c r="E272"/>
      <c r="F272"/>
      <c r="G272"/>
    </row>
    <row r="273" spans="1:7" ht="15">
      <c r="A273"/>
      <c r="B273"/>
      <c r="C273"/>
      <c r="D273"/>
      <c r="E273"/>
      <c r="F273"/>
      <c r="G273"/>
    </row>
    <row r="274" spans="1:7" ht="15">
      <c r="A274"/>
      <c r="B274"/>
      <c r="C274"/>
      <c r="D274"/>
      <c r="E274"/>
      <c r="F274"/>
      <c r="G274"/>
    </row>
    <row r="275" spans="1:7" ht="15">
      <c r="A275"/>
      <c r="B275"/>
      <c r="C275"/>
      <c r="D275"/>
      <c r="E275"/>
      <c r="F275"/>
      <c r="G275"/>
    </row>
    <row r="276" spans="1:7" ht="15">
      <c r="A276"/>
      <c r="B276"/>
      <c r="C276"/>
      <c r="D276"/>
      <c r="E276"/>
      <c r="F276"/>
      <c r="G276"/>
    </row>
    <row r="277" spans="1:7" ht="15">
      <c r="A277"/>
      <c r="B277"/>
      <c r="C277"/>
      <c r="D277"/>
      <c r="E277"/>
      <c r="F277"/>
      <c r="G277"/>
    </row>
    <row r="278" spans="1:7" ht="15">
      <c r="A278"/>
      <c r="B278"/>
      <c r="C278"/>
      <c r="D278"/>
      <c r="E278"/>
      <c r="F278"/>
      <c r="G278"/>
    </row>
    <row r="279" spans="1:7" ht="15">
      <c r="A279"/>
      <c r="B279"/>
      <c r="C279"/>
      <c r="D279"/>
      <c r="E279"/>
      <c r="F279"/>
      <c r="G279"/>
    </row>
    <row r="280" spans="1:7" ht="15">
      <c r="A280"/>
      <c r="B280"/>
      <c r="C280"/>
      <c r="D280"/>
      <c r="E280"/>
      <c r="F280"/>
      <c r="G280"/>
    </row>
    <row r="281" spans="1:7" ht="15">
      <c r="A281"/>
      <c r="B281"/>
      <c r="C281"/>
      <c r="D281"/>
      <c r="E281"/>
      <c r="F281"/>
      <c r="G281"/>
    </row>
    <row r="282" spans="1:7" ht="15">
      <c r="A282"/>
      <c r="B282"/>
      <c r="C282"/>
      <c r="D282"/>
      <c r="E282"/>
      <c r="F282"/>
      <c r="G282"/>
    </row>
    <row r="283" spans="1:7" ht="15">
      <c r="A283"/>
      <c r="B283"/>
      <c r="C283"/>
      <c r="D283"/>
      <c r="E283"/>
      <c r="F283"/>
      <c r="G283"/>
    </row>
    <row r="284" spans="1:7" ht="15">
      <c r="A284"/>
      <c r="B284"/>
      <c r="C284"/>
      <c r="D284"/>
      <c r="E284"/>
      <c r="F284"/>
      <c r="G284"/>
    </row>
    <row r="285" spans="1:7" ht="15">
      <c r="A285"/>
      <c r="B285"/>
      <c r="C285"/>
      <c r="D285"/>
      <c r="E285"/>
      <c r="F285"/>
      <c r="G285"/>
    </row>
    <row r="286" spans="1:7" ht="15">
      <c r="A286"/>
      <c r="B286"/>
      <c r="C286"/>
      <c r="D286"/>
      <c r="E286"/>
      <c r="F286"/>
      <c r="G286"/>
    </row>
    <row r="287" spans="1:7" ht="15">
      <c r="A287"/>
      <c r="B287"/>
      <c r="C287"/>
      <c r="D287"/>
      <c r="E287"/>
      <c r="F287"/>
      <c r="G287"/>
    </row>
    <row r="288" spans="1:7" ht="15">
      <c r="A288"/>
      <c r="B288"/>
      <c r="C288"/>
      <c r="D288"/>
      <c r="E288"/>
      <c r="F288"/>
      <c r="G288"/>
    </row>
    <row r="289" spans="1:7" ht="15">
      <c r="A289"/>
      <c r="B289"/>
      <c r="C289"/>
      <c r="D289"/>
      <c r="E289"/>
      <c r="F289"/>
      <c r="G289"/>
    </row>
    <row r="290" spans="1:7" ht="15">
      <c r="A290"/>
      <c r="B290"/>
      <c r="C290"/>
      <c r="D290"/>
      <c r="E290"/>
      <c r="F290"/>
      <c r="G290"/>
    </row>
    <row r="291" spans="1:7" ht="15">
      <c r="A291"/>
      <c r="B291"/>
      <c r="C291"/>
      <c r="D291"/>
      <c r="E291"/>
      <c r="F291"/>
      <c r="G291"/>
    </row>
    <row r="292" spans="1:7" ht="15">
      <c r="A292"/>
      <c r="B292"/>
      <c r="C292"/>
      <c r="D292"/>
      <c r="E292"/>
      <c r="F292"/>
      <c r="G292"/>
    </row>
    <row r="293" spans="1:7" ht="15">
      <c r="A293"/>
      <c r="B293"/>
      <c r="C293"/>
      <c r="D293"/>
      <c r="E293"/>
      <c r="F293"/>
      <c r="G293"/>
    </row>
    <row r="294" spans="1:7" ht="15">
      <c r="A294"/>
      <c r="B294"/>
      <c r="C294"/>
      <c r="D294"/>
      <c r="E294"/>
      <c r="F294"/>
      <c r="G294"/>
    </row>
    <row r="295" spans="1:7" ht="15">
      <c r="A295"/>
      <c r="B295"/>
      <c r="C295"/>
      <c r="D295"/>
      <c r="E295"/>
      <c r="F295"/>
      <c r="G295"/>
    </row>
    <row r="296" spans="1:7" ht="15">
      <c r="A296"/>
      <c r="B296"/>
      <c r="C296"/>
      <c r="D296"/>
      <c r="E296"/>
      <c r="F296"/>
      <c r="G296"/>
    </row>
    <row r="297" spans="1:7" ht="15">
      <c r="A297"/>
      <c r="B297"/>
      <c r="C297"/>
      <c r="D297"/>
      <c r="E297"/>
      <c r="F297"/>
      <c r="G297"/>
    </row>
    <row r="298" spans="1:7" ht="15">
      <c r="A298"/>
      <c r="B298"/>
      <c r="C298"/>
      <c r="D298"/>
      <c r="E298"/>
      <c r="F298"/>
      <c r="G298"/>
    </row>
    <row r="299" spans="1:7" ht="15">
      <c r="A299"/>
      <c r="B299"/>
      <c r="C299"/>
      <c r="D299"/>
      <c r="E299"/>
      <c r="F299"/>
      <c r="G299"/>
    </row>
    <row r="300" spans="1:7" ht="15">
      <c r="A300"/>
      <c r="B300"/>
      <c r="C300"/>
      <c r="D300"/>
      <c r="E300"/>
      <c r="F300"/>
      <c r="G300"/>
    </row>
    <row r="301" spans="1:7" ht="15">
      <c r="A301"/>
      <c r="B301"/>
      <c r="C301"/>
      <c r="D301"/>
      <c r="E301"/>
      <c r="F301"/>
      <c r="G301"/>
    </row>
    <row r="302" spans="1:7" ht="15">
      <c r="A302"/>
      <c r="B302"/>
      <c r="C302"/>
      <c r="D302"/>
      <c r="E302"/>
      <c r="F302"/>
      <c r="G302"/>
    </row>
    <row r="303" spans="1:7" ht="15">
      <c r="A303"/>
      <c r="B303"/>
      <c r="C303"/>
      <c r="D303"/>
      <c r="E303"/>
      <c r="F303"/>
      <c r="G303"/>
    </row>
    <row r="304" spans="1:7" ht="15">
      <c r="A304"/>
      <c r="B304"/>
      <c r="C304"/>
      <c r="D304"/>
      <c r="E304"/>
      <c r="F304"/>
      <c r="G304"/>
    </row>
    <row r="305" spans="1:7" ht="15">
      <c r="A305"/>
      <c r="B305"/>
      <c r="C305"/>
      <c r="D305"/>
      <c r="E305"/>
      <c r="F305"/>
      <c r="G305"/>
    </row>
    <row r="306" spans="1:7" ht="15">
      <c r="A306"/>
      <c r="B306"/>
      <c r="C306"/>
      <c r="D306"/>
      <c r="E306"/>
      <c r="F306"/>
      <c r="G306"/>
    </row>
    <row r="307" spans="1:7" ht="15">
      <c r="A307"/>
      <c r="B307"/>
      <c r="C307"/>
      <c r="D307"/>
      <c r="E307"/>
      <c r="F307"/>
      <c r="G307"/>
    </row>
    <row r="308" spans="1:7" ht="15">
      <c r="A308"/>
      <c r="B308"/>
      <c r="C308"/>
      <c r="D308"/>
      <c r="E308"/>
      <c r="F308"/>
      <c r="G308"/>
    </row>
    <row r="309" spans="1:7" ht="15">
      <c r="A309"/>
      <c r="B309"/>
      <c r="C309"/>
      <c r="D309"/>
      <c r="E309"/>
      <c r="F309"/>
      <c r="G309"/>
    </row>
    <row r="310" spans="1:7" ht="15">
      <c r="A310"/>
      <c r="B310"/>
      <c r="C310"/>
      <c r="D310"/>
      <c r="E310"/>
      <c r="F310"/>
      <c r="G310"/>
    </row>
    <row r="311" spans="1:7" ht="15">
      <c r="A311"/>
      <c r="B311"/>
      <c r="C311"/>
      <c r="D311"/>
      <c r="E311"/>
      <c r="F311"/>
      <c r="G311"/>
    </row>
    <row r="312" spans="1:7" ht="15">
      <c r="A312"/>
      <c r="B312"/>
      <c r="C312"/>
      <c r="D312"/>
      <c r="E312"/>
      <c r="F312"/>
      <c r="G312"/>
    </row>
    <row r="313" spans="1:7" ht="15">
      <c r="A313"/>
      <c r="B313"/>
      <c r="C313"/>
      <c r="D313"/>
      <c r="E313"/>
      <c r="F313"/>
      <c r="G313"/>
    </row>
    <row r="314" spans="1:7" ht="15">
      <c r="A314"/>
      <c r="B314"/>
      <c r="C314"/>
      <c r="D314"/>
      <c r="E314"/>
      <c r="F314"/>
      <c r="G314"/>
    </row>
    <row r="315" spans="1:7" ht="15">
      <c r="A315"/>
      <c r="B315"/>
      <c r="C315"/>
      <c r="D315"/>
      <c r="E315"/>
      <c r="F315"/>
      <c r="G315"/>
    </row>
    <row r="316" spans="1:7" ht="15">
      <c r="A316"/>
      <c r="B316"/>
      <c r="C316"/>
      <c r="D316"/>
      <c r="E316"/>
      <c r="F316"/>
      <c r="G316"/>
    </row>
    <row r="317" spans="1:7" ht="15">
      <c r="A317"/>
      <c r="B317"/>
      <c r="C317"/>
      <c r="D317"/>
      <c r="E317"/>
      <c r="F317"/>
      <c r="G317"/>
    </row>
    <row r="318" spans="1:7" ht="15">
      <c r="A318"/>
      <c r="B318"/>
      <c r="C318"/>
      <c r="D318"/>
      <c r="E318"/>
      <c r="F318"/>
      <c r="G318"/>
    </row>
    <row r="319" spans="1:7" ht="15">
      <c r="A319"/>
      <c r="B319"/>
      <c r="C319"/>
      <c r="D319"/>
      <c r="E319"/>
      <c r="F319"/>
      <c r="G319"/>
    </row>
    <row r="320" spans="1:7" ht="15">
      <c r="A320"/>
      <c r="B320"/>
      <c r="C320"/>
      <c r="D320"/>
      <c r="E320"/>
      <c r="F320"/>
      <c r="G320"/>
    </row>
    <row r="321" spans="1:7" ht="15">
      <c r="A321"/>
      <c r="B321"/>
      <c r="C321"/>
      <c r="D321"/>
      <c r="E321"/>
      <c r="F321"/>
      <c r="G321"/>
    </row>
    <row r="322" spans="1:7" ht="15">
      <c r="A322"/>
      <c r="B322"/>
      <c r="C322"/>
      <c r="D322"/>
      <c r="E322"/>
      <c r="F322"/>
      <c r="G322"/>
    </row>
    <row r="323" spans="1:7" ht="15">
      <c r="A323"/>
      <c r="B323"/>
      <c r="C323"/>
      <c r="D323"/>
      <c r="E323"/>
      <c r="F323"/>
      <c r="G323"/>
    </row>
    <row r="324" spans="1:7" ht="15">
      <c r="A324"/>
      <c r="B324"/>
      <c r="C324"/>
      <c r="D324"/>
      <c r="E324"/>
      <c r="F324"/>
      <c r="G324"/>
    </row>
    <row r="325" spans="1:7" ht="15">
      <c r="A325"/>
      <c r="B325"/>
      <c r="C325"/>
      <c r="D325"/>
      <c r="E325"/>
      <c r="F325"/>
      <c r="G325"/>
    </row>
    <row r="326" spans="1:7" ht="15">
      <c r="A326"/>
      <c r="B326"/>
      <c r="C326"/>
      <c r="D326"/>
      <c r="E326"/>
      <c r="F326"/>
      <c r="G326"/>
    </row>
    <row r="327" spans="1:7" ht="15">
      <c r="A327"/>
      <c r="B327"/>
      <c r="C327"/>
      <c r="D327"/>
      <c r="E327"/>
      <c r="F327"/>
      <c r="G327"/>
    </row>
    <row r="328" spans="1:7" ht="15">
      <c r="A328"/>
      <c r="B328"/>
      <c r="C328"/>
      <c r="D328"/>
      <c r="E328"/>
      <c r="F328"/>
      <c r="G328"/>
    </row>
    <row r="329" spans="1:7" ht="15">
      <c r="A329"/>
      <c r="B329"/>
      <c r="C329"/>
      <c r="D329"/>
      <c r="E329"/>
      <c r="F329"/>
      <c r="G329"/>
    </row>
    <row r="330" spans="1:7" ht="15">
      <c r="A330"/>
      <c r="B330"/>
      <c r="C330"/>
      <c r="D330"/>
      <c r="E330"/>
      <c r="F330"/>
      <c r="G330"/>
    </row>
    <row r="331" spans="1:7" ht="15">
      <c r="A331"/>
      <c r="B331"/>
      <c r="C331"/>
      <c r="D331"/>
      <c r="E331"/>
      <c r="F331"/>
      <c r="G331"/>
    </row>
    <row r="332" spans="1:7" ht="15">
      <c r="A332"/>
      <c r="B332"/>
      <c r="C332"/>
      <c r="D332"/>
      <c r="E332"/>
      <c r="F332"/>
      <c r="G332"/>
    </row>
    <row r="333" spans="1:7" ht="15">
      <c r="A333"/>
      <c r="B333"/>
      <c r="C333"/>
      <c r="D333"/>
      <c r="E333"/>
      <c r="F333"/>
      <c r="G333"/>
    </row>
    <row r="334" spans="1:7" ht="15">
      <c r="A334"/>
      <c r="B334"/>
      <c r="C334"/>
      <c r="D334"/>
      <c r="E334"/>
      <c r="F334"/>
      <c r="G334"/>
    </row>
    <row r="335" spans="1:7" ht="15">
      <c r="A335"/>
      <c r="B335"/>
      <c r="C335"/>
      <c r="D335"/>
      <c r="E335"/>
      <c r="F335"/>
      <c r="G335"/>
    </row>
    <row r="336" spans="1:7" ht="15">
      <c r="A336"/>
      <c r="B336"/>
      <c r="C336"/>
      <c r="D336"/>
      <c r="E336"/>
      <c r="F336"/>
      <c r="G336"/>
    </row>
    <row r="337" spans="1:7" ht="15">
      <c r="A337"/>
      <c r="B337"/>
      <c r="C337"/>
      <c r="D337"/>
      <c r="E337"/>
      <c r="F337"/>
      <c r="G337"/>
    </row>
    <row r="338" spans="1:7" ht="15">
      <c r="A338"/>
      <c r="B338"/>
      <c r="C338"/>
      <c r="D338"/>
      <c r="E338"/>
      <c r="F338"/>
      <c r="G338"/>
    </row>
    <row r="339" spans="1:7" ht="15">
      <c r="A339"/>
      <c r="B339"/>
      <c r="C339"/>
      <c r="D339"/>
      <c r="E339"/>
      <c r="F339"/>
      <c r="G339"/>
    </row>
    <row r="340" spans="1:7" ht="15">
      <c r="A340"/>
      <c r="B340"/>
      <c r="C340"/>
      <c r="D340"/>
      <c r="E340"/>
      <c r="F340"/>
      <c r="G340"/>
    </row>
    <row r="341" spans="1:7" ht="15">
      <c r="A341"/>
      <c r="B341"/>
      <c r="C341"/>
      <c r="D341"/>
      <c r="E341"/>
      <c r="F341"/>
      <c r="G341"/>
    </row>
    <row r="342" spans="1:7" ht="15">
      <c r="A342"/>
      <c r="B342"/>
      <c r="C342"/>
      <c r="D342"/>
      <c r="E342"/>
      <c r="F342"/>
      <c r="G342"/>
    </row>
    <row r="343" spans="1:7" ht="15">
      <c r="A343"/>
      <c r="B343"/>
      <c r="C343"/>
      <c r="D343"/>
      <c r="E343"/>
      <c r="F343"/>
      <c r="G343"/>
    </row>
    <row r="344" spans="1:7" ht="15">
      <c r="A344"/>
      <c r="B344"/>
      <c r="C344"/>
      <c r="D344"/>
      <c r="E344"/>
      <c r="F344"/>
      <c r="G344"/>
    </row>
    <row r="345" spans="1:7" ht="15">
      <c r="A345"/>
      <c r="B345"/>
      <c r="C345"/>
      <c r="D345"/>
      <c r="E345"/>
      <c r="F345"/>
      <c r="G345"/>
    </row>
    <row r="346" spans="1:7" ht="15">
      <c r="A346"/>
      <c r="B346"/>
      <c r="C346"/>
      <c r="D346"/>
      <c r="E346"/>
      <c r="F346"/>
      <c r="G346"/>
    </row>
    <row r="347" spans="1:7" ht="15">
      <c r="A347"/>
      <c r="B347"/>
      <c r="C347"/>
      <c r="D347"/>
      <c r="E347"/>
      <c r="F347"/>
      <c r="G347"/>
    </row>
    <row r="348" spans="1:7" ht="15">
      <c r="A348"/>
      <c r="B348"/>
      <c r="C348"/>
      <c r="D348"/>
      <c r="E348"/>
      <c r="F348"/>
      <c r="G348"/>
    </row>
    <row r="349" spans="1:7" ht="15">
      <c r="A349"/>
      <c r="B349"/>
      <c r="C349"/>
      <c r="D349"/>
      <c r="E349"/>
      <c r="F349"/>
      <c r="G349"/>
    </row>
    <row r="350" spans="1:7" ht="15">
      <c r="A350"/>
      <c r="B350"/>
      <c r="C350"/>
      <c r="D350"/>
      <c r="E350"/>
      <c r="F350"/>
      <c r="G350"/>
    </row>
    <row r="351" spans="1:7" ht="15">
      <c r="A351"/>
      <c r="B351"/>
      <c r="C351"/>
      <c r="D351"/>
      <c r="E351"/>
      <c r="F351"/>
      <c r="G351"/>
    </row>
    <row r="352" spans="1:7" ht="15">
      <c r="A352"/>
      <c r="B352"/>
      <c r="C352"/>
      <c r="D352"/>
      <c r="E352"/>
      <c r="F352"/>
      <c r="G352"/>
    </row>
    <row r="353" spans="1:7" ht="15">
      <c r="A353"/>
      <c r="B353"/>
      <c r="C353"/>
      <c r="D353"/>
      <c r="E353"/>
      <c r="F353"/>
      <c r="G353"/>
    </row>
    <row r="354" spans="1:7" ht="15">
      <c r="A354"/>
      <c r="B354"/>
      <c r="C354"/>
      <c r="D354"/>
      <c r="E354"/>
      <c r="F354"/>
      <c r="G354"/>
    </row>
    <row r="355" spans="1:7" ht="15">
      <c r="A355"/>
      <c r="B355"/>
      <c r="C355"/>
      <c r="D355"/>
      <c r="E355"/>
      <c r="F355"/>
      <c r="G355"/>
    </row>
    <row r="356" spans="1:7" ht="15">
      <c r="A356"/>
      <c r="B356"/>
      <c r="C356"/>
      <c r="D356"/>
      <c r="E356"/>
      <c r="F356"/>
      <c r="G356"/>
    </row>
    <row r="357" spans="1:7" ht="15">
      <c r="A357"/>
      <c r="B357"/>
      <c r="C357"/>
      <c r="D357"/>
      <c r="E357"/>
      <c r="F357"/>
      <c r="G357"/>
    </row>
    <row r="358" spans="1:7" ht="15">
      <c r="A358"/>
      <c r="B358"/>
      <c r="C358"/>
      <c r="D358"/>
      <c r="E358"/>
      <c r="F358"/>
      <c r="G358"/>
    </row>
    <row r="359" spans="1:7" ht="15">
      <c r="A359"/>
      <c r="B359"/>
      <c r="C359"/>
      <c r="D359"/>
      <c r="E359"/>
      <c r="F359"/>
      <c r="G359"/>
    </row>
    <row r="360" spans="1:7" ht="15">
      <c r="A360"/>
      <c r="B360"/>
      <c r="C360"/>
      <c r="D360"/>
      <c r="E360"/>
      <c r="F360"/>
      <c r="G360"/>
    </row>
    <row r="361" spans="1:7" ht="15">
      <c r="A361"/>
      <c r="B361"/>
      <c r="C361"/>
      <c r="D361"/>
      <c r="E361"/>
      <c r="F361"/>
      <c r="G361"/>
    </row>
    <row r="362" spans="1:7" ht="15">
      <c r="A362"/>
      <c r="B362"/>
      <c r="C362"/>
      <c r="D362"/>
      <c r="E362"/>
      <c r="F362"/>
      <c r="G362"/>
    </row>
    <row r="363" spans="1:7" ht="15">
      <c r="A363"/>
      <c r="B363"/>
      <c r="C363"/>
      <c r="D363"/>
      <c r="E363"/>
      <c r="F363"/>
      <c r="G363"/>
    </row>
    <row r="364" spans="1:7" ht="15">
      <c r="A364"/>
      <c r="B364"/>
      <c r="C364"/>
      <c r="D364"/>
      <c r="E364"/>
      <c r="F364"/>
      <c r="G364"/>
    </row>
    <row r="365" spans="1:7" ht="15">
      <c r="A365"/>
      <c r="B365"/>
      <c r="C365"/>
      <c r="D365"/>
      <c r="E365"/>
      <c r="F365"/>
      <c r="G365"/>
    </row>
    <row r="366" spans="1:7" ht="15">
      <c r="A366"/>
      <c r="B366"/>
      <c r="C366"/>
      <c r="D366"/>
      <c r="E366"/>
      <c r="F366"/>
      <c r="G366"/>
    </row>
    <row r="367" spans="1:7" ht="15">
      <c r="A367"/>
      <c r="B367"/>
      <c r="C367"/>
      <c r="D367"/>
      <c r="E367"/>
      <c r="F367"/>
      <c r="G367"/>
    </row>
    <row r="368" spans="1:7" ht="15">
      <c r="A368"/>
      <c r="B368"/>
      <c r="C368"/>
      <c r="D368"/>
      <c r="E368"/>
      <c r="F368"/>
      <c r="G368"/>
    </row>
    <row r="369" spans="1:7" ht="15">
      <c r="A369"/>
      <c r="B369"/>
      <c r="C369"/>
      <c r="D369"/>
      <c r="E369"/>
      <c r="F369"/>
      <c r="G369"/>
    </row>
    <row r="370" spans="1:7" ht="15">
      <c r="A370"/>
      <c r="B370"/>
      <c r="C370"/>
      <c r="D370"/>
      <c r="E370"/>
      <c r="F370"/>
      <c r="G370"/>
    </row>
    <row r="371" spans="1:7" ht="15">
      <c r="A371"/>
      <c r="B371"/>
      <c r="C371"/>
      <c r="D371"/>
      <c r="E371"/>
      <c r="F371"/>
      <c r="G371"/>
    </row>
    <row r="372" spans="1:7" ht="15">
      <c r="A372"/>
      <c r="B372"/>
      <c r="C372"/>
      <c r="D372"/>
      <c r="E372"/>
      <c r="F372"/>
      <c r="G372"/>
    </row>
    <row r="373" spans="1:7" ht="15">
      <c r="A373"/>
      <c r="B373"/>
      <c r="C373"/>
      <c r="D373"/>
      <c r="E373"/>
      <c r="F373"/>
      <c r="G373"/>
    </row>
    <row r="374" spans="1:7" ht="15">
      <c r="A374"/>
      <c r="B374"/>
      <c r="C374"/>
      <c r="D374"/>
      <c r="E374"/>
      <c r="F374"/>
      <c r="G374"/>
    </row>
    <row r="375" spans="1:7" ht="15">
      <c r="A375"/>
      <c r="B375"/>
      <c r="C375"/>
      <c r="D375"/>
      <c r="E375"/>
      <c r="F375"/>
      <c r="G375"/>
    </row>
    <row r="376" spans="1:7" ht="15">
      <c r="A376"/>
      <c r="B376"/>
      <c r="C376"/>
      <c r="D376"/>
      <c r="E376"/>
      <c r="F376"/>
      <c r="G376"/>
    </row>
    <row r="377" spans="1:7" ht="15">
      <c r="A377"/>
      <c r="B377"/>
      <c r="C377"/>
      <c r="D377"/>
      <c r="E377"/>
      <c r="F377"/>
      <c r="G377"/>
    </row>
    <row r="378" spans="1:7" ht="15">
      <c r="A378"/>
      <c r="B378"/>
      <c r="C378"/>
      <c r="D378"/>
      <c r="E378"/>
      <c r="F378"/>
      <c r="G378"/>
    </row>
    <row r="379" spans="1:7" ht="15">
      <c r="A379"/>
      <c r="B379"/>
      <c r="C379"/>
      <c r="D379"/>
      <c r="E379"/>
      <c r="F379"/>
      <c r="G379"/>
    </row>
    <row r="380" spans="1:7" ht="15">
      <c r="A380"/>
      <c r="B380"/>
      <c r="C380"/>
      <c r="D380"/>
      <c r="E380"/>
      <c r="F380"/>
      <c r="G380"/>
    </row>
    <row r="381" spans="1:7" ht="15">
      <c r="A381"/>
      <c r="B381"/>
      <c r="C381"/>
      <c r="D381"/>
      <c r="E381"/>
      <c r="F381"/>
      <c r="G381"/>
    </row>
    <row r="382" spans="1:7" ht="15">
      <c r="A382"/>
      <c r="B382"/>
      <c r="C382"/>
      <c r="D382"/>
      <c r="E382"/>
      <c r="F382"/>
      <c r="G382"/>
    </row>
    <row r="383" spans="1:7" ht="15">
      <c r="A383"/>
      <c r="B383"/>
      <c r="C383"/>
      <c r="D383"/>
      <c r="E383"/>
      <c r="F383"/>
      <c r="G383"/>
    </row>
    <row r="384" spans="1:7" ht="15">
      <c r="A384"/>
      <c r="B384"/>
      <c r="C384"/>
      <c r="D384"/>
      <c r="E384"/>
      <c r="F384"/>
      <c r="G384"/>
    </row>
    <row r="385" spans="1:7" ht="15">
      <c r="A385"/>
      <c r="B385"/>
      <c r="C385"/>
      <c r="D385"/>
      <c r="E385"/>
      <c r="F385"/>
      <c r="G385"/>
    </row>
    <row r="386" spans="1:7" ht="15">
      <c r="A386"/>
      <c r="B386"/>
      <c r="C386"/>
      <c r="D386"/>
      <c r="E386"/>
      <c r="F386"/>
      <c r="G386"/>
    </row>
    <row r="387" spans="1:7" ht="15">
      <c r="A387"/>
      <c r="B387"/>
      <c r="C387"/>
      <c r="D387"/>
      <c r="E387"/>
      <c r="F387"/>
      <c r="G387"/>
    </row>
    <row r="388" spans="1:7" ht="15">
      <c r="A388"/>
      <c r="B388"/>
      <c r="C388"/>
      <c r="D388"/>
      <c r="E388"/>
      <c r="F388"/>
      <c r="G388"/>
    </row>
    <row r="389" spans="1:7" ht="15">
      <c r="A389"/>
      <c r="B389"/>
      <c r="C389"/>
      <c r="D389"/>
      <c r="E389"/>
      <c r="F389"/>
      <c r="G389"/>
    </row>
    <row r="390" spans="1:7" ht="15">
      <c r="A390"/>
      <c r="B390"/>
      <c r="C390"/>
      <c r="D390"/>
      <c r="E390"/>
      <c r="F390"/>
      <c r="G390"/>
    </row>
    <row r="391" spans="1:7" ht="15">
      <c r="A391"/>
      <c r="B391"/>
      <c r="C391"/>
      <c r="D391"/>
      <c r="E391"/>
      <c r="F391"/>
      <c r="G391"/>
    </row>
    <row r="392" spans="1:7" ht="15">
      <c r="A392"/>
      <c r="B392"/>
      <c r="C392"/>
      <c r="D392"/>
      <c r="E392"/>
      <c r="F392"/>
      <c r="G392"/>
    </row>
    <row r="393" spans="1:7" ht="15">
      <c r="A393"/>
      <c r="B393"/>
      <c r="C393"/>
      <c r="D393"/>
      <c r="E393"/>
      <c r="F393"/>
      <c r="G393"/>
    </row>
    <row r="394" spans="1:7" ht="15">
      <c r="A394"/>
      <c r="B394"/>
      <c r="C394"/>
      <c r="D394"/>
      <c r="E394"/>
      <c r="F394"/>
      <c r="G394"/>
    </row>
    <row r="395" spans="1:7" ht="15">
      <c r="A395"/>
      <c r="B395"/>
      <c r="C395"/>
      <c r="D395"/>
      <c r="E395"/>
      <c r="F395"/>
      <c r="G395"/>
    </row>
    <row r="396" spans="1:7" ht="15">
      <c r="A396"/>
      <c r="B396"/>
      <c r="C396"/>
      <c r="D396"/>
      <c r="E396"/>
      <c r="F396"/>
      <c r="G396"/>
    </row>
    <row r="397" spans="1:7" ht="15">
      <c r="A397"/>
      <c r="B397"/>
      <c r="C397"/>
      <c r="D397"/>
      <c r="E397"/>
      <c r="F397"/>
      <c r="G397"/>
    </row>
    <row r="398" spans="1:7" ht="15">
      <c r="A398"/>
      <c r="B398"/>
      <c r="C398"/>
      <c r="D398"/>
      <c r="E398"/>
      <c r="F398"/>
      <c r="G398"/>
    </row>
    <row r="399" spans="1:7" ht="15">
      <c r="A399"/>
      <c r="B399"/>
      <c r="C399"/>
      <c r="D399"/>
      <c r="E399"/>
      <c r="F399"/>
      <c r="G399"/>
    </row>
    <row r="400" spans="1:7" ht="15">
      <c r="A400"/>
      <c r="B400"/>
      <c r="C400"/>
      <c r="D400"/>
      <c r="E400"/>
      <c r="F400"/>
      <c r="G400"/>
    </row>
    <row r="401" spans="1:7" ht="15">
      <c r="A401"/>
      <c r="B401"/>
      <c r="C401"/>
      <c r="D401"/>
      <c r="E401"/>
      <c r="F401"/>
      <c r="G401"/>
    </row>
    <row r="402" spans="1:7" ht="15">
      <c r="A402"/>
      <c r="B402"/>
      <c r="C402"/>
      <c r="D402"/>
      <c r="E402"/>
      <c r="F402"/>
      <c r="G402"/>
    </row>
    <row r="403" spans="1:7" ht="15">
      <c r="A403"/>
      <c r="B403"/>
      <c r="C403"/>
      <c r="D403"/>
      <c r="E403"/>
      <c r="F403"/>
      <c r="G403"/>
    </row>
    <row r="404" spans="1:7" ht="15">
      <c r="A404"/>
      <c r="B404"/>
      <c r="C404"/>
      <c r="D404"/>
      <c r="E404"/>
      <c r="F404"/>
      <c r="G404"/>
    </row>
    <row r="405" spans="1:7" ht="15">
      <c r="A405"/>
      <c r="B405"/>
      <c r="C405"/>
      <c r="D405"/>
      <c r="E405"/>
      <c r="F405"/>
      <c r="G405"/>
    </row>
    <row r="406" spans="1:7" ht="15">
      <c r="A406"/>
      <c r="B406"/>
      <c r="C406"/>
      <c r="D406"/>
      <c r="E406"/>
      <c r="F406"/>
      <c r="G406"/>
    </row>
    <row r="407" spans="1:7" ht="15">
      <c r="A407"/>
      <c r="B407"/>
      <c r="C407"/>
      <c r="D407"/>
      <c r="E407"/>
      <c r="F407"/>
      <c r="G407"/>
    </row>
    <row r="408" spans="1:7" ht="15">
      <c r="A408"/>
      <c r="B408"/>
      <c r="C408"/>
      <c r="D408"/>
      <c r="E408"/>
      <c r="F408"/>
      <c r="G408"/>
    </row>
    <row r="409" spans="1:7" ht="15">
      <c r="A409"/>
      <c r="B409"/>
      <c r="C409"/>
      <c r="D409"/>
      <c r="E409"/>
      <c r="F409"/>
      <c r="G409"/>
    </row>
    <row r="410" spans="1:7" ht="15">
      <c r="A410"/>
      <c r="B410"/>
      <c r="C410"/>
      <c r="D410"/>
      <c r="E410"/>
      <c r="F410"/>
      <c r="G410"/>
    </row>
    <row r="411" spans="1:7" ht="15">
      <c r="A411"/>
      <c r="B411"/>
      <c r="C411"/>
      <c r="D411"/>
      <c r="E411"/>
      <c r="F411"/>
      <c r="G411"/>
    </row>
    <row r="412" spans="1:7" ht="15">
      <c r="A412"/>
      <c r="B412"/>
      <c r="C412"/>
      <c r="D412"/>
      <c r="E412"/>
      <c r="F412"/>
      <c r="G412"/>
    </row>
    <row r="413" spans="1:7" ht="15">
      <c r="A413"/>
      <c r="B413"/>
      <c r="C413"/>
      <c r="D413"/>
      <c r="E413"/>
      <c r="F413"/>
      <c r="G413"/>
    </row>
    <row r="414" spans="1:7" ht="15">
      <c r="A414"/>
      <c r="B414"/>
      <c r="C414"/>
      <c r="D414"/>
      <c r="E414"/>
      <c r="F414"/>
      <c r="G414"/>
    </row>
    <row r="415" spans="1:7" ht="15">
      <c r="A415"/>
      <c r="B415"/>
      <c r="C415"/>
      <c r="D415"/>
      <c r="E415"/>
      <c r="F415"/>
      <c r="G415"/>
    </row>
    <row r="416" spans="1:7" ht="15">
      <c r="A416"/>
      <c r="B416"/>
      <c r="C416"/>
      <c r="D416"/>
      <c r="E416"/>
      <c r="F416"/>
      <c r="G416"/>
    </row>
    <row r="417" spans="1:7" ht="15">
      <c r="A417"/>
      <c r="B417"/>
      <c r="C417"/>
      <c r="D417"/>
      <c r="E417"/>
      <c r="F417"/>
      <c r="G417"/>
    </row>
    <row r="418" spans="1:7" ht="15">
      <c r="A418"/>
      <c r="B418"/>
      <c r="C418"/>
      <c r="D418"/>
      <c r="E418"/>
      <c r="F418"/>
      <c r="G418"/>
    </row>
    <row r="419" spans="1:7" ht="15">
      <c r="A419"/>
      <c r="B419"/>
      <c r="C419"/>
      <c r="D419"/>
      <c r="E419"/>
      <c r="F419"/>
      <c r="G419"/>
    </row>
    <row r="420" spans="1:7" ht="15">
      <c r="A420"/>
      <c r="B420"/>
      <c r="C420"/>
      <c r="D420"/>
      <c r="E420"/>
      <c r="F420"/>
      <c r="G420"/>
    </row>
    <row r="421" spans="1:7" ht="15">
      <c r="A421"/>
      <c r="B421"/>
      <c r="C421"/>
      <c r="D421"/>
      <c r="E421"/>
      <c r="F421"/>
      <c r="G421"/>
    </row>
    <row r="422" spans="1:7" ht="15">
      <c r="A422"/>
      <c r="B422"/>
      <c r="C422"/>
      <c r="D422"/>
      <c r="E422"/>
      <c r="F422"/>
      <c r="G422"/>
    </row>
    <row r="423" spans="1:7" ht="15">
      <c r="A423"/>
      <c r="B423"/>
      <c r="C423"/>
      <c r="D423"/>
      <c r="E423"/>
      <c r="F423"/>
      <c r="G423"/>
    </row>
    <row r="424" spans="1:7" ht="15">
      <c r="A424"/>
      <c r="B424"/>
      <c r="C424"/>
      <c r="D424"/>
      <c r="E424"/>
      <c r="F424"/>
      <c r="G424"/>
    </row>
    <row r="425" spans="1:7" ht="15">
      <c r="A425"/>
      <c r="B425"/>
      <c r="C425"/>
      <c r="D425"/>
      <c r="E425"/>
      <c r="F425"/>
      <c r="G425"/>
    </row>
    <row r="426" spans="1:7" ht="15">
      <c r="A426"/>
      <c r="B426"/>
      <c r="C426"/>
      <c r="D426"/>
      <c r="E426"/>
      <c r="F426"/>
      <c r="G426"/>
    </row>
    <row r="427" spans="1:7" ht="15">
      <c r="A427"/>
      <c r="B427"/>
      <c r="C427"/>
      <c r="D427"/>
      <c r="E427"/>
      <c r="F427"/>
      <c r="G427"/>
    </row>
    <row r="428" spans="1:7" ht="15">
      <c r="A428"/>
      <c r="B428"/>
      <c r="C428"/>
      <c r="D428"/>
      <c r="E428"/>
      <c r="F428"/>
      <c r="G428"/>
    </row>
    <row r="429" spans="1:7" ht="15">
      <c r="A429"/>
      <c r="B429"/>
      <c r="C429"/>
      <c r="D429"/>
      <c r="E429"/>
      <c r="F429"/>
      <c r="G429"/>
    </row>
    <row r="430" spans="1:7" ht="15">
      <c r="A430"/>
      <c r="B430"/>
      <c r="C430"/>
      <c r="D430"/>
      <c r="E430"/>
      <c r="F430"/>
      <c r="G430"/>
    </row>
    <row r="431" spans="1:7" ht="15">
      <c r="A431"/>
      <c r="B431"/>
      <c r="C431"/>
      <c r="D431"/>
      <c r="E431"/>
      <c r="F431"/>
      <c r="G431"/>
    </row>
    <row r="432" spans="1:7" ht="15">
      <c r="A432"/>
      <c r="B432"/>
      <c r="C432"/>
      <c r="D432"/>
      <c r="E432"/>
      <c r="F432"/>
      <c r="G432"/>
    </row>
    <row r="433" spans="1:7" ht="15">
      <c r="A433"/>
      <c r="B433"/>
      <c r="C433"/>
      <c r="D433"/>
      <c r="E433"/>
      <c r="F433"/>
      <c r="G433"/>
    </row>
    <row r="434" spans="1:7" ht="15">
      <c r="A434"/>
      <c r="B434"/>
      <c r="C434"/>
      <c r="D434"/>
      <c r="E434"/>
      <c r="F434"/>
      <c r="G434"/>
    </row>
    <row r="435" spans="1:7" ht="15">
      <c r="A435"/>
      <c r="B435"/>
      <c r="C435"/>
      <c r="D435"/>
      <c r="E435"/>
      <c r="F435"/>
      <c r="G435"/>
    </row>
    <row r="436" spans="1:7" ht="15">
      <c r="A436"/>
      <c r="B436"/>
      <c r="C436"/>
      <c r="D436"/>
      <c r="E436"/>
      <c r="F436"/>
      <c r="G436"/>
    </row>
    <row r="437" spans="1:7" ht="15">
      <c r="A437"/>
      <c r="B437"/>
      <c r="C437"/>
      <c r="D437"/>
      <c r="E437"/>
      <c r="F437"/>
      <c r="G437"/>
    </row>
    <row r="438" spans="1:7" ht="15">
      <c r="A438"/>
      <c r="B438"/>
      <c r="C438"/>
      <c r="D438"/>
      <c r="E438"/>
      <c r="F438"/>
      <c r="G438"/>
    </row>
    <row r="439" spans="1:7" ht="15">
      <c r="A439"/>
      <c r="B439"/>
      <c r="C439"/>
      <c r="D439"/>
      <c r="E439"/>
      <c r="F439"/>
      <c r="G439"/>
    </row>
    <row r="440" spans="1:7" ht="15">
      <c r="A440"/>
      <c r="B440"/>
      <c r="C440"/>
      <c r="D440"/>
      <c r="E440"/>
      <c r="F440"/>
      <c r="G440"/>
    </row>
    <row r="441" spans="1:7" ht="15">
      <c r="A441"/>
      <c r="B441"/>
      <c r="C441"/>
      <c r="D441"/>
      <c r="E441"/>
      <c r="F441"/>
      <c r="G441"/>
    </row>
    <row r="442" spans="1:7" ht="15">
      <c r="A442"/>
      <c r="B442"/>
      <c r="C442"/>
      <c r="D442"/>
      <c r="E442"/>
      <c r="F442"/>
      <c r="G442"/>
    </row>
    <row r="443" spans="1:7" ht="15">
      <c r="A443"/>
      <c r="B443"/>
      <c r="C443"/>
      <c r="D443"/>
      <c r="E443"/>
      <c r="F443"/>
      <c r="G443"/>
    </row>
    <row r="444" spans="1:7" ht="15">
      <c r="A444"/>
      <c r="B444"/>
      <c r="C444"/>
      <c r="D444"/>
      <c r="E444"/>
      <c r="F444"/>
      <c r="G444"/>
    </row>
    <row r="445" spans="1:7" ht="15">
      <c r="A445"/>
      <c r="B445"/>
      <c r="C445"/>
      <c r="D445"/>
      <c r="E445"/>
      <c r="F445"/>
      <c r="G445"/>
    </row>
    <row r="446" spans="1:7" ht="15">
      <c r="A446"/>
      <c r="B446"/>
      <c r="C446"/>
      <c r="D446"/>
      <c r="E446"/>
      <c r="F446"/>
      <c r="G446"/>
    </row>
    <row r="447" spans="1:7" ht="15">
      <c r="A447"/>
      <c r="B447"/>
      <c r="C447"/>
      <c r="D447"/>
      <c r="E447"/>
      <c r="F447"/>
      <c r="G447"/>
    </row>
    <row r="448" spans="1:7" ht="15">
      <c r="A448"/>
      <c r="B448"/>
      <c r="C448"/>
      <c r="D448"/>
      <c r="E448"/>
      <c r="F448"/>
      <c r="G448"/>
    </row>
    <row r="449" spans="1:7" ht="15">
      <c r="A449"/>
      <c r="B449"/>
      <c r="C449"/>
      <c r="D449"/>
      <c r="E449"/>
      <c r="F449"/>
      <c r="G449"/>
    </row>
    <row r="450" spans="1:7" ht="15">
      <c r="A450"/>
      <c r="B450"/>
      <c r="C450"/>
      <c r="D450"/>
      <c r="E450"/>
      <c r="F450"/>
      <c r="G450"/>
    </row>
    <row r="451" spans="1:7" ht="15">
      <c r="A451"/>
      <c r="B451"/>
      <c r="C451"/>
      <c r="D451"/>
      <c r="E451"/>
      <c r="F451"/>
      <c r="G451"/>
    </row>
    <row r="452" spans="1:7" ht="15">
      <c r="A452"/>
      <c r="B452"/>
      <c r="C452"/>
      <c r="D452"/>
      <c r="E452"/>
      <c r="F452"/>
      <c r="G452"/>
    </row>
    <row r="453" spans="1:7" ht="15">
      <c r="A453"/>
      <c r="B453"/>
      <c r="C453"/>
      <c r="D453"/>
      <c r="E453"/>
      <c r="F453"/>
      <c r="G453"/>
    </row>
    <row r="454" spans="1:7" ht="15">
      <c r="A454"/>
      <c r="B454"/>
      <c r="C454"/>
      <c r="D454"/>
      <c r="E454"/>
      <c r="F454"/>
      <c r="G454"/>
    </row>
    <row r="455" spans="1:7" ht="15">
      <c r="A455"/>
      <c r="B455"/>
      <c r="C455"/>
      <c r="D455"/>
      <c r="E455"/>
      <c r="F455"/>
      <c r="G455"/>
    </row>
    <row r="456" spans="1:7" ht="15">
      <c r="A456"/>
      <c r="B456"/>
      <c r="C456"/>
      <c r="D456"/>
      <c r="E456"/>
      <c r="F456"/>
      <c r="G456"/>
    </row>
    <row r="457" spans="1:7" ht="15">
      <c r="A457"/>
      <c r="B457"/>
      <c r="C457"/>
      <c r="D457"/>
      <c r="E457"/>
      <c r="F457"/>
      <c r="G457"/>
    </row>
    <row r="458" spans="1:7" ht="15">
      <c r="A458"/>
      <c r="B458"/>
      <c r="C458"/>
      <c r="D458"/>
      <c r="E458"/>
      <c r="F458"/>
      <c r="G458"/>
    </row>
    <row r="459" spans="1:7" ht="15">
      <c r="A459"/>
      <c r="B459"/>
      <c r="C459"/>
      <c r="D459"/>
      <c r="E459"/>
      <c r="F459"/>
      <c r="G459"/>
    </row>
    <row r="460" spans="1:7" ht="15">
      <c r="A460"/>
      <c r="B460"/>
      <c r="C460"/>
      <c r="D460"/>
      <c r="E460"/>
      <c r="F460"/>
      <c r="G460"/>
    </row>
    <row r="461" spans="1:7" ht="15">
      <c r="A461"/>
      <c r="B461"/>
      <c r="C461"/>
      <c r="D461"/>
      <c r="E461"/>
      <c r="F461"/>
      <c r="G461"/>
    </row>
    <row r="462" spans="1:7" ht="15">
      <c r="A462"/>
      <c r="B462"/>
      <c r="C462"/>
      <c r="D462"/>
      <c r="E462"/>
      <c r="F462"/>
      <c r="G462"/>
    </row>
    <row r="463" spans="1:7" ht="15">
      <c r="A463"/>
      <c r="B463"/>
      <c r="C463"/>
      <c r="D463"/>
      <c r="E463"/>
      <c r="F463"/>
      <c r="G463"/>
    </row>
    <row r="464" spans="1:7" ht="15">
      <c r="A464"/>
      <c r="B464"/>
      <c r="C464"/>
      <c r="D464"/>
      <c r="E464"/>
      <c r="F464"/>
      <c r="G464"/>
    </row>
    <row r="465" spans="1:7" ht="15">
      <c r="A465"/>
      <c r="B465"/>
      <c r="C465"/>
      <c r="D465"/>
      <c r="E465"/>
      <c r="F465"/>
      <c r="G465"/>
    </row>
    <row r="466" spans="1:7" ht="15">
      <c r="A466"/>
      <c r="B466"/>
      <c r="C466"/>
      <c r="D466"/>
      <c r="E466"/>
      <c r="F466"/>
      <c r="G466"/>
    </row>
    <row r="467" spans="1:7" ht="15">
      <c r="A467"/>
      <c r="B467"/>
      <c r="C467"/>
      <c r="D467"/>
      <c r="E467"/>
      <c r="F467"/>
      <c r="G467"/>
    </row>
    <row r="468" spans="1:7" ht="15">
      <c r="A468"/>
      <c r="B468"/>
      <c r="C468"/>
      <c r="D468"/>
      <c r="E468"/>
      <c r="F468"/>
      <c r="G468"/>
    </row>
    <row r="469" spans="1:7" ht="15">
      <c r="A469"/>
      <c r="B469"/>
      <c r="C469"/>
      <c r="D469"/>
      <c r="E469"/>
      <c r="F469"/>
      <c r="G469"/>
    </row>
    <row r="470" spans="1:7" ht="15">
      <c r="A470"/>
      <c r="B470"/>
      <c r="C470"/>
      <c r="D470"/>
      <c r="E470"/>
      <c r="F470"/>
      <c r="G470"/>
    </row>
    <row r="471" spans="1:7" ht="15">
      <c r="A471"/>
      <c r="B471"/>
      <c r="C471"/>
      <c r="D471"/>
      <c r="E471"/>
      <c r="F471"/>
      <c r="G471"/>
    </row>
    <row r="472" spans="1:7" ht="15">
      <c r="A472"/>
      <c r="B472"/>
      <c r="C472"/>
      <c r="D472"/>
      <c r="E472"/>
      <c r="F472"/>
      <c r="G472"/>
    </row>
    <row r="473" spans="1:7" ht="15">
      <c r="A473"/>
      <c r="B473"/>
      <c r="C473"/>
      <c r="D473"/>
      <c r="E473"/>
      <c r="F473"/>
      <c r="G473"/>
    </row>
    <row r="474" spans="1:7" ht="15">
      <c r="A474"/>
      <c r="B474"/>
      <c r="C474"/>
      <c r="D474"/>
      <c r="E474"/>
      <c r="F474"/>
      <c r="G474"/>
    </row>
    <row r="475" spans="1:7" ht="15">
      <c r="A475"/>
      <c r="B475"/>
      <c r="C475"/>
      <c r="D475"/>
      <c r="E475"/>
      <c r="F475"/>
      <c r="G475"/>
    </row>
    <row r="476" spans="1:7" ht="15">
      <c r="A476"/>
      <c r="B476"/>
      <c r="C476"/>
      <c r="D476"/>
      <c r="E476"/>
      <c r="F476"/>
      <c r="G476"/>
    </row>
    <row r="477" spans="1:7" ht="15">
      <c r="A477"/>
      <c r="B477"/>
      <c r="C477"/>
      <c r="D477"/>
      <c r="E477"/>
      <c r="F477"/>
      <c r="G477"/>
    </row>
    <row r="478" spans="1:7" ht="15">
      <c r="A478"/>
      <c r="B478"/>
      <c r="C478"/>
      <c r="D478"/>
      <c r="E478"/>
      <c r="F478"/>
      <c r="G478"/>
    </row>
    <row r="479" spans="1:7" ht="15">
      <c r="A479"/>
      <c r="B479"/>
      <c r="C479"/>
      <c r="D479"/>
      <c r="E479"/>
      <c r="F479"/>
      <c r="G479"/>
    </row>
    <row r="480" spans="1:7" ht="15">
      <c r="A480"/>
      <c r="B480"/>
      <c r="C480"/>
      <c r="D480"/>
      <c r="E480"/>
      <c r="F480"/>
      <c r="G480"/>
    </row>
    <row r="481" spans="1:7" ht="15">
      <c r="A481"/>
      <c r="B481"/>
      <c r="C481"/>
      <c r="D481"/>
      <c r="E481"/>
      <c r="F481"/>
      <c r="G481"/>
    </row>
    <row r="482" spans="1:7" ht="15">
      <c r="A482"/>
      <c r="B482"/>
      <c r="C482"/>
      <c r="D482"/>
      <c r="E482"/>
      <c r="F482"/>
      <c r="G482"/>
    </row>
    <row r="483" spans="1:7" ht="15">
      <c r="A483"/>
      <c r="B483"/>
      <c r="C483"/>
      <c r="D483"/>
      <c r="E483"/>
      <c r="F483"/>
      <c r="G483"/>
    </row>
    <row r="484" spans="1:7" ht="15">
      <c r="A484"/>
      <c r="B484"/>
      <c r="C484"/>
      <c r="D484"/>
      <c r="E484"/>
      <c r="F484"/>
      <c r="G484"/>
    </row>
    <row r="485" spans="1:7" ht="15">
      <c r="A485"/>
      <c r="B485"/>
      <c r="C485"/>
      <c r="D485"/>
      <c r="E485"/>
      <c r="F485"/>
      <c r="G485"/>
    </row>
    <row r="486" spans="1:7" ht="15">
      <c r="A486"/>
      <c r="B486"/>
      <c r="C486"/>
      <c r="D486"/>
      <c r="E486"/>
      <c r="F486"/>
      <c r="G486"/>
    </row>
    <row r="487" spans="1:7" ht="15">
      <c r="A487"/>
      <c r="B487"/>
      <c r="C487"/>
      <c r="D487"/>
      <c r="E487"/>
      <c r="F487"/>
      <c r="G487"/>
    </row>
    <row r="488" spans="1:7" ht="15">
      <c r="A488"/>
      <c r="B488"/>
      <c r="C488"/>
      <c r="D488"/>
      <c r="E488"/>
      <c r="F488"/>
      <c r="G488"/>
    </row>
    <row r="489" spans="1:7" ht="15">
      <c r="A489"/>
      <c r="B489"/>
      <c r="C489"/>
      <c r="D489"/>
      <c r="E489"/>
      <c r="F489"/>
      <c r="G489"/>
    </row>
    <row r="490" spans="1:7" ht="15">
      <c r="A490"/>
      <c r="B490"/>
      <c r="C490"/>
      <c r="D490"/>
      <c r="E490"/>
      <c r="F490"/>
      <c r="G490"/>
    </row>
    <row r="491" spans="1:7" ht="15">
      <c r="A491"/>
      <c r="B491"/>
      <c r="C491"/>
      <c r="D491"/>
      <c r="E491"/>
      <c r="F491"/>
      <c r="G491"/>
    </row>
    <row r="492" spans="1:7" ht="15">
      <c r="A492"/>
      <c r="B492"/>
      <c r="C492"/>
      <c r="D492"/>
      <c r="E492"/>
      <c r="F492"/>
      <c r="G492"/>
    </row>
    <row r="493" spans="1:7" ht="15">
      <c r="A493"/>
      <c r="B493"/>
      <c r="C493"/>
      <c r="D493"/>
      <c r="E493"/>
      <c r="F493"/>
      <c r="G493"/>
    </row>
    <row r="494" spans="1:7" ht="15">
      <c r="A494"/>
      <c r="B494"/>
      <c r="C494"/>
      <c r="D494"/>
      <c r="E494"/>
      <c r="F494"/>
      <c r="G494"/>
    </row>
    <row r="495" spans="1:7" ht="15">
      <c r="A495"/>
      <c r="B495"/>
      <c r="C495"/>
      <c r="D495"/>
      <c r="E495"/>
      <c r="F495"/>
      <c r="G495"/>
    </row>
    <row r="496" spans="1:7" ht="15">
      <c r="A496"/>
      <c r="B496"/>
      <c r="C496"/>
      <c r="D496"/>
      <c r="E496"/>
      <c r="F496"/>
      <c r="G496"/>
    </row>
    <row r="497" spans="1:7" ht="15">
      <c r="A497"/>
      <c r="B497"/>
      <c r="C497"/>
      <c r="D497"/>
      <c r="E497"/>
      <c r="F497"/>
      <c r="G497"/>
    </row>
    <row r="498" spans="1:7" ht="15">
      <c r="A498"/>
      <c r="B498"/>
      <c r="C498"/>
      <c r="D498"/>
      <c r="E498"/>
      <c r="F498"/>
      <c r="G498"/>
    </row>
    <row r="499" spans="1:7" ht="15">
      <c r="A499"/>
      <c r="B499"/>
      <c r="C499"/>
      <c r="D499"/>
      <c r="E499"/>
      <c r="F499"/>
      <c r="G499"/>
    </row>
    <row r="500" spans="1:7" ht="15">
      <c r="A500"/>
      <c r="B500"/>
      <c r="C500"/>
      <c r="D500"/>
      <c r="E500"/>
      <c r="F500"/>
      <c r="G500"/>
    </row>
    <row r="501" spans="1:7" ht="15">
      <c r="A501"/>
      <c r="B501"/>
      <c r="C501"/>
      <c r="D501"/>
      <c r="E501"/>
      <c r="F501"/>
      <c r="G501"/>
    </row>
    <row r="502" spans="1:7" ht="15">
      <c r="A502"/>
      <c r="B502"/>
      <c r="C502"/>
      <c r="D502"/>
      <c r="E502"/>
      <c r="F502"/>
      <c r="G502"/>
    </row>
    <row r="503" spans="1:7" ht="15">
      <c r="A503"/>
      <c r="B503"/>
      <c r="C503"/>
      <c r="D503"/>
      <c r="E503"/>
      <c r="F503"/>
      <c r="G503"/>
    </row>
    <row r="504" spans="1:7" ht="15">
      <c r="A504"/>
      <c r="B504"/>
      <c r="C504"/>
      <c r="D504"/>
      <c r="E504"/>
      <c r="F504"/>
      <c r="G504"/>
    </row>
    <row r="505" spans="1:7" ht="15">
      <c r="A505"/>
      <c r="B505"/>
      <c r="C505"/>
      <c r="D505"/>
      <c r="E505"/>
      <c r="F505"/>
      <c r="G505"/>
    </row>
    <row r="506" spans="1:7" ht="15">
      <c r="A506"/>
      <c r="B506"/>
      <c r="C506"/>
      <c r="D506"/>
      <c r="E506"/>
      <c r="F506"/>
      <c r="G506"/>
    </row>
    <row r="507" spans="1:7" ht="15">
      <c r="A507"/>
      <c r="B507"/>
      <c r="C507"/>
      <c r="D507"/>
      <c r="E507"/>
      <c r="F507"/>
      <c r="G507"/>
    </row>
    <row r="508" spans="1:7" ht="15">
      <c r="A508"/>
      <c r="B508"/>
      <c r="C508"/>
      <c r="D508"/>
      <c r="E508"/>
      <c r="F508"/>
      <c r="G508"/>
    </row>
    <row r="509" spans="1:7" ht="15">
      <c r="A509"/>
      <c r="B509"/>
      <c r="C509"/>
      <c r="D509"/>
      <c r="E509"/>
      <c r="F509"/>
      <c r="G509"/>
    </row>
    <row r="510" spans="1:7" ht="15">
      <c r="A510"/>
      <c r="B510"/>
      <c r="C510"/>
      <c r="D510"/>
      <c r="E510"/>
      <c r="F510"/>
      <c r="G510"/>
    </row>
    <row r="511" spans="1:7" ht="15">
      <c r="A511"/>
      <c r="B511"/>
      <c r="C511"/>
      <c r="D511"/>
      <c r="E511"/>
      <c r="F511"/>
      <c r="G511"/>
    </row>
    <row r="512" spans="1:7" ht="15">
      <c r="A512"/>
      <c r="B512"/>
      <c r="C512"/>
      <c r="D512"/>
      <c r="E512"/>
      <c r="F512"/>
      <c r="G512"/>
    </row>
    <row r="513" spans="1:7" ht="15">
      <c r="A513"/>
      <c r="B513"/>
      <c r="C513"/>
      <c r="D513"/>
      <c r="E513"/>
      <c r="F513"/>
      <c r="G513"/>
    </row>
    <row r="514" spans="1:7" ht="15">
      <c r="A514"/>
      <c r="B514"/>
      <c r="C514"/>
      <c r="D514"/>
      <c r="E514"/>
      <c r="F514"/>
      <c r="G514"/>
    </row>
    <row r="515" spans="1:7" ht="15">
      <c r="A515"/>
      <c r="B515"/>
      <c r="C515"/>
      <c r="D515"/>
      <c r="E515"/>
      <c r="F515"/>
      <c r="G515"/>
    </row>
    <row r="516" spans="1:7" ht="15">
      <c r="A516"/>
      <c r="B516"/>
      <c r="C516"/>
      <c r="D516"/>
      <c r="E516"/>
      <c r="F516"/>
      <c r="G516"/>
    </row>
    <row r="517" spans="1:7" ht="15">
      <c r="A517"/>
      <c r="B517"/>
      <c r="C517"/>
      <c r="D517"/>
      <c r="E517"/>
      <c r="F517"/>
      <c r="G517"/>
    </row>
    <row r="518" spans="1:7" ht="15">
      <c r="A518"/>
      <c r="B518"/>
      <c r="C518"/>
      <c r="D518"/>
      <c r="E518"/>
      <c r="F518"/>
      <c r="G518"/>
    </row>
    <row r="519" spans="1:7" ht="15">
      <c r="A519"/>
      <c r="B519"/>
      <c r="C519"/>
      <c r="D519"/>
      <c r="E519"/>
      <c r="F519"/>
      <c r="G519"/>
    </row>
    <row r="520" spans="1:7" ht="15">
      <c r="A520"/>
      <c r="B520"/>
      <c r="C520"/>
      <c r="D520"/>
      <c r="E520"/>
      <c r="F520"/>
      <c r="G520"/>
    </row>
    <row r="521" spans="1:7" ht="15">
      <c r="A521"/>
      <c r="B521"/>
      <c r="C521"/>
      <c r="D521"/>
      <c r="E521"/>
      <c r="F521"/>
      <c r="G521"/>
    </row>
    <row r="522" spans="1:7" ht="15">
      <c r="A522"/>
      <c r="B522"/>
      <c r="C522"/>
      <c r="D522"/>
      <c r="E522"/>
      <c r="F522"/>
      <c r="G522"/>
    </row>
    <row r="523" spans="1:7" ht="15">
      <c r="A523"/>
      <c r="B523"/>
      <c r="C523"/>
      <c r="D523"/>
      <c r="E523"/>
      <c r="F523"/>
      <c r="G523"/>
    </row>
    <row r="524" spans="1:7" ht="15">
      <c r="A524"/>
      <c r="B524"/>
      <c r="C524"/>
      <c r="D524"/>
      <c r="E524"/>
      <c r="F524"/>
      <c r="G524"/>
    </row>
    <row r="525" spans="1:7" ht="15">
      <c r="A525"/>
      <c r="B525"/>
      <c r="C525"/>
      <c r="D525"/>
      <c r="E525"/>
      <c r="F525"/>
      <c r="G525"/>
    </row>
    <row r="526" spans="1:7" ht="15">
      <c r="A526"/>
      <c r="B526"/>
      <c r="C526"/>
      <c r="D526"/>
      <c r="E526"/>
      <c r="F526"/>
      <c r="G526"/>
    </row>
    <row r="527" spans="1:7" ht="15">
      <c r="A527"/>
      <c r="B527"/>
      <c r="C527"/>
      <c r="D527"/>
      <c r="E527"/>
      <c r="F527"/>
      <c r="G527"/>
    </row>
    <row r="528" spans="1:7" ht="15">
      <c r="A528"/>
      <c r="B528"/>
      <c r="C528"/>
      <c r="D528"/>
      <c r="E528"/>
      <c r="F528"/>
      <c r="G528"/>
    </row>
    <row r="529" spans="1:7" ht="15">
      <c r="A529"/>
      <c r="B529"/>
      <c r="C529"/>
      <c r="D529"/>
      <c r="E529"/>
      <c r="F529"/>
      <c r="G529"/>
    </row>
    <row r="530" spans="1:7" ht="15">
      <c r="A530"/>
      <c r="B530"/>
      <c r="C530"/>
      <c r="D530"/>
      <c r="E530"/>
      <c r="F530"/>
      <c r="G530"/>
    </row>
    <row r="531" spans="1:7" ht="15">
      <c r="A531"/>
      <c r="B531"/>
      <c r="C531"/>
      <c r="D531"/>
      <c r="E531"/>
      <c r="F531"/>
      <c r="G531"/>
    </row>
    <row r="532" spans="1:7" ht="15">
      <c r="A532"/>
      <c r="B532"/>
      <c r="C532"/>
      <c r="D532"/>
      <c r="E532"/>
      <c r="F532"/>
      <c r="G532"/>
    </row>
    <row r="533" spans="1:7" ht="15">
      <c r="A533"/>
      <c r="B533"/>
      <c r="C533"/>
      <c r="D533"/>
      <c r="E533"/>
      <c r="F533"/>
      <c r="G533"/>
    </row>
    <row r="534" spans="1:7" ht="15">
      <c r="A534"/>
      <c r="B534"/>
      <c r="C534"/>
      <c r="D534"/>
      <c r="E534"/>
      <c r="F534"/>
      <c r="G534"/>
    </row>
    <row r="535" spans="1:7" ht="15">
      <c r="A535"/>
      <c r="B535"/>
      <c r="C535"/>
      <c r="D535"/>
      <c r="E535"/>
      <c r="F535"/>
      <c r="G535"/>
    </row>
    <row r="536" spans="1:7" ht="15">
      <c r="A536"/>
      <c r="B536"/>
      <c r="C536"/>
      <c r="D536"/>
      <c r="E536"/>
      <c r="F536"/>
      <c r="G536"/>
    </row>
    <row r="537" spans="1:7" ht="15">
      <c r="A537"/>
      <c r="B537"/>
      <c r="C537"/>
      <c r="D537"/>
      <c r="E537"/>
      <c r="F537"/>
      <c r="G537"/>
    </row>
    <row r="538" spans="1:7" ht="15">
      <c r="A538"/>
      <c r="B538"/>
      <c r="C538"/>
      <c r="D538"/>
      <c r="E538"/>
      <c r="F538"/>
      <c r="G538"/>
    </row>
    <row r="539" spans="1:7" ht="15">
      <c r="A539"/>
      <c r="B539"/>
      <c r="C539"/>
      <c r="D539"/>
      <c r="E539"/>
      <c r="F539"/>
      <c r="G539"/>
    </row>
    <row r="540" spans="1:7" ht="15">
      <c r="A540"/>
      <c r="B540"/>
      <c r="C540"/>
      <c r="D540"/>
      <c r="E540"/>
      <c r="F540"/>
      <c r="G540"/>
    </row>
    <row r="541" spans="1:7" ht="15">
      <c r="A541"/>
      <c r="B541"/>
      <c r="C541"/>
      <c r="D541"/>
      <c r="E541"/>
      <c r="F541"/>
      <c r="G541"/>
    </row>
    <row r="542" spans="1:7" ht="15">
      <c r="A542"/>
      <c r="B542"/>
      <c r="C542"/>
      <c r="D542"/>
      <c r="E542"/>
      <c r="F542"/>
      <c r="G542"/>
    </row>
    <row r="543" spans="1:7" ht="15">
      <c r="A543"/>
      <c r="B543"/>
      <c r="C543"/>
      <c r="D543"/>
      <c r="E543"/>
      <c r="F543"/>
      <c r="G543"/>
    </row>
    <row r="544" spans="1:7" ht="15">
      <c r="A544"/>
      <c r="B544"/>
      <c r="C544"/>
      <c r="D544"/>
      <c r="E544"/>
      <c r="F544"/>
      <c r="G544"/>
    </row>
    <row r="545" spans="1:7" ht="15">
      <c r="A545"/>
      <c r="B545"/>
      <c r="C545"/>
      <c r="D545"/>
      <c r="E545"/>
      <c r="F545"/>
      <c r="G545"/>
    </row>
    <row r="546" spans="1:7" ht="15">
      <c r="A546"/>
      <c r="B546"/>
      <c r="C546"/>
      <c r="D546"/>
      <c r="E546"/>
      <c r="F546"/>
      <c r="G546"/>
    </row>
    <row r="547" spans="1:7" ht="15">
      <c r="A547"/>
      <c r="B547"/>
      <c r="C547"/>
      <c r="D547"/>
      <c r="E547"/>
      <c r="F547"/>
      <c r="G547"/>
    </row>
    <row r="548" spans="1:7" ht="15">
      <c r="A548"/>
      <c r="B548"/>
      <c r="C548"/>
      <c r="D548"/>
      <c r="E548"/>
      <c r="F548"/>
      <c r="G548"/>
    </row>
    <row r="549" spans="1:7" ht="15">
      <c r="A549"/>
      <c r="B549"/>
      <c r="C549"/>
      <c r="D549"/>
      <c r="E549"/>
      <c r="F549"/>
      <c r="G549"/>
    </row>
    <row r="550" spans="1:7" ht="15">
      <c r="A550"/>
      <c r="B550"/>
      <c r="C550"/>
      <c r="D550"/>
      <c r="E550"/>
      <c r="F550"/>
      <c r="G550"/>
    </row>
    <row r="551" spans="1:7" ht="15">
      <c r="A551"/>
      <c r="B551"/>
      <c r="C551"/>
      <c r="D551"/>
      <c r="E551"/>
      <c r="F551"/>
      <c r="G551"/>
    </row>
    <row r="552" spans="1:7" ht="15">
      <c r="A552"/>
      <c r="B552"/>
      <c r="C552"/>
      <c r="D552"/>
      <c r="E552"/>
      <c r="F552"/>
      <c r="G552"/>
    </row>
    <row r="553" spans="1:7" ht="15">
      <c r="A553"/>
      <c r="B553"/>
      <c r="C553"/>
      <c r="D553"/>
      <c r="E553"/>
      <c r="F553"/>
      <c r="G553"/>
    </row>
    <row r="554" spans="1:7" ht="15">
      <c r="A554"/>
      <c r="B554"/>
      <c r="C554"/>
      <c r="D554"/>
      <c r="E554"/>
      <c r="F554"/>
      <c r="G554"/>
    </row>
    <row r="555" spans="1:7" ht="15">
      <c r="A555"/>
      <c r="B555"/>
      <c r="C555"/>
      <c r="D555"/>
      <c r="E555"/>
      <c r="F555"/>
      <c r="G555"/>
    </row>
    <row r="556" spans="1:7" ht="15">
      <c r="A556"/>
      <c r="B556"/>
      <c r="C556"/>
      <c r="D556"/>
      <c r="E556"/>
      <c r="F556"/>
      <c r="G556"/>
    </row>
    <row r="557" spans="1:7" ht="15">
      <c r="A557"/>
      <c r="B557"/>
      <c r="C557"/>
      <c r="D557"/>
      <c r="E557"/>
      <c r="F557"/>
      <c r="G557"/>
    </row>
    <row r="558" spans="1:7" ht="15">
      <c r="A558"/>
      <c r="B558"/>
      <c r="C558"/>
      <c r="D558"/>
      <c r="E558"/>
      <c r="F558"/>
      <c r="G558"/>
    </row>
    <row r="559" spans="1:7" ht="15">
      <c r="A559"/>
      <c r="B559"/>
      <c r="C559"/>
      <c r="D559"/>
      <c r="E559"/>
      <c r="F559"/>
      <c r="G559"/>
    </row>
    <row r="560" spans="1:7" ht="15">
      <c r="A560"/>
      <c r="B560"/>
      <c r="C560"/>
      <c r="D560"/>
      <c r="E560"/>
      <c r="F560"/>
      <c r="G560"/>
    </row>
    <row r="561" spans="1:7" ht="15">
      <c r="A561"/>
      <c r="B561"/>
      <c r="C561"/>
      <c r="D561"/>
      <c r="E561"/>
      <c r="F561"/>
      <c r="G561"/>
    </row>
    <row r="562" spans="1:7" ht="15">
      <c r="A562"/>
      <c r="B562"/>
      <c r="C562"/>
      <c r="D562"/>
      <c r="E562"/>
      <c r="F562"/>
      <c r="G562"/>
    </row>
    <row r="563" spans="1:7" ht="15">
      <c r="A563"/>
      <c r="B563"/>
      <c r="C563"/>
      <c r="D563"/>
      <c r="E563"/>
      <c r="F563"/>
      <c r="G563"/>
    </row>
    <row r="564" spans="1:7" ht="15">
      <c r="A564"/>
      <c r="B564"/>
      <c r="C564"/>
      <c r="D564"/>
      <c r="E564"/>
      <c r="F564"/>
      <c r="G564"/>
    </row>
    <row r="565" spans="1:7" ht="15">
      <c r="A565"/>
      <c r="B565"/>
      <c r="C565"/>
      <c r="D565"/>
      <c r="E565"/>
      <c r="F565"/>
      <c r="G565"/>
    </row>
    <row r="566" spans="1:7" ht="15">
      <c r="A566"/>
      <c r="B566"/>
      <c r="C566"/>
      <c r="D566"/>
      <c r="E566"/>
      <c r="F566"/>
      <c r="G566"/>
    </row>
    <row r="567" spans="1:7" ht="15">
      <c r="A567"/>
      <c r="B567"/>
      <c r="C567"/>
      <c r="D567"/>
      <c r="E567"/>
      <c r="F567"/>
      <c r="G567"/>
    </row>
    <row r="568" spans="1:7" ht="15">
      <c r="A568"/>
      <c r="B568"/>
      <c r="C568"/>
      <c r="D568"/>
      <c r="E568"/>
      <c r="F568"/>
      <c r="G568"/>
    </row>
    <row r="569" spans="1:7" ht="15">
      <c r="A569"/>
      <c r="B569"/>
      <c r="C569"/>
      <c r="D569"/>
      <c r="E569"/>
      <c r="F569"/>
      <c r="G569"/>
    </row>
    <row r="570" spans="1:7" ht="15">
      <c r="A570"/>
      <c r="B570"/>
      <c r="C570"/>
      <c r="D570"/>
      <c r="E570"/>
      <c r="F570"/>
      <c r="G570"/>
    </row>
    <row r="571" spans="1:7" ht="15">
      <c r="A571"/>
      <c r="B571"/>
      <c r="C571"/>
      <c r="D571"/>
      <c r="E571"/>
      <c r="F571"/>
      <c r="G571"/>
    </row>
    <row r="572" spans="1:7" ht="15">
      <c r="A572"/>
      <c r="B572"/>
      <c r="C572"/>
      <c r="D572"/>
      <c r="E572"/>
      <c r="F572"/>
      <c r="G572"/>
    </row>
    <row r="573" spans="1:7" ht="15">
      <c r="A573"/>
      <c r="B573"/>
      <c r="C573"/>
      <c r="D573"/>
      <c r="E573"/>
      <c r="F573"/>
      <c r="G573"/>
    </row>
    <row r="574" spans="1:7" ht="15">
      <c r="A574"/>
      <c r="B574"/>
      <c r="C574"/>
      <c r="D574"/>
      <c r="E574"/>
      <c r="F574"/>
      <c r="G574"/>
    </row>
    <row r="575" spans="1:7" ht="15">
      <c r="A575"/>
      <c r="B575"/>
      <c r="C575"/>
      <c r="D575"/>
      <c r="E575"/>
      <c r="F575"/>
      <c r="G575"/>
    </row>
    <row r="576" spans="1:7" ht="15">
      <c r="A576"/>
      <c r="B576"/>
      <c r="C576"/>
      <c r="D576"/>
      <c r="E576"/>
      <c r="F576"/>
      <c r="G576"/>
    </row>
    <row r="577" spans="1:7" ht="15">
      <c r="A577"/>
      <c r="B577"/>
      <c r="C577"/>
      <c r="D577"/>
      <c r="E577"/>
      <c r="F577"/>
      <c r="G577"/>
    </row>
    <row r="578" spans="1:7" ht="15">
      <c r="A578"/>
      <c r="B578"/>
      <c r="C578"/>
      <c r="D578"/>
      <c r="E578"/>
      <c r="F578"/>
      <c r="G578"/>
    </row>
    <row r="579" spans="1:7" ht="15">
      <c r="A579"/>
      <c r="B579"/>
      <c r="C579"/>
      <c r="D579"/>
      <c r="E579"/>
      <c r="F579"/>
      <c r="G579"/>
    </row>
    <row r="580" spans="1:7" ht="15">
      <c r="A580"/>
      <c r="B580"/>
      <c r="C580"/>
      <c r="D580"/>
      <c r="E580"/>
      <c r="F580"/>
      <c r="G580"/>
    </row>
    <row r="581" spans="1:7" ht="15">
      <c r="A581"/>
      <c r="B581"/>
      <c r="C581"/>
      <c r="D581"/>
      <c r="E581"/>
      <c r="F581"/>
      <c r="G581"/>
    </row>
    <row r="582" spans="1:7" ht="15">
      <c r="A582"/>
      <c r="B582"/>
      <c r="C582"/>
      <c r="D582"/>
      <c r="E582"/>
      <c r="F582"/>
      <c r="G582"/>
    </row>
    <row r="583" spans="1:7" ht="15">
      <c r="A583"/>
      <c r="B583"/>
      <c r="C583"/>
      <c r="D583"/>
      <c r="E583"/>
      <c r="F583"/>
      <c r="G583"/>
    </row>
    <row r="584" spans="1:7" ht="15">
      <c r="A584"/>
      <c r="B584"/>
      <c r="C584"/>
      <c r="D584"/>
      <c r="E584"/>
      <c r="F584"/>
      <c r="G584"/>
    </row>
    <row r="585" spans="1:7" ht="15">
      <c r="A585"/>
      <c r="B585"/>
      <c r="C585"/>
      <c r="D585"/>
      <c r="E585"/>
      <c r="F585"/>
      <c r="G585"/>
    </row>
    <row r="586" spans="1:7" ht="15">
      <c r="A586"/>
      <c r="B586"/>
      <c r="C586"/>
      <c r="D586"/>
      <c r="E586"/>
      <c r="F586"/>
      <c r="G586"/>
    </row>
    <row r="587" spans="1:7" ht="15">
      <c r="A587"/>
      <c r="B587"/>
      <c r="C587"/>
      <c r="D587"/>
      <c r="E587"/>
      <c r="F587"/>
      <c r="G587"/>
    </row>
    <row r="588" spans="1:7" ht="15">
      <c r="A588"/>
      <c r="B588"/>
      <c r="C588"/>
      <c r="D588"/>
      <c r="E588"/>
      <c r="F588"/>
      <c r="G588"/>
    </row>
    <row r="589" spans="1:7" ht="15">
      <c r="A589"/>
      <c r="B589"/>
      <c r="C589"/>
      <c r="D589"/>
      <c r="E589"/>
      <c r="F589"/>
      <c r="G589"/>
    </row>
    <row r="590" spans="1:7" ht="15">
      <c r="A590"/>
      <c r="B590"/>
      <c r="C590"/>
      <c r="D590"/>
      <c r="E590"/>
      <c r="F590"/>
      <c r="G590"/>
    </row>
    <row r="591" spans="1:7" ht="15">
      <c r="A591"/>
      <c r="B591"/>
      <c r="C591"/>
      <c r="D591"/>
      <c r="E591"/>
      <c r="F591"/>
      <c r="G591"/>
    </row>
    <row r="592" spans="1:7" ht="15">
      <c r="A592"/>
      <c r="B592"/>
      <c r="C592"/>
      <c r="D592"/>
      <c r="E592"/>
      <c r="F592"/>
      <c r="G592"/>
    </row>
    <row r="593" spans="1:7" ht="15">
      <c r="A593"/>
      <c r="B593"/>
      <c r="C593"/>
      <c r="D593"/>
      <c r="E593"/>
      <c r="F593"/>
      <c r="G593"/>
    </row>
    <row r="594" spans="1:7" ht="15">
      <c r="A594"/>
      <c r="B594"/>
      <c r="C594"/>
      <c r="D594"/>
      <c r="E594"/>
      <c r="F594"/>
      <c r="G594"/>
    </row>
    <row r="595" spans="1:7" ht="15">
      <c r="A595"/>
      <c r="B595"/>
      <c r="C595"/>
      <c r="D595"/>
      <c r="E595"/>
      <c r="F595"/>
      <c r="G595"/>
    </row>
    <row r="596" spans="1:7" ht="15">
      <c r="A596"/>
      <c r="B596"/>
      <c r="C596"/>
      <c r="D596"/>
      <c r="E596"/>
      <c r="F596"/>
      <c r="G596"/>
    </row>
    <row r="597" spans="1:7" ht="15">
      <c r="A597"/>
      <c r="B597"/>
      <c r="C597"/>
      <c r="D597"/>
      <c r="E597"/>
      <c r="F597"/>
      <c r="G597"/>
    </row>
    <row r="598" spans="1:7" ht="15">
      <c r="A598"/>
      <c r="B598"/>
      <c r="C598"/>
      <c r="D598"/>
      <c r="E598"/>
      <c r="F598"/>
      <c r="G598"/>
    </row>
    <row r="599" spans="1:7" ht="15">
      <c r="A599"/>
      <c r="B599"/>
      <c r="C599"/>
      <c r="D599"/>
      <c r="E599"/>
      <c r="F599"/>
      <c r="G599"/>
    </row>
    <row r="600" spans="1:7" ht="15">
      <c r="A600"/>
      <c r="B600"/>
      <c r="C600"/>
      <c r="D600"/>
      <c r="E600"/>
      <c r="F600"/>
      <c r="G600"/>
    </row>
    <row r="601" spans="1:7" ht="15">
      <c r="A601"/>
      <c r="B601"/>
      <c r="C601"/>
      <c r="D601"/>
      <c r="E601"/>
      <c r="F601"/>
      <c r="G601"/>
    </row>
    <row r="602" spans="1:7" ht="15">
      <c r="A602"/>
      <c r="B602"/>
      <c r="C602"/>
      <c r="D602"/>
      <c r="E602"/>
      <c r="F602"/>
      <c r="G602"/>
    </row>
    <row r="603" spans="1:7" ht="15">
      <c r="A603"/>
      <c r="B603"/>
      <c r="C603"/>
      <c r="D603"/>
      <c r="E603"/>
      <c r="F603"/>
      <c r="G603"/>
    </row>
    <row r="604" spans="1:7" ht="15">
      <c r="A604"/>
      <c r="B604"/>
      <c r="C604"/>
      <c r="D604"/>
      <c r="E604"/>
      <c r="F604"/>
      <c r="G604"/>
    </row>
    <row r="605" spans="1:7" ht="15">
      <c r="A605"/>
      <c r="B605"/>
      <c r="C605"/>
      <c r="D605"/>
      <c r="E605"/>
      <c r="F605"/>
      <c r="G605"/>
    </row>
    <row r="606" spans="1:7" ht="15">
      <c r="A606"/>
      <c r="B606"/>
      <c r="C606"/>
      <c r="D606"/>
      <c r="E606"/>
      <c r="F606"/>
      <c r="G606"/>
    </row>
    <row r="607" spans="1:7" ht="15">
      <c r="A607"/>
      <c r="B607"/>
      <c r="C607"/>
      <c r="D607"/>
      <c r="E607"/>
      <c r="F607"/>
      <c r="G607"/>
    </row>
    <row r="608" spans="1:7" ht="15">
      <c r="A608"/>
      <c r="B608"/>
      <c r="C608"/>
      <c r="D608"/>
      <c r="E608"/>
      <c r="F608"/>
      <c r="G608"/>
    </row>
    <row r="609" spans="1:7" ht="15">
      <c r="A609"/>
      <c r="B609"/>
      <c r="C609"/>
      <c r="D609"/>
      <c r="E609"/>
      <c r="F609"/>
      <c r="G609"/>
    </row>
    <row r="610" spans="1:7" ht="15">
      <c r="A610"/>
      <c r="B610"/>
      <c r="C610"/>
      <c r="D610"/>
      <c r="E610"/>
      <c r="F610"/>
      <c r="G610"/>
    </row>
    <row r="611" spans="1:7" ht="15">
      <c r="A611"/>
      <c r="B611"/>
      <c r="C611"/>
      <c r="D611"/>
      <c r="E611"/>
      <c r="F611"/>
      <c r="G611"/>
    </row>
    <row r="612" spans="1:7" ht="15">
      <c r="A612"/>
      <c r="B612"/>
      <c r="C612"/>
      <c r="D612"/>
      <c r="E612"/>
      <c r="F612"/>
      <c r="G612"/>
    </row>
    <row r="613" spans="1:7" ht="15">
      <c r="A613"/>
      <c r="B613"/>
      <c r="C613"/>
      <c r="D613"/>
      <c r="E613"/>
      <c r="F613"/>
      <c r="G613"/>
    </row>
    <row r="614" spans="1:7" ht="15">
      <c r="A614"/>
      <c r="B614"/>
      <c r="C614"/>
      <c r="D614"/>
      <c r="E614"/>
      <c r="F614"/>
      <c r="G614"/>
    </row>
    <row r="615" spans="1:7" ht="15">
      <c r="A615"/>
      <c r="B615"/>
      <c r="C615"/>
      <c r="D615"/>
      <c r="E615"/>
      <c r="F615"/>
      <c r="G615"/>
    </row>
    <row r="616" spans="1:7" ht="15">
      <c r="A616"/>
      <c r="B616"/>
      <c r="C616"/>
      <c r="D616"/>
      <c r="E616"/>
      <c r="F616"/>
      <c r="G616"/>
    </row>
    <row r="617" spans="1:7" ht="15">
      <c r="A617"/>
      <c r="B617"/>
      <c r="C617"/>
      <c r="D617"/>
      <c r="E617"/>
      <c r="F617"/>
      <c r="G617"/>
    </row>
    <row r="618" spans="1:7" ht="15">
      <c r="A618"/>
      <c r="B618"/>
      <c r="C618"/>
      <c r="D618"/>
      <c r="E618"/>
      <c r="F618"/>
      <c r="G618"/>
    </row>
    <row r="619" spans="1:7" ht="15">
      <c r="A619"/>
      <c r="B619"/>
      <c r="C619"/>
      <c r="D619"/>
      <c r="E619"/>
      <c r="F619"/>
      <c r="G619"/>
    </row>
    <row r="620" spans="1:7" ht="15">
      <c r="A620"/>
      <c r="B620"/>
      <c r="C620"/>
      <c r="D620"/>
      <c r="E620"/>
      <c r="F620"/>
      <c r="G620"/>
    </row>
    <row r="621" spans="1:7" ht="15">
      <c r="A621"/>
      <c r="B621"/>
      <c r="C621"/>
      <c r="D621"/>
      <c r="E621"/>
      <c r="F621"/>
      <c r="G621"/>
    </row>
    <row r="622" spans="1:7" ht="15">
      <c r="A622"/>
      <c r="B622"/>
      <c r="C622"/>
      <c r="D622"/>
      <c r="E622"/>
      <c r="F622"/>
      <c r="G622"/>
    </row>
    <row r="623" spans="1:7" ht="15">
      <c r="A623"/>
      <c r="B623"/>
      <c r="C623"/>
      <c r="D623"/>
      <c r="E623"/>
      <c r="F623"/>
      <c r="G623"/>
    </row>
    <row r="624" spans="1:7" ht="15">
      <c r="A624"/>
      <c r="B624"/>
      <c r="C624"/>
      <c r="D624"/>
      <c r="E624"/>
      <c r="F624"/>
      <c r="G624"/>
    </row>
    <row r="625" spans="1:7" ht="15">
      <c r="A625"/>
      <c r="B625"/>
      <c r="C625"/>
      <c r="D625"/>
      <c r="E625"/>
      <c r="F625"/>
      <c r="G625"/>
    </row>
    <row r="626" spans="1:7" ht="15">
      <c r="A626"/>
      <c r="B626"/>
      <c r="C626"/>
      <c r="D626"/>
      <c r="E626"/>
      <c r="F626"/>
      <c r="G626"/>
    </row>
    <row r="627" spans="1:7" ht="15">
      <c r="A627"/>
      <c r="B627"/>
      <c r="C627"/>
      <c r="D627"/>
      <c r="E627"/>
      <c r="F627"/>
      <c r="G627"/>
    </row>
    <row r="628" spans="1:7" ht="15">
      <c r="A628"/>
      <c r="B628"/>
      <c r="C628"/>
      <c r="D628"/>
      <c r="E628"/>
      <c r="F628"/>
      <c r="G628"/>
    </row>
    <row r="629" spans="1:7" ht="15">
      <c r="A629"/>
      <c r="B629"/>
      <c r="C629"/>
      <c r="D629"/>
      <c r="E629"/>
      <c r="F629"/>
      <c r="G629"/>
    </row>
    <row r="630" spans="1:7" ht="15">
      <c r="A630"/>
      <c r="B630"/>
      <c r="C630"/>
      <c r="D630"/>
      <c r="E630"/>
      <c r="F630"/>
      <c r="G630"/>
    </row>
    <row r="631" spans="1:7" ht="15">
      <c r="A631"/>
      <c r="B631"/>
      <c r="C631"/>
      <c r="D631"/>
      <c r="E631"/>
      <c r="F631"/>
      <c r="G631"/>
    </row>
    <row r="632" spans="1:7" ht="15">
      <c r="A632"/>
      <c r="B632"/>
      <c r="C632"/>
      <c r="D632"/>
      <c r="E632"/>
      <c r="F632"/>
      <c r="G632"/>
    </row>
    <row r="633" spans="1:7" ht="15">
      <c r="A633"/>
      <c r="B633"/>
      <c r="C633"/>
      <c r="D633"/>
      <c r="E633"/>
      <c r="F633"/>
      <c r="G633"/>
    </row>
    <row r="634" spans="1:7" ht="15">
      <c r="A634"/>
      <c r="B634"/>
      <c r="C634"/>
      <c r="D634"/>
      <c r="E634"/>
      <c r="F634"/>
      <c r="G634"/>
    </row>
    <row r="635" spans="1:7" ht="15">
      <c r="A635"/>
      <c r="B635"/>
      <c r="C635"/>
      <c r="D635"/>
      <c r="E635"/>
      <c r="F635"/>
      <c r="G635"/>
    </row>
    <row r="636" spans="1:7" ht="15">
      <c r="A636"/>
      <c r="B636"/>
      <c r="C636"/>
      <c r="D636"/>
      <c r="E636"/>
      <c r="F636"/>
      <c r="G636"/>
    </row>
    <row r="637" spans="1:7" ht="15">
      <c r="A637"/>
      <c r="B637"/>
      <c r="C637"/>
      <c r="D637"/>
      <c r="E637"/>
      <c r="F637"/>
      <c r="G637"/>
    </row>
    <row r="638" spans="1:7" ht="15">
      <c r="A638"/>
      <c r="B638"/>
      <c r="C638"/>
      <c r="D638"/>
      <c r="E638"/>
      <c r="F638"/>
      <c r="G638"/>
    </row>
    <row r="639" spans="1:7" ht="15">
      <c r="A639"/>
      <c r="B639"/>
      <c r="C639"/>
      <c r="D639"/>
      <c r="E639"/>
      <c r="F639"/>
      <c r="G639"/>
    </row>
    <row r="640" spans="1:7" ht="15">
      <c r="A640"/>
      <c r="B640"/>
      <c r="C640"/>
      <c r="D640"/>
      <c r="E640"/>
      <c r="F640"/>
      <c r="G640"/>
    </row>
    <row r="641" spans="1:7" ht="15">
      <c r="A641"/>
      <c r="B641"/>
      <c r="C641"/>
      <c r="D641"/>
      <c r="E641"/>
      <c r="F641"/>
      <c r="G641"/>
    </row>
    <row r="642" spans="1:7" ht="15">
      <c r="A642"/>
      <c r="B642"/>
      <c r="C642"/>
      <c r="D642"/>
      <c r="E642"/>
      <c r="F642"/>
      <c r="G642"/>
    </row>
    <row r="643" spans="1:7" ht="15">
      <c r="A643"/>
      <c r="B643"/>
      <c r="C643"/>
      <c r="D643"/>
      <c r="E643"/>
      <c r="F643"/>
      <c r="G643"/>
    </row>
    <row r="644" spans="1:7" ht="15">
      <c r="A644"/>
      <c r="B644"/>
      <c r="C644"/>
      <c r="D644"/>
      <c r="E644"/>
      <c r="F644"/>
      <c r="G644"/>
    </row>
    <row r="645" spans="1:7" ht="15">
      <c r="A645"/>
      <c r="B645"/>
      <c r="C645"/>
      <c r="D645"/>
      <c r="E645"/>
      <c r="F645"/>
      <c r="G645"/>
    </row>
    <row r="646" spans="1:7" ht="15">
      <c r="A646"/>
      <c r="B646"/>
      <c r="C646"/>
      <c r="D646"/>
      <c r="E646"/>
      <c r="F646"/>
      <c r="G646"/>
    </row>
    <row r="647" spans="1:7" ht="15">
      <c r="A647"/>
      <c r="B647"/>
      <c r="C647"/>
      <c r="D647"/>
      <c r="E647"/>
      <c r="F647"/>
      <c r="G647"/>
    </row>
    <row r="648" spans="1:7" ht="15">
      <c r="A648"/>
      <c r="B648"/>
      <c r="C648"/>
      <c r="D648"/>
      <c r="E648"/>
      <c r="F648"/>
      <c r="G648"/>
    </row>
    <row r="649" spans="1:7" ht="15">
      <c r="A649"/>
      <c r="B649"/>
      <c r="C649"/>
      <c r="D649"/>
      <c r="E649"/>
      <c r="F649"/>
      <c r="G649"/>
    </row>
    <row r="650" spans="1:7" ht="15">
      <c r="A650"/>
      <c r="B650"/>
      <c r="C650"/>
      <c r="D650"/>
      <c r="E650"/>
      <c r="F650"/>
      <c r="G650"/>
    </row>
    <row r="651" spans="1:7" ht="15">
      <c r="A651"/>
      <c r="B651"/>
      <c r="C651"/>
      <c r="D651"/>
      <c r="E651"/>
      <c r="F651"/>
      <c r="G651"/>
    </row>
    <row r="652" spans="1:7" ht="15">
      <c r="A652"/>
      <c r="B652"/>
      <c r="C652"/>
      <c r="D652"/>
      <c r="E652"/>
      <c r="F652"/>
      <c r="G652"/>
    </row>
    <row r="653" spans="1:7" ht="15">
      <c r="A653"/>
      <c r="B653"/>
      <c r="C653"/>
      <c r="D653"/>
      <c r="E653"/>
      <c r="F653"/>
      <c r="G653"/>
    </row>
    <row r="654" spans="1:7" ht="15">
      <c r="A654"/>
      <c r="B654"/>
      <c r="C654"/>
      <c r="D654"/>
      <c r="E654"/>
      <c r="F654"/>
      <c r="G654"/>
    </row>
    <row r="655" spans="1:7" ht="15">
      <c r="A655"/>
      <c r="B655"/>
      <c r="C655"/>
      <c r="D655"/>
      <c r="E655"/>
      <c r="F655"/>
      <c r="G655"/>
    </row>
    <row r="656" spans="1:7" ht="15">
      <c r="A656"/>
      <c r="B656"/>
      <c r="C656"/>
      <c r="D656"/>
      <c r="E656"/>
      <c r="F656"/>
      <c r="G656"/>
    </row>
    <row r="657" spans="1:7" ht="15">
      <c r="A657"/>
      <c r="B657"/>
      <c r="C657"/>
      <c r="D657"/>
      <c r="E657"/>
      <c r="F657"/>
      <c r="G657"/>
    </row>
    <row r="658" spans="1:7" ht="15">
      <c r="A658"/>
      <c r="B658"/>
      <c r="C658"/>
      <c r="D658"/>
      <c r="E658"/>
      <c r="F658"/>
      <c r="G658"/>
    </row>
    <row r="659" spans="1:7" ht="15">
      <c r="A659"/>
      <c r="B659"/>
      <c r="C659"/>
      <c r="D659"/>
      <c r="E659"/>
      <c r="F659"/>
      <c r="G659"/>
    </row>
    <row r="660" spans="1:7" ht="15">
      <c r="A660"/>
      <c r="B660"/>
      <c r="C660"/>
      <c r="D660"/>
      <c r="E660"/>
      <c r="F660"/>
      <c r="G660"/>
    </row>
    <row r="661" spans="1:7" ht="15">
      <c r="A661"/>
      <c r="B661"/>
      <c r="C661"/>
      <c r="D661"/>
      <c r="E661"/>
      <c r="F661"/>
      <c r="G661"/>
    </row>
    <row r="662" spans="1:7" ht="15">
      <c r="A662"/>
      <c r="B662"/>
      <c r="C662"/>
      <c r="D662"/>
      <c r="E662"/>
      <c r="F662"/>
      <c r="G662"/>
    </row>
    <row r="663" spans="1:7" ht="15">
      <c r="A663"/>
      <c r="B663"/>
      <c r="C663"/>
      <c r="D663"/>
      <c r="E663"/>
      <c r="F663"/>
      <c r="G663"/>
    </row>
    <row r="664" spans="1:7" ht="15">
      <c r="A664"/>
      <c r="B664"/>
      <c r="C664"/>
      <c r="D664"/>
      <c r="E664"/>
      <c r="F664"/>
      <c r="G664"/>
    </row>
    <row r="665" spans="1:7" ht="15">
      <c r="A665"/>
      <c r="B665"/>
      <c r="C665"/>
      <c r="D665"/>
      <c r="E665"/>
      <c r="F665"/>
      <c r="G665"/>
    </row>
    <row r="666" spans="1:7" ht="15">
      <c r="A666"/>
      <c r="B666"/>
      <c r="C666"/>
      <c r="D666"/>
      <c r="E666"/>
      <c r="F666"/>
      <c r="G666"/>
    </row>
    <row r="667" spans="1:7" ht="15">
      <c r="A667"/>
      <c r="B667"/>
      <c r="C667"/>
      <c r="D667"/>
      <c r="E667"/>
      <c r="F667"/>
      <c r="G667"/>
    </row>
    <row r="668" spans="1:7" ht="15">
      <c r="A668"/>
      <c r="B668"/>
      <c r="C668"/>
      <c r="D668"/>
      <c r="E668"/>
      <c r="F668"/>
      <c r="G668"/>
    </row>
    <row r="669" spans="1:7" ht="15">
      <c r="A669"/>
      <c r="B669"/>
      <c r="C669"/>
      <c r="D669"/>
      <c r="E669"/>
      <c r="F669"/>
      <c r="G669"/>
    </row>
    <row r="670" spans="1:7" ht="15">
      <c r="A670"/>
      <c r="B670"/>
      <c r="C670"/>
      <c r="D670"/>
      <c r="E670"/>
      <c r="F670"/>
      <c r="G670"/>
    </row>
    <row r="671" spans="1:7" ht="15">
      <c r="A671"/>
      <c r="B671"/>
      <c r="C671"/>
      <c r="D671"/>
      <c r="E671"/>
      <c r="F671"/>
      <c r="G671"/>
    </row>
    <row r="672" spans="1:7" ht="15">
      <c r="A672"/>
      <c r="B672"/>
      <c r="C672"/>
      <c r="D672"/>
      <c r="E672"/>
      <c r="F672"/>
      <c r="G672"/>
    </row>
    <row r="673" spans="1:7" ht="15">
      <c r="A673"/>
      <c r="B673"/>
      <c r="C673"/>
      <c r="D673"/>
      <c r="E673"/>
      <c r="F673"/>
      <c r="G673"/>
    </row>
    <row r="674" spans="1:7" ht="15">
      <c r="A674"/>
      <c r="B674"/>
      <c r="C674"/>
      <c r="D674"/>
      <c r="E674"/>
      <c r="F674"/>
      <c r="G674"/>
    </row>
    <row r="675" spans="1:7" ht="15">
      <c r="A675"/>
      <c r="B675"/>
      <c r="C675"/>
      <c r="D675"/>
      <c r="E675"/>
      <c r="F675"/>
      <c r="G675"/>
    </row>
    <row r="676" spans="1:7" ht="15">
      <c r="A676"/>
      <c r="B676"/>
      <c r="C676"/>
      <c r="D676"/>
      <c r="E676"/>
      <c r="F676"/>
      <c r="G676"/>
    </row>
    <row r="677" spans="1:7" ht="15">
      <c r="A677"/>
      <c r="B677"/>
      <c r="C677"/>
      <c r="D677"/>
      <c r="E677"/>
      <c r="F677"/>
      <c r="G677"/>
    </row>
    <row r="678" spans="1:7" ht="15">
      <c r="A678"/>
      <c r="B678"/>
      <c r="C678"/>
      <c r="D678"/>
      <c r="E678"/>
      <c r="F678"/>
      <c r="G678"/>
    </row>
    <row r="679" spans="1:7" ht="15">
      <c r="A679"/>
      <c r="B679"/>
      <c r="C679"/>
      <c r="D679"/>
      <c r="E679"/>
      <c r="F679"/>
      <c r="G679"/>
    </row>
    <row r="680" spans="1:7" ht="15">
      <c r="A680"/>
      <c r="B680"/>
      <c r="C680"/>
      <c r="D680"/>
      <c r="E680"/>
      <c r="F680"/>
      <c r="G680"/>
    </row>
    <row r="681" spans="1:7" ht="15">
      <c r="A681"/>
      <c r="B681"/>
      <c r="C681"/>
      <c r="D681"/>
      <c r="E681"/>
      <c r="F681"/>
      <c r="G681"/>
    </row>
    <row r="682" spans="1:7" ht="15">
      <c r="A682"/>
      <c r="B682"/>
      <c r="C682"/>
      <c r="D682"/>
      <c r="E682"/>
      <c r="F682"/>
      <c r="G682"/>
    </row>
    <row r="683" spans="1:7" ht="15">
      <c r="A683"/>
      <c r="B683"/>
      <c r="C683"/>
      <c r="D683"/>
      <c r="E683"/>
      <c r="F683"/>
      <c r="G683"/>
    </row>
    <row r="684" spans="1:7" ht="15">
      <c r="A684"/>
      <c r="B684"/>
      <c r="C684"/>
      <c r="D684"/>
      <c r="E684"/>
      <c r="F684"/>
      <c r="G684"/>
    </row>
    <row r="685" spans="1:7" ht="15">
      <c r="A685"/>
      <c r="B685"/>
      <c r="C685"/>
      <c r="D685"/>
      <c r="E685"/>
      <c r="F685"/>
      <c r="G685"/>
    </row>
    <row r="686" spans="1:7" ht="15">
      <c r="A686"/>
      <c r="B686"/>
      <c r="C686"/>
      <c r="D686"/>
      <c r="E686"/>
      <c r="F686"/>
      <c r="G686"/>
    </row>
    <row r="687" spans="1:7" ht="15">
      <c r="A687"/>
      <c r="B687"/>
      <c r="C687"/>
      <c r="D687"/>
      <c r="E687"/>
      <c r="F687"/>
      <c r="G687"/>
    </row>
    <row r="688" spans="1:7" ht="15">
      <c r="A688"/>
      <c r="B688"/>
      <c r="C688"/>
      <c r="D688"/>
      <c r="E688"/>
      <c r="F688"/>
      <c r="G688"/>
    </row>
    <row r="689" spans="1:7" ht="15">
      <c r="A689"/>
      <c r="B689"/>
      <c r="C689"/>
      <c r="D689"/>
      <c r="E689"/>
      <c r="F689"/>
      <c r="G689"/>
    </row>
    <row r="690" spans="1:7" ht="15">
      <c r="A690"/>
      <c r="B690"/>
      <c r="C690"/>
      <c r="D690"/>
      <c r="E690"/>
      <c r="F690"/>
      <c r="G690"/>
    </row>
    <row r="691" spans="1:7" ht="15">
      <c r="A691"/>
      <c r="B691"/>
      <c r="C691"/>
      <c r="D691"/>
      <c r="E691"/>
      <c r="F691"/>
      <c r="G691"/>
    </row>
    <row r="692" spans="1:7" ht="15">
      <c r="A692"/>
      <c r="B692"/>
      <c r="C692"/>
      <c r="D692"/>
      <c r="E692"/>
      <c r="F692"/>
      <c r="G692"/>
    </row>
    <row r="693" spans="1:7" ht="15">
      <c r="A693"/>
      <c r="B693"/>
      <c r="C693"/>
      <c r="D693"/>
      <c r="E693"/>
      <c r="F693"/>
      <c r="G693"/>
    </row>
    <row r="694" spans="1:7" ht="15">
      <c r="A694"/>
      <c r="B694"/>
      <c r="C694"/>
      <c r="D694"/>
      <c r="E694"/>
      <c r="F694"/>
      <c r="G694"/>
    </row>
    <row r="695" spans="1:7" ht="15">
      <c r="A695"/>
      <c r="B695"/>
      <c r="C695"/>
      <c r="D695"/>
      <c r="E695"/>
      <c r="F695"/>
      <c r="G695"/>
    </row>
    <row r="696" spans="1:7" ht="15">
      <c r="A696"/>
      <c r="B696"/>
      <c r="C696"/>
      <c r="D696"/>
      <c r="E696"/>
      <c r="F696"/>
      <c r="G696"/>
    </row>
    <row r="697" spans="1:7" ht="15">
      <c r="A697"/>
      <c r="B697"/>
      <c r="C697"/>
      <c r="D697"/>
      <c r="E697"/>
      <c r="F697"/>
      <c r="G697"/>
    </row>
    <row r="698" spans="1:7" ht="15">
      <c r="A698"/>
      <c r="B698"/>
      <c r="C698"/>
      <c r="D698"/>
      <c r="E698"/>
      <c r="F698"/>
      <c r="G698"/>
    </row>
    <row r="699" spans="1:7" ht="15">
      <c r="A699"/>
      <c r="B699"/>
      <c r="C699"/>
      <c r="D699"/>
      <c r="E699"/>
      <c r="F699"/>
      <c r="G699"/>
    </row>
    <row r="700" spans="1:7" ht="15">
      <c r="A700"/>
      <c r="B700"/>
      <c r="C700"/>
      <c r="D700"/>
      <c r="E700"/>
      <c r="F700"/>
      <c r="G700"/>
    </row>
    <row r="701" spans="1:7" ht="15">
      <c r="A701"/>
      <c r="B701"/>
      <c r="C701"/>
      <c r="D701"/>
      <c r="E701"/>
      <c r="F701"/>
      <c r="G701"/>
    </row>
    <row r="702" spans="1:7" ht="15">
      <c r="A702"/>
      <c r="B702"/>
      <c r="C702"/>
      <c r="D702"/>
      <c r="E702"/>
      <c r="F702"/>
      <c r="G702"/>
    </row>
    <row r="703" spans="1:7" ht="15">
      <c r="A703"/>
      <c r="B703"/>
      <c r="C703"/>
      <c r="D703"/>
      <c r="E703"/>
      <c r="F703"/>
      <c r="G703"/>
    </row>
    <row r="704" spans="1:7" ht="15">
      <c r="A704"/>
      <c r="B704"/>
      <c r="C704"/>
      <c r="D704"/>
      <c r="E704"/>
      <c r="F704"/>
      <c r="G704"/>
    </row>
    <row r="705" spans="1:7" ht="15">
      <c r="A705"/>
      <c r="B705"/>
      <c r="C705"/>
      <c r="D705"/>
      <c r="E705"/>
      <c r="F705"/>
      <c r="G705"/>
    </row>
    <row r="706" spans="1:7" ht="15">
      <c r="A706"/>
      <c r="B706"/>
      <c r="C706"/>
      <c r="D706"/>
      <c r="E706"/>
      <c r="F706"/>
      <c r="G706"/>
    </row>
    <row r="707" spans="1:7" ht="15">
      <c r="A707"/>
      <c r="B707"/>
      <c r="C707"/>
      <c r="D707"/>
      <c r="E707"/>
      <c r="F707"/>
      <c r="G707"/>
    </row>
    <row r="708" spans="1:7" ht="15">
      <c r="A708"/>
      <c r="B708"/>
      <c r="C708"/>
      <c r="D708"/>
      <c r="E708"/>
      <c r="F708"/>
      <c r="G708"/>
    </row>
    <row r="709" spans="1:7" ht="15">
      <c r="A709"/>
      <c r="B709"/>
      <c r="C709"/>
      <c r="D709"/>
      <c r="E709"/>
      <c r="F709"/>
      <c r="G709"/>
    </row>
    <row r="710" spans="1:7" ht="15">
      <c r="A710"/>
      <c r="B710"/>
      <c r="C710"/>
      <c r="D710"/>
      <c r="E710"/>
      <c r="F710"/>
      <c r="G710"/>
    </row>
    <row r="711" spans="1:7" ht="15">
      <c r="A711"/>
      <c r="B711"/>
      <c r="C711"/>
      <c r="D711"/>
      <c r="E711"/>
      <c r="F711"/>
      <c r="G711"/>
    </row>
    <row r="712" spans="1:7" ht="15">
      <c r="A712"/>
      <c r="B712"/>
      <c r="C712"/>
      <c r="D712"/>
      <c r="E712"/>
      <c r="F712"/>
      <c r="G712"/>
    </row>
    <row r="713" spans="1:7" ht="15">
      <c r="A713"/>
      <c r="B713"/>
      <c r="C713"/>
      <c r="D713"/>
      <c r="E713"/>
      <c r="F713"/>
      <c r="G713"/>
    </row>
    <row r="714" spans="1:7" ht="15">
      <c r="A714"/>
      <c r="B714"/>
      <c r="C714"/>
      <c r="D714"/>
      <c r="E714"/>
      <c r="F714"/>
      <c r="G714"/>
    </row>
    <row r="715" spans="1:7" ht="15">
      <c r="A715"/>
      <c r="B715"/>
      <c r="C715"/>
      <c r="D715"/>
      <c r="E715"/>
      <c r="F715"/>
      <c r="G715"/>
    </row>
    <row r="716" spans="1:7" ht="15">
      <c r="A716"/>
      <c r="B716"/>
      <c r="C716"/>
      <c r="D716"/>
      <c r="E716"/>
      <c r="F716"/>
      <c r="G716"/>
    </row>
    <row r="717" spans="1:7" ht="15">
      <c r="A717"/>
      <c r="B717"/>
      <c r="C717"/>
      <c r="D717"/>
      <c r="E717"/>
      <c r="F717"/>
      <c r="G717"/>
    </row>
    <row r="718" spans="1:7" ht="15">
      <c r="A718"/>
      <c r="B718"/>
      <c r="C718"/>
      <c r="D718"/>
      <c r="E718"/>
      <c r="F718"/>
      <c r="G718"/>
    </row>
    <row r="719" spans="1:7" ht="15">
      <c r="A719"/>
      <c r="B719"/>
      <c r="C719"/>
      <c r="D719"/>
      <c r="E719"/>
      <c r="F719"/>
      <c r="G719"/>
    </row>
    <row r="720" spans="1:7" ht="15">
      <c r="A720"/>
      <c r="B720"/>
      <c r="C720"/>
      <c r="D720"/>
      <c r="E720"/>
      <c r="F720"/>
      <c r="G720"/>
    </row>
    <row r="721" spans="1:7" ht="15">
      <c r="A721"/>
      <c r="B721"/>
      <c r="C721"/>
      <c r="D721"/>
      <c r="E721"/>
      <c r="F721"/>
      <c r="G721"/>
    </row>
    <row r="722" spans="1:7" ht="15">
      <c r="A722"/>
      <c r="B722"/>
      <c r="C722"/>
      <c r="D722"/>
      <c r="E722"/>
      <c r="F722"/>
      <c r="G722"/>
    </row>
    <row r="723" spans="1:7" ht="15">
      <c r="A723"/>
      <c r="B723"/>
      <c r="C723"/>
      <c r="D723"/>
      <c r="E723"/>
      <c r="F723"/>
      <c r="G723"/>
    </row>
    <row r="724" spans="1:7" ht="15">
      <c r="A724"/>
      <c r="B724"/>
      <c r="C724"/>
      <c r="D724"/>
      <c r="E724"/>
      <c r="F724"/>
      <c r="G724"/>
    </row>
    <row r="725" spans="1:7" ht="15">
      <c r="A725"/>
      <c r="B725"/>
      <c r="C725"/>
      <c r="D725"/>
      <c r="E725"/>
      <c r="F725"/>
      <c r="G725"/>
    </row>
    <row r="726" spans="1:7" ht="15">
      <c r="A726"/>
      <c r="B726"/>
      <c r="C726"/>
      <c r="D726"/>
      <c r="E726"/>
      <c r="F726"/>
      <c r="G726"/>
    </row>
    <row r="727" spans="1:7" ht="15">
      <c r="A727"/>
      <c r="B727"/>
      <c r="C727"/>
      <c r="D727"/>
      <c r="E727"/>
      <c r="F727"/>
      <c r="G727"/>
    </row>
    <row r="728" spans="1:7" ht="15">
      <c r="A728"/>
      <c r="B728"/>
      <c r="C728"/>
      <c r="D728"/>
      <c r="E728"/>
      <c r="F728"/>
      <c r="G728"/>
    </row>
    <row r="729" spans="1:7" ht="15">
      <c r="A729"/>
      <c r="B729"/>
      <c r="C729"/>
      <c r="D729"/>
      <c r="E729"/>
      <c r="F729"/>
      <c r="G729"/>
    </row>
    <row r="730" spans="1:7" ht="15">
      <c r="A730"/>
      <c r="B730"/>
      <c r="C730"/>
      <c r="D730"/>
      <c r="E730"/>
      <c r="F730"/>
      <c r="G730"/>
    </row>
    <row r="731" spans="1:7" ht="15">
      <c r="A731"/>
      <c r="B731"/>
      <c r="C731"/>
      <c r="D731"/>
      <c r="E731"/>
      <c r="F731"/>
      <c r="G731"/>
    </row>
    <row r="732" spans="1:7" ht="15">
      <c r="A732"/>
      <c r="B732"/>
      <c r="C732"/>
      <c r="D732"/>
      <c r="E732"/>
      <c r="F732"/>
      <c r="G732"/>
    </row>
    <row r="733" spans="1:7" ht="15">
      <c r="A733"/>
      <c r="B733"/>
      <c r="C733"/>
      <c r="D733"/>
      <c r="E733"/>
      <c r="F733"/>
      <c r="G733"/>
    </row>
    <row r="734" spans="1:7" ht="15">
      <c r="A734"/>
      <c r="B734"/>
      <c r="C734"/>
      <c r="D734"/>
      <c r="E734"/>
      <c r="F734"/>
      <c r="G734"/>
    </row>
    <row r="735" spans="1:7" ht="15">
      <c r="A735"/>
      <c r="B735"/>
      <c r="C735"/>
      <c r="D735"/>
      <c r="E735"/>
      <c r="F735"/>
      <c r="G735"/>
    </row>
    <row r="736" spans="1:7" ht="15">
      <c r="A736"/>
      <c r="B736"/>
      <c r="C736"/>
      <c r="D736"/>
      <c r="E736"/>
      <c r="F736"/>
      <c r="G736"/>
    </row>
    <row r="737" spans="1:7" ht="15">
      <c r="A737"/>
      <c r="B737"/>
      <c r="C737"/>
      <c r="D737"/>
      <c r="E737"/>
      <c r="F737"/>
      <c r="G737"/>
    </row>
    <row r="738" spans="1:7" ht="15">
      <c r="A738"/>
      <c r="B738"/>
      <c r="C738"/>
      <c r="D738"/>
      <c r="E738"/>
      <c r="F738"/>
      <c r="G738"/>
    </row>
    <row r="739" spans="1:7" ht="15">
      <c r="A739"/>
      <c r="B739"/>
      <c r="C739"/>
      <c r="D739"/>
      <c r="E739"/>
      <c r="F739"/>
      <c r="G739"/>
    </row>
    <row r="740" spans="1:7" ht="15">
      <c r="A740"/>
      <c r="B740"/>
      <c r="C740"/>
      <c r="D740"/>
      <c r="E740"/>
      <c r="F740"/>
      <c r="G740"/>
    </row>
    <row r="741" spans="1:7" ht="15">
      <c r="A741"/>
      <c r="B741"/>
      <c r="C741"/>
      <c r="D741"/>
      <c r="E741"/>
      <c r="F741"/>
      <c r="G741"/>
    </row>
    <row r="742" spans="1:7" ht="15">
      <c r="A742"/>
      <c r="B742"/>
      <c r="C742"/>
      <c r="D742"/>
      <c r="E742"/>
      <c r="F742"/>
      <c r="G742"/>
    </row>
    <row r="743" spans="1:7" ht="15">
      <c r="A743"/>
      <c r="B743"/>
      <c r="C743"/>
      <c r="D743"/>
      <c r="E743"/>
      <c r="F743"/>
      <c r="G743"/>
    </row>
    <row r="744" spans="1:7" ht="15">
      <c r="A744"/>
      <c r="B744"/>
      <c r="C744"/>
      <c r="D744"/>
      <c r="E744"/>
      <c r="F744"/>
      <c r="G744"/>
    </row>
    <row r="745" spans="1:7" ht="15">
      <c r="A745"/>
      <c r="B745"/>
      <c r="C745"/>
      <c r="D745"/>
      <c r="E745"/>
      <c r="F745"/>
      <c r="G745"/>
    </row>
    <row r="746" spans="1:7" ht="15">
      <c r="A746"/>
      <c r="B746"/>
      <c r="C746"/>
      <c r="D746"/>
      <c r="E746"/>
      <c r="F746"/>
      <c r="G746"/>
    </row>
    <row r="747" spans="1:7" ht="15">
      <c r="A747"/>
      <c r="B747"/>
      <c r="C747"/>
      <c r="D747"/>
      <c r="E747"/>
      <c r="F747"/>
      <c r="G747"/>
    </row>
    <row r="748" spans="1:7" ht="15">
      <c r="A748"/>
      <c r="B748"/>
      <c r="C748"/>
      <c r="D748"/>
      <c r="E748"/>
      <c r="F748"/>
      <c r="G748"/>
    </row>
    <row r="749" spans="1:7" ht="15">
      <c r="A749"/>
      <c r="B749"/>
      <c r="C749"/>
      <c r="D749"/>
      <c r="E749"/>
      <c r="F749"/>
      <c r="G749"/>
    </row>
    <row r="750" spans="1:7" ht="15">
      <c r="A750"/>
      <c r="B750"/>
      <c r="C750"/>
      <c r="D750"/>
      <c r="E750"/>
      <c r="F750"/>
      <c r="G750"/>
    </row>
    <row r="751" spans="1:7" ht="15">
      <c r="A751"/>
      <c r="B751"/>
      <c r="C751"/>
      <c r="D751"/>
      <c r="E751"/>
      <c r="F751"/>
      <c r="G751"/>
    </row>
    <row r="752" spans="1:7" ht="15">
      <c r="A752"/>
      <c r="B752"/>
      <c r="C752"/>
      <c r="D752"/>
      <c r="E752"/>
      <c r="F752"/>
      <c r="G752"/>
    </row>
    <row r="753" spans="1:7" ht="15">
      <c r="A753"/>
      <c r="B753"/>
      <c r="C753"/>
      <c r="D753"/>
      <c r="E753"/>
      <c r="F753"/>
      <c r="G753"/>
    </row>
    <row r="754" spans="1:7" ht="15">
      <c r="A754"/>
      <c r="B754"/>
      <c r="C754"/>
      <c r="D754"/>
      <c r="E754"/>
      <c r="F754"/>
      <c r="G754"/>
    </row>
    <row r="755" spans="1:7" ht="15">
      <c r="A755"/>
      <c r="B755"/>
      <c r="C755"/>
      <c r="D755"/>
      <c r="E755"/>
      <c r="F755"/>
      <c r="G755"/>
    </row>
    <row r="756" spans="1:7" ht="15">
      <c r="A756"/>
      <c r="B756"/>
      <c r="C756"/>
      <c r="D756"/>
      <c r="E756"/>
      <c r="F756"/>
      <c r="G756"/>
    </row>
    <row r="757" spans="1:7" ht="15">
      <c r="A757"/>
      <c r="B757"/>
      <c r="C757"/>
      <c r="D757"/>
      <c r="E757"/>
      <c r="F757"/>
      <c r="G757"/>
    </row>
    <row r="758" spans="1:7" ht="15">
      <c r="A758"/>
      <c r="B758"/>
      <c r="C758"/>
      <c r="D758"/>
      <c r="E758"/>
      <c r="F758"/>
      <c r="G758"/>
    </row>
    <row r="759" spans="1:7" ht="15">
      <c r="A759"/>
      <c r="B759"/>
      <c r="C759"/>
      <c r="D759"/>
      <c r="E759"/>
      <c r="F759"/>
      <c r="G759"/>
    </row>
    <row r="760" spans="1:7" ht="15">
      <c r="A760"/>
      <c r="B760"/>
      <c r="C760"/>
      <c r="D760"/>
      <c r="E760"/>
      <c r="F760"/>
      <c r="G760"/>
    </row>
    <row r="761" spans="1:7" ht="15">
      <c r="A761"/>
      <c r="B761"/>
      <c r="C761"/>
      <c r="D761"/>
      <c r="E761"/>
      <c r="F761"/>
      <c r="G761"/>
    </row>
    <row r="762" spans="1:7" ht="15">
      <c r="A762"/>
      <c r="B762"/>
      <c r="C762"/>
      <c r="D762"/>
      <c r="E762"/>
      <c r="F762"/>
      <c r="G762"/>
    </row>
    <row r="763" spans="1:7" ht="15">
      <c r="A763"/>
      <c r="B763"/>
      <c r="C763"/>
      <c r="D763"/>
      <c r="E763"/>
      <c r="F763"/>
      <c r="G763"/>
    </row>
    <row r="764" spans="1:7" ht="15">
      <c r="A764"/>
      <c r="B764"/>
      <c r="C764"/>
      <c r="D764"/>
      <c r="E764"/>
      <c r="F764"/>
      <c r="G764"/>
    </row>
    <row r="765" spans="1:7" ht="15">
      <c r="A765"/>
      <c r="B765"/>
      <c r="C765"/>
      <c r="D765"/>
      <c r="E765"/>
      <c r="F765"/>
      <c r="G765"/>
    </row>
    <row r="766" spans="1:7" ht="15">
      <c r="A766"/>
      <c r="B766"/>
      <c r="C766"/>
      <c r="D766"/>
      <c r="E766"/>
      <c r="F766"/>
      <c r="G766"/>
    </row>
    <row r="767" spans="1:7" ht="15">
      <c r="A767"/>
      <c r="B767"/>
      <c r="C767"/>
      <c r="D767"/>
      <c r="E767"/>
      <c r="F767"/>
      <c r="G767"/>
    </row>
    <row r="768" spans="1:7" ht="15">
      <c r="A768"/>
      <c r="B768"/>
      <c r="C768"/>
      <c r="D768"/>
      <c r="E768"/>
      <c r="F768"/>
      <c r="G768"/>
    </row>
    <row r="769" spans="1:7" ht="15">
      <c r="A769"/>
      <c r="B769"/>
      <c r="C769"/>
      <c r="D769"/>
      <c r="E769"/>
      <c r="F769"/>
      <c r="G769"/>
    </row>
    <row r="770" spans="1:7" ht="15">
      <c r="A770"/>
      <c r="B770"/>
      <c r="C770"/>
      <c r="D770"/>
      <c r="E770"/>
      <c r="F770"/>
      <c r="G770"/>
    </row>
    <row r="771" spans="1:7" ht="15">
      <c r="A771"/>
      <c r="B771"/>
      <c r="C771"/>
      <c r="D771"/>
      <c r="E771"/>
      <c r="F771"/>
      <c r="G771"/>
    </row>
    <row r="772" spans="1:7" ht="15">
      <c r="A772"/>
      <c r="B772"/>
      <c r="C772"/>
      <c r="D772"/>
      <c r="E772"/>
      <c r="F772"/>
      <c r="G772"/>
    </row>
    <row r="773" spans="1:7" ht="15">
      <c r="A773"/>
      <c r="B773"/>
      <c r="C773"/>
      <c r="D773"/>
      <c r="E773"/>
      <c r="F773"/>
      <c r="G773"/>
    </row>
    <row r="774" spans="1:7" ht="15">
      <c r="A774"/>
      <c r="B774"/>
      <c r="C774"/>
      <c r="D774"/>
      <c r="E774"/>
      <c r="F774"/>
      <c r="G774"/>
    </row>
    <row r="775" spans="1:7" ht="15">
      <c r="A775"/>
      <c r="B775"/>
      <c r="C775"/>
      <c r="D775"/>
      <c r="E775"/>
      <c r="F775"/>
      <c r="G775"/>
    </row>
    <row r="776" spans="1:7" ht="15">
      <c r="A776"/>
      <c r="B776"/>
      <c r="C776"/>
      <c r="D776"/>
      <c r="E776"/>
      <c r="F776"/>
      <c r="G776"/>
    </row>
    <row r="777" spans="1:7" ht="15">
      <c r="A777"/>
      <c r="B777"/>
      <c r="C777"/>
      <c r="D777"/>
      <c r="E777"/>
      <c r="F777"/>
      <c r="G777"/>
    </row>
    <row r="778" spans="1:7" ht="15">
      <c r="A778"/>
      <c r="B778"/>
      <c r="C778"/>
      <c r="D778"/>
      <c r="E778"/>
      <c r="F778"/>
      <c r="G778"/>
    </row>
    <row r="779" spans="1:7" ht="15">
      <c r="A779"/>
      <c r="B779"/>
      <c r="C779"/>
      <c r="D779"/>
      <c r="E779"/>
      <c r="F779"/>
      <c r="G779"/>
    </row>
    <row r="780" spans="1:7" ht="15">
      <c r="A780"/>
      <c r="B780"/>
      <c r="C780"/>
      <c r="D780"/>
      <c r="E780"/>
      <c r="F780"/>
      <c r="G780"/>
    </row>
    <row r="781" spans="1:7" ht="15">
      <c r="A781"/>
      <c r="B781"/>
      <c r="C781"/>
      <c r="D781"/>
      <c r="E781"/>
      <c r="F781"/>
      <c r="G781"/>
    </row>
    <row r="782" spans="1:7" ht="15">
      <c r="A782"/>
      <c r="B782"/>
      <c r="C782"/>
      <c r="D782"/>
      <c r="E782"/>
      <c r="F782"/>
      <c r="G782"/>
    </row>
    <row r="783" spans="1:7" ht="15">
      <c r="A783"/>
      <c r="B783"/>
      <c r="C783"/>
      <c r="D783"/>
      <c r="E783"/>
      <c r="F783"/>
      <c r="G783"/>
    </row>
    <row r="784" spans="1:7" ht="15">
      <c r="A784"/>
      <c r="B784"/>
      <c r="C784"/>
      <c r="D784"/>
      <c r="E784"/>
      <c r="F784"/>
      <c r="G784"/>
    </row>
    <row r="785" spans="1:7" ht="15">
      <c r="A785"/>
      <c r="B785"/>
      <c r="C785"/>
      <c r="D785"/>
      <c r="E785"/>
      <c r="F785"/>
      <c r="G785"/>
    </row>
    <row r="786" spans="1:7" ht="15">
      <c r="A786"/>
      <c r="B786"/>
      <c r="C786"/>
      <c r="D786"/>
      <c r="E786"/>
      <c r="F786"/>
      <c r="G786"/>
    </row>
    <row r="787" spans="1:7" ht="15">
      <c r="A787"/>
      <c r="B787"/>
      <c r="C787"/>
      <c r="D787"/>
      <c r="E787"/>
      <c r="F787"/>
      <c r="G787"/>
    </row>
    <row r="788" spans="1:7" ht="15">
      <c r="A788"/>
      <c r="B788"/>
      <c r="C788"/>
      <c r="D788"/>
      <c r="E788"/>
      <c r="F788"/>
      <c r="G788"/>
    </row>
    <row r="789" spans="1:7" ht="15">
      <c r="A789"/>
      <c r="B789"/>
      <c r="C789"/>
      <c r="D789"/>
      <c r="E789"/>
      <c r="F789"/>
      <c r="G789"/>
    </row>
    <row r="790" spans="1:7" ht="15">
      <c r="A790"/>
      <c r="B790"/>
      <c r="C790"/>
      <c r="D790"/>
      <c r="E790"/>
      <c r="F790"/>
      <c r="G790"/>
    </row>
    <row r="791" spans="1:7" ht="15">
      <c r="A791"/>
      <c r="B791"/>
      <c r="C791"/>
      <c r="D791"/>
      <c r="E791"/>
      <c r="F791"/>
      <c r="G791"/>
    </row>
    <row r="792" spans="1:7" ht="15">
      <c r="A792"/>
      <c r="B792"/>
      <c r="C792"/>
      <c r="D792"/>
      <c r="E792"/>
      <c r="F792"/>
      <c r="G792"/>
    </row>
    <row r="793" spans="1:7" ht="15">
      <c r="A793"/>
      <c r="B793"/>
      <c r="C793"/>
      <c r="D793"/>
      <c r="E793"/>
      <c r="F793"/>
      <c r="G793"/>
    </row>
    <row r="794" spans="1:7" ht="15">
      <c r="A794"/>
      <c r="B794"/>
      <c r="C794"/>
      <c r="D794"/>
      <c r="E794"/>
      <c r="F794"/>
      <c r="G794"/>
    </row>
    <row r="795" spans="1:7" ht="15">
      <c r="A795"/>
      <c r="B795"/>
      <c r="C795"/>
      <c r="D795"/>
      <c r="E795"/>
      <c r="F795"/>
      <c r="G795"/>
    </row>
    <row r="796" spans="1:7" ht="15">
      <c r="A796"/>
      <c r="B796"/>
      <c r="C796"/>
      <c r="D796"/>
      <c r="E796"/>
      <c r="F796"/>
      <c r="G796"/>
    </row>
    <row r="797" spans="1:7" ht="15">
      <c r="A797"/>
      <c r="B797"/>
      <c r="C797"/>
      <c r="D797"/>
      <c r="E797"/>
      <c r="F797"/>
      <c r="G797"/>
    </row>
    <row r="798" spans="1:7" ht="15">
      <c r="A798"/>
      <c r="B798"/>
      <c r="C798"/>
      <c r="D798"/>
      <c r="E798"/>
      <c r="F798"/>
      <c r="G798"/>
    </row>
    <row r="799" spans="1:7" ht="15">
      <c r="A799"/>
      <c r="B799"/>
      <c r="C799"/>
      <c r="D799"/>
      <c r="E799"/>
      <c r="F799"/>
      <c r="G799"/>
    </row>
    <row r="800" spans="1:7" ht="15">
      <c r="A800"/>
      <c r="B800"/>
      <c r="C800"/>
      <c r="D800"/>
      <c r="E800"/>
      <c r="F800"/>
      <c r="G800"/>
    </row>
    <row r="801" spans="1:7" ht="15">
      <c r="A801"/>
      <c r="B801"/>
      <c r="C801"/>
      <c r="D801"/>
      <c r="E801"/>
      <c r="F801"/>
      <c r="G801"/>
    </row>
    <row r="802" spans="1:7" ht="15">
      <c r="A802"/>
      <c r="B802"/>
      <c r="C802"/>
      <c r="D802"/>
      <c r="E802"/>
      <c r="F802"/>
      <c r="G802"/>
    </row>
    <row r="803" spans="1:7" ht="15">
      <c r="A803"/>
      <c r="B803"/>
      <c r="C803"/>
      <c r="D803"/>
      <c r="E803"/>
      <c r="F803"/>
      <c r="G803"/>
    </row>
    <row r="804" spans="1:7" ht="15">
      <c r="A804"/>
      <c r="B804"/>
      <c r="C804"/>
      <c r="D804"/>
      <c r="E804"/>
      <c r="F804"/>
      <c r="G804"/>
    </row>
    <row r="805" spans="1:7" ht="15">
      <c r="A805"/>
      <c r="B805"/>
      <c r="C805"/>
      <c r="D805"/>
      <c r="E805"/>
      <c r="F805"/>
      <c r="G805"/>
    </row>
    <row r="806" spans="1:7" ht="15">
      <c r="A806"/>
      <c r="B806"/>
      <c r="C806"/>
      <c r="D806"/>
      <c r="E806"/>
      <c r="F806"/>
      <c r="G806"/>
    </row>
    <row r="807" spans="1:7" ht="15">
      <c r="A807"/>
      <c r="B807"/>
      <c r="C807"/>
      <c r="D807"/>
      <c r="E807"/>
      <c r="F807"/>
      <c r="G807"/>
    </row>
    <row r="808" spans="1:7" ht="15">
      <c r="A808"/>
      <c r="B808"/>
      <c r="C808"/>
      <c r="D808"/>
      <c r="E808"/>
      <c r="F808"/>
      <c r="G808"/>
    </row>
    <row r="809" spans="1:7" ht="15">
      <c r="A809"/>
      <c r="B809"/>
      <c r="C809"/>
      <c r="D809"/>
      <c r="E809"/>
      <c r="F809"/>
      <c r="G809"/>
    </row>
    <row r="810" spans="1:7" ht="15">
      <c r="A810"/>
      <c r="B810"/>
      <c r="C810"/>
      <c r="D810"/>
      <c r="E810"/>
      <c r="F810"/>
      <c r="G810"/>
    </row>
    <row r="811" spans="1:7" ht="15">
      <c r="A811"/>
      <c r="B811"/>
      <c r="C811"/>
      <c r="D811"/>
      <c r="E811"/>
      <c r="F811"/>
      <c r="G811"/>
    </row>
    <row r="812" spans="1:7" ht="15">
      <c r="A812"/>
      <c r="B812"/>
      <c r="C812"/>
      <c r="D812"/>
      <c r="E812"/>
      <c r="F812"/>
      <c r="G812"/>
    </row>
    <row r="813" spans="1:7" ht="15">
      <c r="A813"/>
      <c r="B813"/>
      <c r="C813"/>
      <c r="D813"/>
      <c r="E813"/>
      <c r="F813"/>
      <c r="G813"/>
    </row>
    <row r="814" spans="1:7" ht="15">
      <c r="A814"/>
      <c r="B814"/>
      <c r="C814"/>
      <c r="D814"/>
      <c r="E814"/>
      <c r="F814"/>
      <c r="G814"/>
    </row>
    <row r="815" spans="1:7" ht="15">
      <c r="A815"/>
      <c r="B815"/>
      <c r="C815"/>
      <c r="D815"/>
      <c r="E815"/>
      <c r="F815"/>
      <c r="G815"/>
    </row>
    <row r="816" spans="1:7" ht="15">
      <c r="A816"/>
      <c r="B816"/>
      <c r="C816"/>
      <c r="D816"/>
      <c r="E816"/>
      <c r="F816"/>
      <c r="G816"/>
    </row>
    <row r="817" spans="1:7" ht="15">
      <c r="A817"/>
      <c r="B817"/>
      <c r="C817"/>
      <c r="D817"/>
      <c r="E817"/>
      <c r="F817"/>
      <c r="G817"/>
    </row>
    <row r="818" spans="1:7" ht="15">
      <c r="A818"/>
      <c r="B818"/>
      <c r="C818"/>
      <c r="D818"/>
      <c r="E818"/>
      <c r="F818"/>
      <c r="G818"/>
    </row>
    <row r="819" spans="1:7" ht="15">
      <c r="A819"/>
      <c r="B819"/>
      <c r="C819"/>
      <c r="D819"/>
      <c r="E819"/>
      <c r="F819"/>
      <c r="G819"/>
    </row>
    <row r="820" spans="1:7" ht="15">
      <c r="A820"/>
      <c r="B820"/>
      <c r="C820"/>
      <c r="D820"/>
      <c r="E820"/>
      <c r="F820"/>
      <c r="G820"/>
    </row>
    <row r="821" spans="1:7" ht="15">
      <c r="A821"/>
      <c r="B821"/>
      <c r="C821"/>
      <c r="D821"/>
      <c r="E821"/>
      <c r="F821"/>
      <c r="G821"/>
    </row>
    <row r="822" spans="1:7" ht="15">
      <c r="A822"/>
      <c r="B822"/>
      <c r="C822"/>
      <c r="D822"/>
      <c r="E822"/>
      <c r="F822"/>
      <c r="G822"/>
    </row>
    <row r="823" spans="1:7" ht="15">
      <c r="A823"/>
      <c r="B823"/>
      <c r="C823"/>
      <c r="D823"/>
      <c r="E823"/>
      <c r="F823"/>
      <c r="G823"/>
    </row>
    <row r="824" spans="1:7" ht="15">
      <c r="A824"/>
      <c r="B824"/>
      <c r="C824"/>
      <c r="D824"/>
      <c r="E824"/>
      <c r="F824"/>
      <c r="G824"/>
    </row>
    <row r="825" spans="1:7" ht="15">
      <c r="A825"/>
      <c r="B825"/>
      <c r="C825"/>
      <c r="D825"/>
      <c r="E825"/>
      <c r="F825"/>
      <c r="G825"/>
    </row>
    <row r="826" spans="1:7" ht="15">
      <c r="A826"/>
      <c r="B826"/>
      <c r="C826"/>
      <c r="D826"/>
      <c r="E826"/>
      <c r="F826"/>
      <c r="G826"/>
    </row>
    <row r="827" spans="1:7" ht="15">
      <c r="A827"/>
      <c r="B827"/>
      <c r="C827"/>
      <c r="D827"/>
      <c r="E827"/>
      <c r="F827"/>
      <c r="G827"/>
    </row>
    <row r="828" spans="1:7" ht="15">
      <c r="A828"/>
      <c r="B828"/>
      <c r="C828"/>
      <c r="D828"/>
      <c r="E828"/>
      <c r="F828"/>
      <c r="G828"/>
    </row>
    <row r="829" spans="1:7" ht="15">
      <c r="A829"/>
      <c r="B829"/>
      <c r="C829"/>
      <c r="D829"/>
      <c r="E829"/>
      <c r="F829"/>
      <c r="G829"/>
    </row>
    <row r="830" spans="1:7" ht="15">
      <c r="A830"/>
      <c r="B830"/>
      <c r="C830"/>
      <c r="D830"/>
      <c r="E830"/>
      <c r="F830"/>
      <c r="G830"/>
    </row>
    <row r="831" spans="1:7" ht="15">
      <c r="A831"/>
      <c r="B831"/>
      <c r="C831"/>
      <c r="D831"/>
      <c r="E831"/>
      <c r="F831"/>
      <c r="G831"/>
    </row>
    <row r="832" spans="1:7" ht="15">
      <c r="A832"/>
      <c r="B832"/>
      <c r="C832"/>
      <c r="D832"/>
      <c r="E832"/>
      <c r="F832"/>
      <c r="G832"/>
    </row>
    <row r="833" spans="1:7" ht="15">
      <c r="A833"/>
      <c r="B833"/>
      <c r="C833"/>
      <c r="D833"/>
      <c r="E833"/>
      <c r="F833"/>
      <c r="G833"/>
    </row>
    <row r="834" spans="1:7" ht="15">
      <c r="A834"/>
      <c r="B834"/>
      <c r="C834"/>
      <c r="D834"/>
      <c r="E834"/>
      <c r="F834"/>
      <c r="G834"/>
    </row>
    <row r="835" spans="1:7" ht="15">
      <c r="A835"/>
      <c r="B835"/>
      <c r="C835"/>
      <c r="D835"/>
      <c r="E835"/>
      <c r="F835"/>
      <c r="G835"/>
    </row>
    <row r="836" spans="1:7" ht="15">
      <c r="A836"/>
      <c r="B836"/>
      <c r="C836"/>
      <c r="D836"/>
      <c r="E836"/>
      <c r="F836"/>
      <c r="G836"/>
    </row>
    <row r="837" spans="1:7" ht="15">
      <c r="A837"/>
      <c r="B837"/>
      <c r="C837"/>
      <c r="D837"/>
      <c r="E837"/>
      <c r="F837"/>
      <c r="G837"/>
    </row>
    <row r="838" spans="1:7" ht="15">
      <c r="A838"/>
      <c r="B838"/>
      <c r="C838"/>
      <c r="D838"/>
      <c r="E838"/>
      <c r="F838"/>
      <c r="G838"/>
    </row>
    <row r="839" spans="1:7" ht="15">
      <c r="A839"/>
      <c r="B839"/>
      <c r="C839"/>
      <c r="D839"/>
      <c r="E839"/>
      <c r="F839"/>
      <c r="G839"/>
    </row>
    <row r="840" spans="1:7" ht="15">
      <c r="A840"/>
      <c r="B840"/>
      <c r="C840"/>
      <c r="D840"/>
      <c r="E840"/>
      <c r="F840"/>
      <c r="G840"/>
    </row>
    <row r="841" spans="1:7" ht="15">
      <c r="A841"/>
      <c r="B841"/>
      <c r="C841"/>
      <c r="D841"/>
      <c r="E841"/>
      <c r="F841"/>
      <c r="G841"/>
    </row>
    <row r="842" spans="1:7" ht="15">
      <c r="A842"/>
      <c r="B842"/>
      <c r="C842"/>
      <c r="D842"/>
      <c r="E842"/>
      <c r="F842"/>
      <c r="G842"/>
    </row>
    <row r="843" spans="1:7" ht="15">
      <c r="A843"/>
      <c r="B843"/>
      <c r="C843"/>
      <c r="D843"/>
      <c r="E843"/>
      <c r="F843"/>
      <c r="G843"/>
    </row>
    <row r="844" spans="1:7" ht="15">
      <c r="A844"/>
      <c r="B844"/>
      <c r="C844"/>
      <c r="D844"/>
      <c r="E844"/>
      <c r="F844"/>
      <c r="G844"/>
    </row>
    <row r="845" spans="1:7" ht="15">
      <c r="A845"/>
      <c r="B845"/>
      <c r="C845"/>
      <c r="D845"/>
      <c r="E845"/>
      <c r="F845"/>
      <c r="G845"/>
    </row>
    <row r="846" spans="1:7" ht="15">
      <c r="A846"/>
      <c r="B846"/>
      <c r="C846"/>
      <c r="D846"/>
      <c r="E846"/>
      <c r="F846"/>
      <c r="G846"/>
    </row>
    <row r="847" spans="1:7" ht="15">
      <c r="A847"/>
      <c r="B847"/>
      <c r="C847"/>
      <c r="D847"/>
      <c r="E847"/>
      <c r="F847"/>
      <c r="G847"/>
    </row>
    <row r="848" spans="1:7" ht="15">
      <c r="A848"/>
      <c r="B848"/>
      <c r="C848"/>
      <c r="D848"/>
      <c r="E848"/>
      <c r="F848"/>
      <c r="G848"/>
    </row>
    <row r="849" spans="1:7" ht="15">
      <c r="A849"/>
      <c r="B849"/>
      <c r="C849"/>
      <c r="D849"/>
      <c r="E849"/>
      <c r="F849"/>
      <c r="G849"/>
    </row>
    <row r="850" spans="1:7" ht="15">
      <c r="A850"/>
      <c r="B850"/>
      <c r="C850"/>
      <c r="D850"/>
      <c r="E850"/>
      <c r="F850"/>
      <c r="G850"/>
    </row>
    <row r="851" spans="1:7" ht="15">
      <c r="A851"/>
      <c r="B851"/>
      <c r="C851"/>
      <c r="D851"/>
      <c r="E851"/>
      <c r="F851"/>
      <c r="G851"/>
    </row>
    <row r="852" spans="1:7" ht="15">
      <c r="A852"/>
      <c r="B852"/>
      <c r="C852"/>
      <c r="D852"/>
      <c r="E852"/>
      <c r="F852"/>
      <c r="G852"/>
    </row>
    <row r="853" spans="1:7" ht="15">
      <c r="A853"/>
      <c r="B853"/>
      <c r="C853"/>
      <c r="D853"/>
      <c r="E853"/>
      <c r="F853"/>
      <c r="G853"/>
    </row>
    <row r="854" spans="1:7" ht="15">
      <c r="A854"/>
      <c r="B854"/>
      <c r="C854"/>
      <c r="D854"/>
      <c r="E854"/>
      <c r="F854"/>
      <c r="G854"/>
    </row>
    <row r="855" spans="1:7" ht="15">
      <c r="A855"/>
      <c r="B855"/>
      <c r="C855"/>
      <c r="D855"/>
      <c r="E855"/>
      <c r="F855"/>
      <c r="G855"/>
    </row>
    <row r="856" spans="1:7" ht="15">
      <c r="A856"/>
      <c r="B856"/>
      <c r="C856"/>
      <c r="D856"/>
      <c r="E856"/>
      <c r="F856"/>
      <c r="G856"/>
    </row>
    <row r="857" spans="1:7" ht="15">
      <c r="A857"/>
      <c r="B857"/>
      <c r="C857"/>
      <c r="D857"/>
      <c r="E857"/>
      <c r="F857"/>
      <c r="G857"/>
    </row>
    <row r="858" spans="1:7" ht="15">
      <c r="A858"/>
      <c r="B858"/>
      <c r="C858"/>
      <c r="D858"/>
      <c r="E858"/>
      <c r="F858"/>
      <c r="G858"/>
    </row>
    <row r="859" spans="1:7" ht="15">
      <c r="A859"/>
      <c r="B859"/>
      <c r="C859"/>
      <c r="D859"/>
      <c r="E859"/>
      <c r="F859"/>
      <c r="G859"/>
    </row>
    <row r="860" spans="1:7" ht="15">
      <c r="A860"/>
      <c r="B860"/>
      <c r="C860"/>
      <c r="D860"/>
      <c r="E860"/>
      <c r="F860"/>
      <c r="G860"/>
    </row>
    <row r="861" spans="1:7" ht="15">
      <c r="A861"/>
      <c r="B861"/>
      <c r="C861"/>
      <c r="D861"/>
      <c r="E861"/>
      <c r="F861"/>
      <c r="G861"/>
    </row>
    <row r="862" spans="1:7" ht="15">
      <c r="A862"/>
      <c r="B862"/>
      <c r="C862"/>
      <c r="D862"/>
      <c r="E862"/>
      <c r="F862"/>
      <c r="G862"/>
    </row>
    <row r="863" spans="1:7" ht="15">
      <c r="A863"/>
      <c r="B863"/>
      <c r="C863"/>
      <c r="D863"/>
      <c r="E863"/>
      <c r="F863"/>
      <c r="G863"/>
    </row>
    <row r="864" spans="1:7" ht="15">
      <c r="A864"/>
      <c r="B864"/>
      <c r="C864"/>
      <c r="D864"/>
      <c r="E864"/>
      <c r="F864"/>
      <c r="G864"/>
    </row>
    <row r="865" spans="1:7" ht="15">
      <c r="A865"/>
      <c r="B865"/>
      <c r="C865"/>
      <c r="D865"/>
      <c r="E865"/>
      <c r="F865"/>
      <c r="G865"/>
    </row>
    <row r="866" spans="1:7" ht="15">
      <c r="A866"/>
      <c r="B866"/>
      <c r="C866"/>
      <c r="D866"/>
      <c r="E866"/>
      <c r="F866"/>
      <c r="G866"/>
    </row>
    <row r="867" spans="1:7" ht="15">
      <c r="A867"/>
      <c r="B867"/>
      <c r="C867"/>
      <c r="D867"/>
      <c r="E867"/>
      <c r="F867"/>
      <c r="G867"/>
    </row>
    <row r="868" spans="1:7" ht="15">
      <c r="A868"/>
      <c r="B868"/>
      <c r="C868"/>
      <c r="D868"/>
      <c r="E868"/>
      <c r="F868"/>
      <c r="G868"/>
    </row>
    <row r="869" spans="1:7" ht="15">
      <c r="A869"/>
      <c r="B869"/>
      <c r="C869"/>
      <c r="D869"/>
      <c r="E869"/>
      <c r="F869"/>
      <c r="G869"/>
    </row>
    <row r="870" spans="1:7" ht="15">
      <c r="A870"/>
      <c r="B870"/>
      <c r="C870"/>
      <c r="D870"/>
      <c r="E870"/>
      <c r="F870"/>
      <c r="G870"/>
    </row>
    <row r="871" spans="1:7" ht="15">
      <c r="A871"/>
      <c r="B871"/>
      <c r="C871"/>
      <c r="D871"/>
      <c r="E871"/>
      <c r="F871"/>
      <c r="G871"/>
    </row>
    <row r="872" spans="1:7" ht="15">
      <c r="A872"/>
      <c r="B872"/>
      <c r="C872"/>
      <c r="D872"/>
      <c r="E872"/>
      <c r="F872"/>
      <c r="G872"/>
    </row>
    <row r="873" spans="1:7" ht="15">
      <c r="A873"/>
      <c r="B873"/>
      <c r="C873"/>
      <c r="D873"/>
      <c r="E873"/>
      <c r="F873"/>
      <c r="G873"/>
    </row>
    <row r="874" spans="1:7" ht="15">
      <c r="A874"/>
      <c r="B874"/>
      <c r="C874"/>
      <c r="D874"/>
      <c r="E874"/>
      <c r="F874"/>
      <c r="G874"/>
    </row>
    <row r="875" spans="1:7" ht="15">
      <c r="A875"/>
      <c r="B875"/>
      <c r="C875"/>
      <c r="D875"/>
      <c r="E875"/>
      <c r="F875"/>
      <c r="G875"/>
    </row>
    <row r="876" spans="1:7" ht="15">
      <c r="A876"/>
      <c r="B876"/>
      <c r="C876"/>
      <c r="D876"/>
      <c r="E876"/>
      <c r="F876"/>
      <c r="G876"/>
    </row>
    <row r="877" spans="1:7" ht="15">
      <c r="A877"/>
      <c r="B877"/>
      <c r="C877"/>
      <c r="D877"/>
      <c r="E877"/>
      <c r="F877"/>
      <c r="G877"/>
    </row>
    <row r="878" spans="1:7" ht="15">
      <c r="A878"/>
      <c r="B878"/>
      <c r="C878"/>
      <c r="D878"/>
      <c r="E878"/>
      <c r="F878"/>
      <c r="G878"/>
    </row>
    <row r="879" spans="1:7" ht="15">
      <c r="A879"/>
      <c r="B879"/>
      <c r="C879"/>
      <c r="D879"/>
      <c r="E879"/>
      <c r="F879"/>
      <c r="G879"/>
    </row>
    <row r="880" spans="1:7" ht="15">
      <c r="A880"/>
      <c r="B880"/>
      <c r="C880"/>
      <c r="D880"/>
      <c r="E880"/>
      <c r="F880"/>
      <c r="G880"/>
    </row>
    <row r="881" spans="1:7" ht="15">
      <c r="A881"/>
      <c r="B881"/>
      <c r="C881"/>
      <c r="D881"/>
      <c r="E881"/>
      <c r="F881"/>
      <c r="G881"/>
    </row>
    <row r="882" spans="1:7" ht="15">
      <c r="A882"/>
      <c r="B882"/>
      <c r="C882"/>
      <c r="D882"/>
      <c r="E882"/>
      <c r="F882"/>
      <c r="G882"/>
    </row>
    <row r="883" spans="1:7" ht="15">
      <c r="A883"/>
      <c r="B883"/>
      <c r="C883"/>
      <c r="D883"/>
      <c r="E883"/>
      <c r="F883"/>
      <c r="G883"/>
    </row>
    <row r="884" spans="1:7" ht="15">
      <c r="A884"/>
      <c r="B884"/>
      <c r="C884"/>
      <c r="D884"/>
      <c r="E884"/>
      <c r="F884"/>
      <c r="G884"/>
    </row>
    <row r="885" spans="1:7" ht="15">
      <c r="A885"/>
      <c r="B885"/>
      <c r="C885"/>
      <c r="D885"/>
      <c r="E885"/>
      <c r="F885"/>
      <c r="G885"/>
    </row>
    <row r="886" spans="1:7" ht="15">
      <c r="A886"/>
      <c r="B886"/>
      <c r="C886"/>
      <c r="D886"/>
      <c r="E886"/>
      <c r="F886"/>
      <c r="G886"/>
    </row>
    <row r="887" spans="1:7" ht="15">
      <c r="A887"/>
      <c r="B887"/>
      <c r="C887"/>
      <c r="D887"/>
      <c r="E887"/>
      <c r="F887"/>
      <c r="G887"/>
    </row>
    <row r="888" spans="1:7" ht="15">
      <c r="A888"/>
      <c r="B888"/>
      <c r="C888"/>
      <c r="D888"/>
      <c r="E888"/>
      <c r="F888"/>
      <c r="G888"/>
    </row>
    <row r="889" spans="1:7" ht="15">
      <c r="A889"/>
      <c r="B889"/>
      <c r="C889"/>
      <c r="D889"/>
      <c r="E889"/>
      <c r="F889"/>
      <c r="G889"/>
    </row>
    <row r="890" spans="1:7" ht="15">
      <c r="A890"/>
      <c r="B890"/>
      <c r="C890"/>
      <c r="D890"/>
      <c r="E890"/>
      <c r="F890"/>
      <c r="G890"/>
    </row>
    <row r="891" spans="1:7" ht="15">
      <c r="A891"/>
      <c r="B891"/>
      <c r="C891"/>
      <c r="D891"/>
      <c r="E891"/>
      <c r="F891"/>
      <c r="G891"/>
    </row>
    <row r="892" spans="1:7" ht="15">
      <c r="A892"/>
      <c r="B892"/>
      <c r="C892"/>
      <c r="D892"/>
      <c r="E892"/>
      <c r="F892"/>
      <c r="G892"/>
    </row>
    <row r="893" spans="1:7" ht="15">
      <c r="A893"/>
      <c r="B893"/>
      <c r="C893"/>
      <c r="D893"/>
      <c r="E893"/>
      <c r="F893"/>
      <c r="G893"/>
    </row>
    <row r="894" spans="1:7" ht="15">
      <c r="A894"/>
      <c r="B894"/>
      <c r="C894"/>
      <c r="D894"/>
      <c r="E894"/>
      <c r="F894"/>
      <c r="G894"/>
    </row>
    <row r="895" spans="1:7" ht="15">
      <c r="A895"/>
      <c r="B895"/>
      <c r="C895"/>
      <c r="D895"/>
      <c r="E895"/>
      <c r="F895"/>
      <c r="G895"/>
    </row>
    <row r="896" spans="1:7" ht="15">
      <c r="A896"/>
      <c r="B896"/>
      <c r="C896"/>
      <c r="D896"/>
      <c r="E896"/>
      <c r="F896"/>
      <c r="G896"/>
    </row>
    <row r="897" spans="1:7" ht="15">
      <c r="A897"/>
      <c r="B897"/>
      <c r="C897"/>
      <c r="D897"/>
      <c r="E897"/>
      <c r="F897"/>
      <c r="G897"/>
    </row>
    <row r="898" spans="1:7" ht="15">
      <c r="A898"/>
      <c r="B898"/>
      <c r="C898"/>
      <c r="D898"/>
      <c r="E898"/>
      <c r="F898"/>
      <c r="G898"/>
    </row>
    <row r="899" spans="1:7" ht="15">
      <c r="A899"/>
      <c r="B899"/>
      <c r="C899"/>
      <c r="D899"/>
      <c r="E899"/>
      <c r="F899"/>
      <c r="G899"/>
    </row>
    <row r="900" spans="1:7" ht="15">
      <c r="A900"/>
      <c r="B900"/>
      <c r="C900"/>
      <c r="D900"/>
      <c r="E900"/>
      <c r="F900"/>
      <c r="G900"/>
    </row>
    <row r="901" spans="1:7" ht="15">
      <c r="A901"/>
      <c r="B901"/>
      <c r="C901"/>
      <c r="D901"/>
      <c r="E901"/>
      <c r="F901"/>
      <c r="G901"/>
    </row>
    <row r="902" spans="1:7" ht="15">
      <c r="A902"/>
      <c r="B902"/>
      <c r="C902"/>
      <c r="D902"/>
      <c r="E902"/>
      <c r="F902"/>
      <c r="G902"/>
    </row>
    <row r="903" spans="1:7" ht="15">
      <c r="A903"/>
      <c r="B903"/>
      <c r="C903"/>
      <c r="D903"/>
      <c r="E903"/>
      <c r="F903"/>
      <c r="G903"/>
    </row>
    <row r="904" spans="1:7" ht="15">
      <c r="A904"/>
      <c r="B904"/>
      <c r="C904"/>
      <c r="D904"/>
      <c r="E904"/>
      <c r="F904"/>
      <c r="G904"/>
    </row>
    <row r="905" spans="1:7" ht="15">
      <c r="A905"/>
      <c r="B905"/>
      <c r="C905"/>
      <c r="D905"/>
      <c r="E905"/>
      <c r="F905"/>
      <c r="G905"/>
    </row>
    <row r="906" spans="1:7" ht="15">
      <c r="A906"/>
      <c r="B906"/>
      <c r="C906"/>
      <c r="D906"/>
      <c r="E906"/>
      <c r="F906"/>
      <c r="G906"/>
    </row>
    <row r="907" spans="1:7" ht="15">
      <c r="A907"/>
      <c r="B907"/>
      <c r="C907"/>
      <c r="D907"/>
      <c r="E907"/>
      <c r="F907"/>
      <c r="G907"/>
    </row>
    <row r="908" spans="1:7" ht="15">
      <c r="A908"/>
      <c r="B908"/>
      <c r="C908"/>
      <c r="D908"/>
      <c r="E908"/>
      <c r="F908"/>
      <c r="G908"/>
    </row>
    <row r="909" spans="1:7" ht="15">
      <c r="A909"/>
      <c r="B909"/>
      <c r="C909"/>
      <c r="D909"/>
      <c r="E909"/>
      <c r="F909"/>
      <c r="G909"/>
    </row>
    <row r="910" spans="1:7" ht="15">
      <c r="A910"/>
      <c r="B910"/>
      <c r="C910"/>
      <c r="D910"/>
      <c r="E910"/>
      <c r="F910"/>
      <c r="G910"/>
    </row>
    <row r="911" spans="1:7" ht="15">
      <c r="A911"/>
      <c r="B911"/>
      <c r="C911"/>
      <c r="D911"/>
      <c r="E911"/>
      <c r="F911"/>
      <c r="G911"/>
    </row>
    <row r="912" spans="1:7" ht="15">
      <c r="A912"/>
      <c r="B912"/>
      <c r="C912"/>
      <c r="D912"/>
      <c r="E912"/>
      <c r="F912"/>
      <c r="G912"/>
    </row>
    <row r="913" spans="1:7" ht="15">
      <c r="A913"/>
      <c r="B913"/>
      <c r="C913"/>
      <c r="D913"/>
      <c r="E913"/>
      <c r="F913"/>
      <c r="G913"/>
    </row>
    <row r="914" spans="1:7" ht="15">
      <c r="A914"/>
      <c r="B914"/>
      <c r="C914"/>
      <c r="D914"/>
      <c r="E914"/>
      <c r="F914"/>
      <c r="G914"/>
    </row>
    <row r="915" spans="1:7" ht="15">
      <c r="A915"/>
      <c r="B915"/>
      <c r="C915"/>
      <c r="D915"/>
      <c r="E915"/>
      <c r="F915"/>
      <c r="G915"/>
    </row>
    <row r="916" spans="1:7" ht="15">
      <c r="A916"/>
      <c r="B916"/>
      <c r="C916"/>
      <c r="D916"/>
      <c r="E916"/>
      <c r="F916"/>
      <c r="G916"/>
    </row>
    <row r="917" spans="1:7" ht="15">
      <c r="A917"/>
      <c r="B917"/>
      <c r="C917"/>
      <c r="D917"/>
      <c r="E917"/>
      <c r="F917"/>
      <c r="G917"/>
    </row>
    <row r="918" spans="1:7" ht="15">
      <c r="A918"/>
      <c r="B918"/>
      <c r="C918"/>
      <c r="D918"/>
      <c r="E918"/>
      <c r="F918"/>
      <c r="G918"/>
    </row>
    <row r="919" spans="1:7" ht="15">
      <c r="A919"/>
      <c r="B919"/>
      <c r="C919"/>
      <c r="D919"/>
      <c r="E919"/>
      <c r="F919"/>
      <c r="G919"/>
    </row>
    <row r="920" spans="1:7" ht="15">
      <c r="A920"/>
      <c r="B920"/>
      <c r="C920"/>
      <c r="D920"/>
      <c r="E920"/>
      <c r="F920"/>
      <c r="G920"/>
    </row>
    <row r="921" spans="1:7" ht="15">
      <c r="A921"/>
      <c r="B921"/>
      <c r="C921"/>
      <c r="D921"/>
      <c r="E921"/>
      <c r="F921"/>
      <c r="G921"/>
    </row>
    <row r="922" spans="1:7" ht="15">
      <c r="A922"/>
      <c r="B922"/>
      <c r="C922"/>
      <c r="D922"/>
      <c r="E922"/>
      <c r="F922"/>
      <c r="G922"/>
    </row>
    <row r="923" spans="1:7" ht="15">
      <c r="A923"/>
      <c r="B923"/>
      <c r="C923"/>
      <c r="D923"/>
      <c r="E923"/>
      <c r="F923"/>
      <c r="G923"/>
    </row>
    <row r="924" spans="1:7" ht="15">
      <c r="A924"/>
      <c r="B924"/>
      <c r="C924"/>
      <c r="D924"/>
      <c r="E924"/>
      <c r="F924"/>
      <c r="G924"/>
    </row>
    <row r="925" spans="1:7" ht="15">
      <c r="A925"/>
      <c r="B925"/>
      <c r="C925"/>
      <c r="D925"/>
      <c r="E925"/>
      <c r="F925"/>
      <c r="G925"/>
    </row>
    <row r="926" spans="1:7" ht="15">
      <c r="A926"/>
      <c r="B926"/>
      <c r="C926"/>
      <c r="D926"/>
      <c r="E926"/>
      <c r="F926"/>
      <c r="G926"/>
    </row>
    <row r="927" spans="1:7" ht="15">
      <c r="A927"/>
      <c r="B927"/>
      <c r="C927"/>
      <c r="D927"/>
      <c r="E927"/>
      <c r="F927"/>
      <c r="G927"/>
    </row>
    <row r="928" spans="1:7" ht="15">
      <c r="A928"/>
      <c r="B928"/>
      <c r="C928"/>
      <c r="D928"/>
      <c r="E928"/>
      <c r="F928"/>
      <c r="G928"/>
    </row>
    <row r="929" spans="1:7" ht="15">
      <c r="A929"/>
      <c r="B929"/>
      <c r="C929"/>
      <c r="D929"/>
      <c r="E929"/>
      <c r="F929"/>
      <c r="G929"/>
    </row>
    <row r="930" spans="1:7" ht="15">
      <c r="A930"/>
      <c r="B930"/>
      <c r="C930"/>
      <c r="D930"/>
      <c r="E930"/>
      <c r="F930"/>
      <c r="G930"/>
    </row>
    <row r="931" spans="1:7" ht="15">
      <c r="A931"/>
      <c r="B931"/>
      <c r="C931"/>
      <c r="D931"/>
      <c r="E931"/>
      <c r="F931"/>
      <c r="G931"/>
    </row>
    <row r="932" spans="1:7" ht="15">
      <c r="A932"/>
      <c r="B932"/>
      <c r="C932"/>
      <c r="D932"/>
      <c r="E932"/>
      <c r="F932"/>
      <c r="G932"/>
    </row>
    <row r="933" spans="1:7" ht="15">
      <c r="A933"/>
      <c r="B933"/>
      <c r="C933"/>
      <c r="D933"/>
      <c r="E933"/>
      <c r="F933"/>
      <c r="G933"/>
    </row>
    <row r="934" spans="1:7" ht="15">
      <c r="A934"/>
      <c r="B934"/>
      <c r="C934"/>
      <c r="D934"/>
      <c r="E934"/>
      <c r="F934"/>
      <c r="G934"/>
    </row>
    <row r="935" spans="1:7" ht="15">
      <c r="A935"/>
      <c r="B935"/>
      <c r="C935"/>
      <c r="D935"/>
      <c r="E935"/>
      <c r="F935"/>
      <c r="G935"/>
    </row>
    <row r="936" spans="1:7" ht="15">
      <c r="A936"/>
      <c r="B936"/>
      <c r="C936"/>
      <c r="D936"/>
      <c r="E936"/>
      <c r="F936"/>
      <c r="G936"/>
    </row>
    <row r="937" spans="1:7" ht="15">
      <c r="A937"/>
      <c r="B937"/>
      <c r="C937"/>
      <c r="D937"/>
      <c r="E937"/>
      <c r="F937"/>
      <c r="G937"/>
    </row>
    <row r="938" spans="1:7" ht="15">
      <c r="A938"/>
      <c r="B938"/>
      <c r="C938"/>
      <c r="D938"/>
      <c r="E938"/>
      <c r="F938"/>
      <c r="G938"/>
    </row>
    <row r="939" spans="1:7" ht="15">
      <c r="A939"/>
      <c r="B939"/>
      <c r="C939"/>
      <c r="D939"/>
      <c r="E939"/>
      <c r="F939"/>
      <c r="G939"/>
    </row>
    <row r="940" spans="1:7" ht="15">
      <c r="A940"/>
      <c r="B940"/>
      <c r="C940"/>
      <c r="D940"/>
      <c r="E940"/>
      <c r="F940"/>
      <c r="G940"/>
    </row>
    <row r="941" spans="1:7" ht="15">
      <c r="A941"/>
      <c r="B941"/>
      <c r="C941"/>
      <c r="D941"/>
      <c r="E941"/>
      <c r="F941"/>
      <c r="G941"/>
    </row>
    <row r="942" spans="1:7" ht="15">
      <c r="A942"/>
      <c r="B942"/>
      <c r="C942"/>
      <c r="D942"/>
      <c r="E942"/>
      <c r="F942"/>
      <c r="G942"/>
    </row>
    <row r="943" spans="1:7" ht="15">
      <c r="A943"/>
      <c r="B943"/>
      <c r="C943"/>
      <c r="D943"/>
      <c r="E943"/>
      <c r="F943"/>
      <c r="G943"/>
    </row>
    <row r="944" spans="1:7" ht="15">
      <c r="A944"/>
      <c r="B944"/>
      <c r="C944"/>
      <c r="D944"/>
      <c r="E944"/>
      <c r="F944"/>
      <c r="G944"/>
    </row>
    <row r="945" spans="1:7" ht="15">
      <c r="A945"/>
      <c r="B945"/>
      <c r="C945"/>
      <c r="D945"/>
      <c r="E945"/>
      <c r="F945"/>
      <c r="G945"/>
    </row>
    <row r="946" spans="1:7" ht="15">
      <c r="A946"/>
      <c r="B946"/>
      <c r="C946"/>
      <c r="D946"/>
      <c r="E946"/>
      <c r="F946"/>
      <c r="G946"/>
    </row>
    <row r="947" spans="1:7" ht="15">
      <c r="A947"/>
      <c r="B947"/>
      <c r="C947"/>
      <c r="D947"/>
      <c r="E947"/>
      <c r="F947"/>
      <c r="G947"/>
    </row>
    <row r="948" spans="1:7" ht="15">
      <c r="A948"/>
      <c r="B948"/>
      <c r="C948"/>
      <c r="D948"/>
      <c r="E948"/>
      <c r="F948"/>
      <c r="G948"/>
    </row>
    <row r="949" spans="1:7" ht="15">
      <c r="A949"/>
      <c r="B949"/>
      <c r="C949"/>
      <c r="D949"/>
      <c r="E949"/>
      <c r="F949"/>
      <c r="G949"/>
    </row>
    <row r="950" spans="1:7" ht="15">
      <c r="A950"/>
      <c r="B950"/>
      <c r="C950"/>
      <c r="D950"/>
      <c r="E950"/>
      <c r="F950"/>
      <c r="G950"/>
    </row>
    <row r="951" spans="1:7" ht="15">
      <c r="A951"/>
      <c r="B951"/>
      <c r="C951"/>
      <c r="D951"/>
      <c r="E951"/>
      <c r="F951"/>
      <c r="G951"/>
    </row>
    <row r="952" spans="1:7" ht="15">
      <c r="A952"/>
      <c r="B952"/>
      <c r="C952"/>
      <c r="D952"/>
      <c r="E952"/>
      <c r="F952"/>
      <c r="G952"/>
    </row>
    <row r="953" spans="1:7" ht="15">
      <c r="A953"/>
      <c r="B953"/>
      <c r="C953"/>
      <c r="D953"/>
      <c r="E953"/>
      <c r="F953"/>
      <c r="G953"/>
    </row>
    <row r="954" spans="1:7" ht="15">
      <c r="A954"/>
      <c r="B954"/>
      <c r="C954"/>
      <c r="D954"/>
      <c r="E954"/>
      <c r="F954"/>
      <c r="G954"/>
    </row>
    <row r="955" spans="1:7" ht="15">
      <c r="A955"/>
      <c r="B955"/>
      <c r="C955"/>
      <c r="D955"/>
      <c r="E955"/>
      <c r="F955"/>
      <c r="G955"/>
    </row>
    <row r="956" spans="1:7" ht="15">
      <c r="A956"/>
      <c r="B956"/>
      <c r="C956"/>
      <c r="D956"/>
      <c r="E956"/>
      <c r="F956"/>
      <c r="G956"/>
    </row>
    <row r="957" spans="1:7" ht="15">
      <c r="A957"/>
      <c r="B957"/>
      <c r="C957"/>
      <c r="D957"/>
      <c r="E957"/>
      <c r="F957"/>
      <c r="G957"/>
    </row>
    <row r="958" spans="1:7" ht="15">
      <c r="A958"/>
      <c r="B958"/>
      <c r="C958"/>
      <c r="D958"/>
      <c r="E958"/>
      <c r="F958"/>
      <c r="G958"/>
    </row>
    <row r="959" spans="1:7" ht="15">
      <c r="A959"/>
      <c r="B959"/>
      <c r="C959"/>
      <c r="D959"/>
      <c r="E959"/>
      <c r="F959"/>
      <c r="G959"/>
    </row>
    <row r="960" spans="1:7" ht="15">
      <c r="A960"/>
      <c r="B960"/>
      <c r="C960"/>
      <c r="D960"/>
      <c r="E960"/>
      <c r="F960"/>
      <c r="G960"/>
    </row>
    <row r="961" spans="1:7" ht="15">
      <c r="A961"/>
      <c r="B961"/>
      <c r="C961"/>
      <c r="D961"/>
      <c r="E961"/>
      <c r="F961"/>
      <c r="G961"/>
    </row>
    <row r="962" spans="1:7" ht="15">
      <c r="A962"/>
      <c r="B962"/>
      <c r="C962"/>
      <c r="D962"/>
      <c r="E962"/>
      <c r="F962"/>
      <c r="G962"/>
    </row>
    <row r="963" spans="1:7" ht="15">
      <c r="A963"/>
      <c r="B963"/>
      <c r="C963"/>
      <c r="D963"/>
      <c r="E963"/>
      <c r="F963"/>
      <c r="G963"/>
    </row>
    <row r="964" spans="1:7" ht="15">
      <c r="A964"/>
      <c r="B964"/>
      <c r="C964"/>
      <c r="D964"/>
      <c r="E964"/>
      <c r="F964"/>
      <c r="G964"/>
    </row>
    <row r="965" spans="1:7" ht="15">
      <c r="A965"/>
      <c r="B965"/>
      <c r="C965"/>
      <c r="D965"/>
      <c r="E965"/>
      <c r="F965"/>
      <c r="G965"/>
    </row>
    <row r="966" spans="1:7" ht="15">
      <c r="A966"/>
      <c r="B966"/>
      <c r="C966"/>
      <c r="D966"/>
      <c r="E966"/>
      <c r="F966"/>
      <c r="G966"/>
    </row>
    <row r="967" spans="1:7" ht="15">
      <c r="A967"/>
      <c r="B967"/>
      <c r="C967"/>
      <c r="D967"/>
      <c r="E967"/>
      <c r="F967"/>
      <c r="G967"/>
    </row>
    <row r="968" spans="1:7" ht="15">
      <c r="A968"/>
      <c r="B968"/>
      <c r="C968"/>
      <c r="D968"/>
      <c r="E968"/>
      <c r="F968"/>
      <c r="G968"/>
    </row>
    <row r="969" spans="1:7" ht="15">
      <c r="A969"/>
      <c r="B969"/>
      <c r="C969"/>
      <c r="D969"/>
      <c r="E969"/>
      <c r="F969"/>
      <c r="G969"/>
    </row>
    <row r="970" spans="1:7" ht="15">
      <c r="A970"/>
      <c r="B970"/>
      <c r="C970"/>
      <c r="D970"/>
      <c r="E970"/>
      <c r="F970"/>
      <c r="G970"/>
    </row>
    <row r="971" spans="1:7" ht="15">
      <c r="A971"/>
      <c r="B971"/>
      <c r="C971"/>
      <c r="D971"/>
      <c r="E971"/>
      <c r="F971"/>
      <c r="G971"/>
    </row>
    <row r="972" spans="1:7" ht="15">
      <c r="A972"/>
      <c r="B972"/>
      <c r="C972"/>
      <c r="D972"/>
      <c r="E972"/>
      <c r="F972"/>
      <c r="G972"/>
    </row>
    <row r="973" spans="1:7" ht="15">
      <c r="A973"/>
      <c r="B973"/>
      <c r="C973"/>
      <c r="D973"/>
      <c r="E973"/>
      <c r="F973"/>
      <c r="G973"/>
    </row>
    <row r="974" spans="1:7" ht="15">
      <c r="A974"/>
      <c r="B974"/>
      <c r="C974"/>
      <c r="D974"/>
      <c r="E974"/>
      <c r="F974"/>
      <c r="G974"/>
    </row>
    <row r="975" spans="1:7" ht="15">
      <c r="A975"/>
      <c r="B975"/>
      <c r="C975"/>
      <c r="D975"/>
      <c r="E975"/>
      <c r="F975"/>
      <c r="G975"/>
    </row>
    <row r="976" spans="1:7" ht="15">
      <c r="A976"/>
      <c r="B976"/>
      <c r="C976"/>
      <c r="D976"/>
      <c r="E976"/>
      <c r="F976"/>
      <c r="G976"/>
    </row>
    <row r="977" spans="1:7" ht="15">
      <c r="A977"/>
      <c r="B977"/>
      <c r="C977"/>
      <c r="D977"/>
      <c r="E977"/>
      <c r="F977"/>
      <c r="G977"/>
    </row>
    <row r="978" spans="1:7" ht="15">
      <c r="A978"/>
      <c r="B978"/>
      <c r="C978"/>
      <c r="D978"/>
      <c r="E978"/>
      <c r="F978"/>
      <c r="G978"/>
    </row>
    <row r="979" spans="1:7" ht="15">
      <c r="A979"/>
      <c r="B979"/>
      <c r="C979"/>
      <c r="D979"/>
      <c r="E979"/>
      <c r="F979"/>
      <c r="G979"/>
    </row>
    <row r="980" spans="1:7" ht="15">
      <c r="A980"/>
      <c r="B980"/>
      <c r="C980"/>
      <c r="D980"/>
      <c r="E980"/>
      <c r="F980"/>
      <c r="G980"/>
    </row>
    <row r="981" spans="1:7" ht="15">
      <c r="A981"/>
      <c r="B981"/>
      <c r="C981"/>
      <c r="D981"/>
      <c r="E981"/>
      <c r="F981"/>
      <c r="G981"/>
    </row>
    <row r="982" spans="1:7" ht="15">
      <c r="A982"/>
      <c r="B982"/>
      <c r="C982"/>
      <c r="D982"/>
      <c r="E982"/>
      <c r="F982"/>
      <c r="G982"/>
    </row>
    <row r="983" spans="1:7" ht="15">
      <c r="A983"/>
      <c r="B983"/>
      <c r="C983"/>
      <c r="D983"/>
      <c r="E983"/>
      <c r="F983"/>
      <c r="G983"/>
    </row>
    <row r="984" spans="1:7" ht="15">
      <c r="A984"/>
      <c r="B984"/>
      <c r="C984"/>
      <c r="D984"/>
      <c r="E984"/>
      <c r="F984"/>
      <c r="G984"/>
    </row>
    <row r="985" spans="1:7" ht="15">
      <c r="A985"/>
      <c r="B985"/>
      <c r="C985"/>
      <c r="D985"/>
      <c r="E985"/>
      <c r="F985"/>
      <c r="G985"/>
    </row>
    <row r="986" spans="1:7" ht="15">
      <c r="A986"/>
      <c r="B986"/>
      <c r="C986"/>
      <c r="D986"/>
      <c r="E986"/>
      <c r="F986"/>
      <c r="G986"/>
    </row>
    <row r="987" spans="1:7" ht="15">
      <c r="A987"/>
      <c r="B987"/>
      <c r="C987"/>
      <c r="D987"/>
      <c r="E987"/>
      <c r="F987"/>
      <c r="G987"/>
    </row>
    <row r="988" spans="1:7" ht="15">
      <c r="A988"/>
      <c r="B988"/>
      <c r="C988"/>
      <c r="D988"/>
      <c r="E988"/>
      <c r="F988"/>
      <c r="G988"/>
    </row>
    <row r="989" spans="1:7" ht="15">
      <c r="A989"/>
      <c r="B989"/>
      <c r="C989"/>
      <c r="D989"/>
      <c r="E989"/>
      <c r="F989"/>
      <c r="G989"/>
    </row>
    <row r="990" spans="1:7" ht="15">
      <c r="A990"/>
      <c r="B990"/>
      <c r="C990"/>
      <c r="D990"/>
      <c r="E990"/>
      <c r="F990"/>
      <c r="G990"/>
    </row>
    <row r="991" spans="1:7" ht="15">
      <c r="A991"/>
      <c r="B991"/>
      <c r="C991"/>
      <c r="D991"/>
      <c r="E991"/>
      <c r="F991"/>
      <c r="G991"/>
    </row>
    <row r="992" spans="1:7" ht="15">
      <c r="A992"/>
      <c r="B992"/>
      <c r="C992"/>
      <c r="D992"/>
      <c r="E992"/>
      <c r="F992"/>
      <c r="G992"/>
    </row>
    <row r="993" spans="1:7" ht="15">
      <c r="A993"/>
      <c r="B993"/>
      <c r="C993"/>
      <c r="D993"/>
      <c r="E993"/>
      <c r="F993"/>
      <c r="G993"/>
    </row>
    <row r="994" spans="1:7" ht="15">
      <c r="A994"/>
      <c r="B994"/>
      <c r="C994"/>
      <c r="D994"/>
      <c r="E994"/>
      <c r="F994"/>
      <c r="G994"/>
    </row>
    <row r="995" spans="1:7" ht="15">
      <c r="A995"/>
      <c r="B995"/>
      <c r="C995"/>
      <c r="D995"/>
      <c r="E995"/>
      <c r="F995"/>
      <c r="G995"/>
    </row>
    <row r="996" spans="1:7" ht="15">
      <c r="A996"/>
      <c r="B996"/>
      <c r="C996"/>
      <c r="D996"/>
      <c r="E996"/>
      <c r="F996"/>
      <c r="G996"/>
    </row>
    <row r="997" spans="1:7" ht="15">
      <c r="A997"/>
      <c r="B997"/>
      <c r="C997"/>
      <c r="D997"/>
      <c r="E997"/>
      <c r="F997"/>
      <c r="G997"/>
    </row>
    <row r="998" spans="1:7" ht="15">
      <c r="A998"/>
      <c r="B998"/>
      <c r="C998"/>
      <c r="D998"/>
      <c r="E998"/>
      <c r="F998"/>
      <c r="G998"/>
    </row>
    <row r="999" spans="1:7" ht="15">
      <c r="A999"/>
      <c r="B999"/>
      <c r="C999"/>
      <c r="D999"/>
      <c r="E999"/>
      <c r="F999"/>
      <c r="G999"/>
    </row>
    <row r="1000" spans="1:7" ht="15">
      <c r="A1000"/>
      <c r="B1000"/>
      <c r="C1000"/>
      <c r="D1000"/>
      <c r="E1000"/>
      <c r="F1000"/>
      <c r="G1000"/>
    </row>
    <row r="1001" spans="1:7" ht="15">
      <c r="A1001"/>
      <c r="B1001"/>
      <c r="C1001"/>
      <c r="D1001"/>
      <c r="E1001"/>
      <c r="F1001"/>
      <c r="G1001"/>
    </row>
    <row r="1002" spans="1:7" ht="15">
      <c r="A1002"/>
      <c r="B1002"/>
      <c r="C1002"/>
      <c r="D1002"/>
      <c r="E1002"/>
      <c r="F1002"/>
      <c r="G1002"/>
    </row>
    <row r="1003" spans="1:7" ht="15">
      <c r="A1003"/>
      <c r="B1003"/>
      <c r="C1003"/>
      <c r="D1003"/>
      <c r="E1003"/>
      <c r="F1003"/>
      <c r="G1003"/>
    </row>
    <row r="1004" spans="1:7" ht="15">
      <c r="A1004"/>
      <c r="B1004"/>
      <c r="C1004"/>
      <c r="D1004"/>
      <c r="E1004"/>
      <c r="F1004"/>
      <c r="G1004"/>
    </row>
    <row r="1005" spans="1:7" ht="15">
      <c r="A1005"/>
      <c r="B1005"/>
      <c r="C1005"/>
      <c r="D1005"/>
      <c r="E1005"/>
      <c r="F1005"/>
      <c r="G1005"/>
    </row>
    <row r="1006" spans="1:7" ht="15">
      <c r="A1006"/>
      <c r="B1006"/>
      <c r="C1006"/>
      <c r="D1006"/>
      <c r="E1006"/>
      <c r="F1006"/>
      <c r="G1006"/>
    </row>
    <row r="1007" spans="1:7" ht="15">
      <c r="A1007"/>
      <c r="B1007"/>
      <c r="C1007"/>
      <c r="D1007"/>
      <c r="E1007"/>
      <c r="F1007"/>
      <c r="G1007"/>
    </row>
    <row r="1008" spans="1:7" ht="15">
      <c r="A1008"/>
      <c r="B1008"/>
      <c r="C1008"/>
      <c r="D1008"/>
      <c r="E1008"/>
      <c r="F1008"/>
      <c r="G1008"/>
    </row>
    <row r="1009" spans="1:7" ht="15">
      <c r="A1009"/>
      <c r="B1009"/>
      <c r="C1009"/>
      <c r="D1009"/>
      <c r="E1009"/>
      <c r="F1009"/>
      <c r="G1009"/>
    </row>
    <row r="1010" spans="1:7" ht="15">
      <c r="A1010"/>
      <c r="B1010"/>
      <c r="C1010"/>
      <c r="D1010"/>
      <c r="E1010"/>
      <c r="F1010"/>
      <c r="G1010"/>
    </row>
    <row r="1011" spans="1:7" ht="15">
      <c r="A1011"/>
      <c r="B1011"/>
      <c r="C1011"/>
      <c r="D1011"/>
      <c r="E1011"/>
      <c r="F1011"/>
      <c r="G1011"/>
    </row>
    <row r="1012" spans="1:7" ht="15">
      <c r="A1012"/>
      <c r="B1012"/>
      <c r="C1012"/>
      <c r="D1012"/>
      <c r="E1012"/>
      <c r="F1012"/>
      <c r="G1012"/>
    </row>
    <row r="1013" spans="1:7" ht="15">
      <c r="A1013"/>
      <c r="B1013"/>
      <c r="C1013"/>
      <c r="D1013"/>
      <c r="E1013"/>
      <c r="F1013"/>
      <c r="G1013"/>
    </row>
    <row r="1014" spans="1:7" ht="15">
      <c r="A1014"/>
      <c r="B1014"/>
      <c r="C1014"/>
      <c r="D1014"/>
      <c r="E1014"/>
      <c r="F1014"/>
      <c r="G1014"/>
    </row>
    <row r="1015" spans="1:7" ht="15">
      <c r="A1015"/>
      <c r="B1015"/>
      <c r="C1015"/>
      <c r="D1015"/>
      <c r="E1015"/>
      <c r="F1015"/>
      <c r="G1015"/>
    </row>
    <row r="1016" spans="1:7" ht="15">
      <c r="A1016"/>
      <c r="B1016"/>
      <c r="C1016"/>
      <c r="D1016"/>
      <c r="E1016"/>
      <c r="F1016"/>
      <c r="G1016"/>
    </row>
    <row r="1017" spans="1:7" ht="15">
      <c r="A1017"/>
      <c r="B1017"/>
      <c r="C1017"/>
      <c r="D1017"/>
      <c r="E1017"/>
      <c r="F1017"/>
      <c r="G1017"/>
    </row>
    <row r="1018" spans="1:7" ht="15">
      <c r="A1018"/>
      <c r="B1018"/>
      <c r="C1018"/>
      <c r="D1018"/>
      <c r="E1018"/>
      <c r="F1018"/>
      <c r="G1018"/>
    </row>
    <row r="1019" spans="1:7" ht="15">
      <c r="A1019"/>
      <c r="B1019"/>
      <c r="C1019"/>
      <c r="D1019"/>
      <c r="E1019"/>
      <c r="F1019"/>
      <c r="G1019"/>
    </row>
    <row r="1020" spans="1:7" ht="15">
      <c r="A1020"/>
      <c r="B1020"/>
      <c r="C1020"/>
      <c r="D1020"/>
      <c r="E1020"/>
      <c r="F1020"/>
      <c r="G1020"/>
    </row>
    <row r="1021" spans="1:7" ht="15">
      <c r="A1021"/>
      <c r="B1021"/>
      <c r="C1021"/>
      <c r="D1021"/>
      <c r="E1021"/>
      <c r="F1021"/>
      <c r="G1021"/>
    </row>
    <row r="1022" spans="1:7" ht="15">
      <c r="A1022"/>
      <c r="B1022"/>
      <c r="C1022"/>
      <c r="D1022"/>
      <c r="E1022"/>
      <c r="F1022"/>
      <c r="G1022"/>
    </row>
    <row r="1023" spans="1:7" ht="15">
      <c r="A1023"/>
      <c r="B1023"/>
      <c r="C1023"/>
      <c r="D1023"/>
      <c r="E1023"/>
      <c r="F1023"/>
      <c r="G1023"/>
    </row>
    <row r="1024" spans="1:7" ht="15">
      <c r="A1024"/>
      <c r="B1024"/>
      <c r="C1024"/>
      <c r="D1024"/>
      <c r="E1024"/>
      <c r="F1024"/>
      <c r="G1024"/>
    </row>
    <row r="1025" spans="1:7" ht="15">
      <c r="A1025"/>
      <c r="B1025"/>
      <c r="C1025"/>
      <c r="D1025"/>
      <c r="E1025"/>
      <c r="F1025"/>
      <c r="G1025"/>
    </row>
    <row r="1026" spans="1:7" ht="15">
      <c r="A1026"/>
      <c r="B1026"/>
      <c r="C1026"/>
      <c r="D1026"/>
      <c r="E1026"/>
      <c r="F1026"/>
      <c r="G1026"/>
    </row>
    <row r="1027" spans="1:7" ht="15">
      <c r="A1027"/>
      <c r="B1027"/>
      <c r="C1027"/>
      <c r="D1027"/>
      <c r="E1027"/>
      <c r="F1027"/>
      <c r="G1027"/>
    </row>
    <row r="1028" spans="1:7" ht="15">
      <c r="A1028"/>
      <c r="B1028"/>
      <c r="C1028"/>
      <c r="D1028"/>
      <c r="E1028"/>
      <c r="F1028"/>
      <c r="G1028"/>
    </row>
    <row r="1029" spans="1:7" ht="15">
      <c r="A1029"/>
      <c r="B1029"/>
      <c r="C1029"/>
      <c r="D1029"/>
      <c r="E1029"/>
      <c r="F1029"/>
      <c r="G1029"/>
    </row>
    <row r="1030" spans="1:7" ht="15">
      <c r="A1030"/>
      <c r="B1030"/>
      <c r="C1030"/>
      <c r="D1030"/>
      <c r="E1030"/>
      <c r="F1030"/>
      <c r="G1030"/>
    </row>
    <row r="1031" spans="1:7" ht="15">
      <c r="A1031"/>
      <c r="B1031"/>
      <c r="C1031"/>
      <c r="D1031"/>
      <c r="E1031"/>
      <c r="F1031"/>
      <c r="G1031"/>
    </row>
    <row r="1032" spans="1:7" ht="15">
      <c r="A1032"/>
      <c r="B1032"/>
      <c r="C1032"/>
      <c r="D1032"/>
      <c r="E1032"/>
      <c r="F1032"/>
      <c r="G1032"/>
    </row>
    <row r="1033" spans="1:7" ht="15">
      <c r="A1033"/>
      <c r="B1033"/>
      <c r="C1033"/>
      <c r="D1033"/>
      <c r="E1033"/>
      <c r="F1033"/>
      <c r="G1033"/>
    </row>
    <row r="1034" spans="1:7" ht="15">
      <c r="A1034"/>
      <c r="B1034"/>
      <c r="C1034"/>
      <c r="D1034"/>
      <c r="E1034"/>
      <c r="F1034"/>
      <c r="G1034"/>
    </row>
    <row r="1035" spans="1:7" ht="15">
      <c r="A1035"/>
      <c r="B1035"/>
      <c r="C1035"/>
      <c r="D1035"/>
      <c r="E1035"/>
      <c r="F1035"/>
      <c r="G1035"/>
    </row>
    <row r="1036" spans="1:7" ht="15">
      <c r="A1036"/>
      <c r="B1036"/>
      <c r="C1036"/>
      <c r="D1036"/>
      <c r="E1036"/>
      <c r="F1036"/>
      <c r="G1036"/>
    </row>
    <row r="1037" spans="1:7" ht="15">
      <c r="A1037"/>
      <c r="B1037"/>
      <c r="C1037"/>
      <c r="D1037"/>
      <c r="E1037"/>
      <c r="F1037"/>
      <c r="G1037"/>
    </row>
    <row r="1038" spans="1:7" ht="15">
      <c r="A1038"/>
      <c r="B1038"/>
      <c r="C1038"/>
      <c r="D1038"/>
      <c r="E1038"/>
      <c r="F1038"/>
      <c r="G1038"/>
    </row>
    <row r="1039" spans="1:7" ht="15">
      <c r="A1039"/>
      <c r="B1039"/>
      <c r="C1039"/>
      <c r="D1039"/>
      <c r="E1039"/>
      <c r="F1039"/>
      <c r="G1039"/>
    </row>
    <row r="1040" spans="1:7" ht="15">
      <c r="A1040"/>
      <c r="B1040"/>
      <c r="C1040"/>
      <c r="D1040"/>
      <c r="E1040"/>
      <c r="F1040"/>
      <c r="G1040"/>
    </row>
    <row r="1041" spans="1:7" ht="15">
      <c r="A1041"/>
      <c r="B1041"/>
      <c r="C1041"/>
      <c r="D1041"/>
      <c r="E1041"/>
      <c r="F1041"/>
      <c r="G1041"/>
    </row>
    <row r="1042" spans="1:7" ht="15">
      <c r="A1042"/>
      <c r="B1042"/>
      <c r="C1042"/>
      <c r="D1042"/>
      <c r="E1042"/>
      <c r="F1042"/>
      <c r="G1042"/>
    </row>
    <row r="1043" spans="1:7" ht="15">
      <c r="A1043"/>
      <c r="B1043"/>
      <c r="C1043"/>
      <c r="D1043"/>
      <c r="E1043"/>
      <c r="F1043"/>
      <c r="G1043"/>
    </row>
    <row r="1044" spans="1:7" ht="15">
      <c r="A1044"/>
      <c r="B1044"/>
      <c r="C1044"/>
      <c r="D1044"/>
      <c r="E1044"/>
      <c r="F1044"/>
      <c r="G1044"/>
    </row>
    <row r="1045" spans="1:7" ht="15">
      <c r="A1045"/>
      <c r="B1045"/>
      <c r="C1045"/>
      <c r="D1045"/>
      <c r="E1045"/>
      <c r="F1045"/>
      <c r="G1045"/>
    </row>
    <row r="1046" spans="1:7" ht="15">
      <c r="A1046"/>
      <c r="B1046"/>
      <c r="C1046"/>
      <c r="D1046"/>
      <c r="E1046"/>
      <c r="F1046"/>
      <c r="G1046"/>
    </row>
    <row r="1047" spans="1:7" ht="15">
      <c r="A1047"/>
      <c r="B1047"/>
      <c r="C1047"/>
      <c r="D1047"/>
      <c r="E1047"/>
      <c r="F1047"/>
      <c r="G1047"/>
    </row>
    <row r="1048" spans="1:7" ht="15">
      <c r="A1048"/>
      <c r="B1048"/>
      <c r="C1048"/>
      <c r="D1048"/>
      <c r="E1048"/>
      <c r="F1048"/>
      <c r="G1048"/>
    </row>
    <row r="1049" spans="1:7" ht="15">
      <c r="A1049"/>
      <c r="B1049"/>
      <c r="C1049"/>
      <c r="D1049"/>
      <c r="E1049"/>
      <c r="F1049"/>
      <c r="G1049"/>
    </row>
    <row r="1050" spans="1:7" ht="15">
      <c r="A1050"/>
      <c r="B1050"/>
      <c r="C1050"/>
      <c r="D1050"/>
      <c r="E1050"/>
      <c r="F1050"/>
      <c r="G1050"/>
    </row>
    <row r="1051" spans="1:7" ht="15">
      <c r="A1051"/>
      <c r="B1051"/>
      <c r="C1051"/>
      <c r="D1051"/>
      <c r="E1051"/>
      <c r="F1051"/>
      <c r="G1051"/>
    </row>
    <row r="1052" spans="1:7" ht="15">
      <c r="A1052"/>
      <c r="B1052"/>
      <c r="C1052"/>
      <c r="D1052"/>
      <c r="E1052"/>
      <c r="F1052"/>
      <c r="G1052"/>
    </row>
    <row r="1053" spans="1:7" ht="15">
      <c r="A1053"/>
      <c r="B1053"/>
      <c r="C1053"/>
      <c r="D1053"/>
      <c r="E1053"/>
      <c r="F1053"/>
      <c r="G1053"/>
    </row>
    <row r="1054" spans="1:7" ht="15">
      <c r="A1054"/>
      <c r="B1054"/>
      <c r="C1054"/>
      <c r="D1054"/>
      <c r="E1054"/>
      <c r="F1054"/>
      <c r="G1054"/>
    </row>
    <row r="1055" spans="1:7" ht="15">
      <c r="A1055"/>
      <c r="B1055"/>
      <c r="C1055"/>
      <c r="D1055"/>
      <c r="E1055"/>
      <c r="F1055"/>
      <c r="G1055"/>
    </row>
    <row r="1056" spans="1:7" ht="15">
      <c r="A1056"/>
      <c r="B1056"/>
      <c r="C1056"/>
      <c r="D1056"/>
      <c r="E1056"/>
      <c r="F1056"/>
      <c r="G1056"/>
    </row>
    <row r="1057" spans="1:7" ht="15">
      <c r="A1057"/>
      <c r="B1057"/>
      <c r="C1057"/>
      <c r="D1057"/>
      <c r="E1057"/>
      <c r="F1057"/>
      <c r="G1057"/>
    </row>
    <row r="1058" spans="1:7" ht="15">
      <c r="A1058"/>
      <c r="B1058"/>
      <c r="C1058"/>
      <c r="D1058"/>
      <c r="E1058"/>
      <c r="F1058"/>
      <c r="G1058"/>
    </row>
    <row r="1059" spans="1:7" ht="15">
      <c r="A1059"/>
      <c r="B1059"/>
      <c r="C1059"/>
      <c r="D1059"/>
      <c r="E1059"/>
      <c r="F1059"/>
      <c r="G1059"/>
    </row>
    <row r="1060" spans="1:7" ht="15">
      <c r="A1060"/>
      <c r="B1060"/>
      <c r="C1060"/>
      <c r="D1060"/>
      <c r="E1060"/>
      <c r="F1060"/>
      <c r="G1060"/>
    </row>
    <row r="1061" spans="1:7" ht="15">
      <c r="A1061"/>
      <c r="B1061"/>
      <c r="C1061"/>
      <c r="D1061"/>
      <c r="E1061"/>
      <c r="F1061"/>
      <c r="G1061"/>
    </row>
    <row r="1062" spans="1:7" ht="15">
      <c r="A1062"/>
      <c r="B1062"/>
      <c r="C1062"/>
      <c r="D1062"/>
      <c r="E1062"/>
      <c r="F1062"/>
      <c r="G1062"/>
    </row>
    <row r="1063" spans="1:7" ht="15">
      <c r="A1063"/>
      <c r="B1063"/>
      <c r="C1063"/>
      <c r="D1063"/>
      <c r="E1063"/>
      <c r="F1063"/>
      <c r="G1063"/>
    </row>
    <row r="1064" spans="1:7" ht="15">
      <c r="A1064"/>
      <c r="B1064"/>
      <c r="C1064"/>
      <c r="D1064"/>
      <c r="E1064"/>
      <c r="F1064"/>
      <c r="G1064"/>
    </row>
    <row r="1065" spans="1:7" ht="15">
      <c r="A1065"/>
      <c r="B1065"/>
      <c r="C1065"/>
      <c r="D1065"/>
      <c r="E1065" s="42"/>
      <c r="F1065" s="42"/>
      <c r="G1065"/>
    </row>
    <row r="1066" spans="1:7" ht="15">
      <c r="A1066"/>
      <c r="B1066"/>
      <c r="C1066"/>
      <c r="D1066"/>
      <c r="E1066" s="42"/>
      <c r="F1066" s="42"/>
      <c r="G1066"/>
    </row>
    <row r="1067" spans="1:7" ht="15">
      <c r="A1067"/>
      <c r="B1067"/>
      <c r="C1067"/>
      <c r="D1067"/>
      <c r="E1067" s="42"/>
      <c r="F1067" s="42"/>
      <c r="G1067"/>
    </row>
    <row r="1068" spans="1:7" ht="15">
      <c r="A1068"/>
      <c r="B1068"/>
      <c r="C1068"/>
      <c r="D1068"/>
      <c r="E1068" s="42"/>
      <c r="F1068" s="42"/>
      <c r="G1068"/>
    </row>
    <row r="1069" spans="1:7" ht="15">
      <c r="A1069"/>
      <c r="B1069"/>
      <c r="C1069"/>
      <c r="D1069"/>
      <c r="E1069" s="42"/>
      <c r="F1069" s="42"/>
      <c r="G1069"/>
    </row>
    <row r="1070" spans="1:7" ht="15">
      <c r="A1070"/>
      <c r="B1070"/>
      <c r="C1070"/>
      <c r="D1070"/>
      <c r="E1070" s="42"/>
      <c r="F1070" s="42"/>
      <c r="G1070"/>
    </row>
    <row r="1071" spans="1:7" ht="15">
      <c r="A1071"/>
      <c r="B1071"/>
      <c r="C1071"/>
      <c r="D1071"/>
      <c r="E1071" s="42"/>
      <c r="F1071" s="42"/>
      <c r="G1071"/>
    </row>
    <row r="1072" spans="1:7" ht="15">
      <c r="A1072"/>
      <c r="B1072"/>
      <c r="C1072"/>
      <c r="D1072"/>
      <c r="E1072" s="42"/>
      <c r="F1072" s="42"/>
      <c r="G1072"/>
    </row>
    <row r="1073" spans="1:7" ht="15">
      <c r="A1073"/>
      <c r="B1073"/>
      <c r="C1073"/>
      <c r="D1073"/>
      <c r="E1073" s="42"/>
      <c r="F1073" s="42"/>
      <c r="G1073"/>
    </row>
    <row r="1074" spans="1:7" ht="15">
      <c r="A1074"/>
      <c r="B1074"/>
      <c r="C1074"/>
      <c r="D1074"/>
      <c r="E1074" s="42"/>
      <c r="F1074" s="42"/>
      <c r="G1074"/>
    </row>
    <row r="1075" spans="1:7" ht="15">
      <c r="A1075"/>
      <c r="B1075"/>
      <c r="C1075"/>
      <c r="D1075"/>
      <c r="E1075" s="42"/>
      <c r="F1075" s="42"/>
      <c r="G1075"/>
    </row>
    <row r="1076" spans="1:7" ht="15">
      <c r="A1076"/>
      <c r="B1076"/>
      <c r="C1076"/>
      <c r="D1076"/>
      <c r="E1076" s="42"/>
      <c r="F1076" s="42"/>
      <c r="G1076"/>
    </row>
    <row r="1077" spans="1:7" ht="15">
      <c r="A1077"/>
      <c r="B1077"/>
      <c r="C1077"/>
      <c r="D1077"/>
      <c r="E1077" s="42"/>
      <c r="F1077" s="42"/>
      <c r="G1077"/>
    </row>
    <row r="1078" spans="1:7" ht="15">
      <c r="A1078"/>
      <c r="B1078"/>
      <c r="C1078"/>
      <c r="D1078"/>
      <c r="E1078" s="42"/>
      <c r="F1078" s="42"/>
      <c r="G1078"/>
    </row>
    <row r="1079" spans="1:7" ht="15">
      <c r="A1079"/>
      <c r="B1079"/>
      <c r="C1079"/>
      <c r="D1079"/>
      <c r="E1079" s="42"/>
      <c r="F1079" s="42"/>
      <c r="G1079"/>
    </row>
    <row r="1080" spans="1:7" ht="15">
      <c r="A1080"/>
      <c r="B1080"/>
      <c r="C1080"/>
      <c r="D1080"/>
      <c r="E1080" s="42"/>
      <c r="F1080" s="42"/>
      <c r="G1080"/>
    </row>
    <row r="1081" spans="1:7" ht="15">
      <c r="A1081"/>
      <c r="B1081"/>
      <c r="C1081"/>
      <c r="D1081"/>
      <c r="E1081" s="42"/>
      <c r="F1081" s="42"/>
      <c r="G1081"/>
    </row>
    <row r="1082" spans="1:7" ht="15">
      <c r="A1082"/>
      <c r="B1082"/>
      <c r="C1082"/>
      <c r="D1082"/>
      <c r="E1082" s="42"/>
      <c r="F1082" s="42"/>
      <c r="G1082"/>
    </row>
    <row r="1083" spans="1:7" ht="15">
      <c r="A1083"/>
      <c r="B1083"/>
      <c r="C1083"/>
      <c r="D1083"/>
      <c r="E1083" s="42"/>
      <c r="F1083" s="42"/>
      <c r="G1083"/>
    </row>
    <row r="1084" spans="1:7" ht="15">
      <c r="A1084"/>
      <c r="B1084"/>
      <c r="C1084"/>
      <c r="D1084"/>
      <c r="E1084" s="42"/>
      <c r="F1084" s="42"/>
      <c r="G1084"/>
    </row>
    <row r="1085" spans="1:7" ht="15">
      <c r="A1085"/>
      <c r="B1085"/>
      <c r="C1085"/>
      <c r="D1085"/>
      <c r="E1085" s="42"/>
      <c r="F1085" s="42"/>
      <c r="G1085"/>
    </row>
    <row r="1086" spans="1:7" ht="15">
      <c r="A1086"/>
      <c r="B1086"/>
      <c r="C1086"/>
      <c r="D1086"/>
      <c r="E1086" s="42"/>
      <c r="F1086" s="42"/>
      <c r="G1086"/>
    </row>
    <row r="1087" spans="1:7" ht="15">
      <c r="A1087"/>
      <c r="B1087"/>
      <c r="C1087"/>
      <c r="D1087"/>
      <c r="E1087" s="42"/>
      <c r="F1087" s="42"/>
      <c r="G1087"/>
    </row>
    <row r="1088" spans="1:7" ht="15">
      <c r="A1088"/>
      <c r="B1088"/>
      <c r="C1088"/>
      <c r="D1088"/>
      <c r="E1088" s="42"/>
      <c r="F1088" s="42"/>
      <c r="G1088"/>
    </row>
    <row r="1089" spans="1:7" ht="15">
      <c r="A1089"/>
      <c r="B1089"/>
      <c r="C1089"/>
      <c r="D1089"/>
      <c r="E1089" s="42"/>
      <c r="F1089" s="42"/>
      <c r="G1089"/>
    </row>
    <row r="1090" spans="1:7" ht="15">
      <c r="A1090"/>
      <c r="B1090"/>
      <c r="C1090"/>
      <c r="D1090"/>
      <c r="E1090" s="42"/>
      <c r="F1090" s="42"/>
      <c r="G1090"/>
    </row>
    <row r="1091" spans="1:7" ht="15">
      <c r="A1091"/>
      <c r="B1091"/>
      <c r="C1091"/>
      <c r="D1091"/>
      <c r="E1091" s="42"/>
      <c r="F1091" s="42"/>
      <c r="G1091"/>
    </row>
    <row r="1092" spans="1:7" ht="15">
      <c r="A1092"/>
      <c r="B1092"/>
      <c r="C1092"/>
      <c r="D1092"/>
      <c r="E1092" s="42"/>
      <c r="F1092" s="42"/>
      <c r="G1092"/>
    </row>
    <row r="1093" spans="1:7" ht="15">
      <c r="A1093"/>
      <c r="B1093"/>
      <c r="C1093"/>
      <c r="D1093"/>
      <c r="E1093" s="42"/>
      <c r="F1093" s="42"/>
      <c r="G1093"/>
    </row>
    <row r="1094" spans="1:7" ht="15">
      <c r="A1094"/>
      <c r="B1094"/>
      <c r="C1094"/>
      <c r="D1094"/>
      <c r="E1094" s="42"/>
      <c r="F1094" s="42"/>
      <c r="G1094"/>
    </row>
    <row r="1095" spans="1:7" ht="15">
      <c r="A1095"/>
      <c r="B1095"/>
      <c r="C1095"/>
      <c r="D1095"/>
      <c r="E1095" s="42"/>
      <c r="F1095" s="42"/>
      <c r="G1095"/>
    </row>
    <row r="1096" spans="1:7" ht="15">
      <c r="A1096"/>
      <c r="B1096"/>
      <c r="C1096"/>
      <c r="D1096"/>
      <c r="E1096" s="42"/>
      <c r="F1096" s="42"/>
      <c r="G1096"/>
    </row>
    <row r="1097" spans="1:7" ht="15">
      <c r="A1097"/>
      <c r="B1097"/>
      <c r="C1097"/>
      <c r="D1097"/>
      <c r="E1097" s="42"/>
      <c r="F1097" s="42"/>
      <c r="G1097"/>
    </row>
    <row r="1098" spans="1:7" ht="15">
      <c r="A1098"/>
      <c r="B1098"/>
      <c r="C1098"/>
      <c r="D1098"/>
      <c r="E1098" s="42"/>
      <c r="F1098" s="42"/>
      <c r="G1098"/>
    </row>
    <row r="1099" spans="1:7" ht="15">
      <c r="A1099"/>
      <c r="B1099"/>
      <c r="C1099"/>
      <c r="D1099"/>
      <c r="E1099" s="42"/>
      <c r="F1099" s="42"/>
      <c r="G1099"/>
    </row>
    <row r="1100" spans="1:7" ht="15">
      <c r="A1100"/>
      <c r="B1100"/>
      <c r="C1100"/>
      <c r="D1100"/>
      <c r="E1100" s="42"/>
      <c r="F1100" s="42"/>
      <c r="G1100"/>
    </row>
    <row r="1101" spans="1:7" ht="15">
      <c r="A1101"/>
      <c r="B1101"/>
      <c r="C1101"/>
      <c r="D1101"/>
      <c r="E1101" s="42"/>
      <c r="F1101" s="42"/>
      <c r="G1101"/>
    </row>
    <row r="1102" spans="1:7" ht="15">
      <c r="A1102"/>
      <c r="B1102"/>
      <c r="C1102"/>
      <c r="D1102"/>
      <c r="E1102" s="42"/>
      <c r="F1102" s="42"/>
      <c r="G1102"/>
    </row>
    <row r="1103" spans="1:7" ht="15">
      <c r="A1103"/>
      <c r="B1103"/>
      <c r="C1103"/>
      <c r="D1103"/>
      <c r="E1103" s="42"/>
      <c r="F1103" s="42"/>
      <c r="G1103"/>
    </row>
    <row r="1104" spans="1:7" ht="15">
      <c r="A1104"/>
      <c r="B1104"/>
      <c r="C1104"/>
      <c r="D1104"/>
      <c r="E1104" s="42"/>
      <c r="F1104" s="42"/>
      <c r="G1104"/>
    </row>
    <row r="1105" spans="1:7" ht="15">
      <c r="A1105"/>
      <c r="B1105"/>
      <c r="C1105"/>
      <c r="D1105"/>
      <c r="E1105" s="42"/>
      <c r="F1105" s="42"/>
      <c r="G1105"/>
    </row>
    <row r="1106" spans="1:7" ht="15">
      <c r="A1106"/>
      <c r="B1106"/>
      <c r="C1106"/>
      <c r="D1106"/>
      <c r="E1106" s="42"/>
      <c r="F1106" s="42"/>
      <c r="G1106"/>
    </row>
    <row r="1107" spans="1:7" ht="15">
      <c r="A1107"/>
      <c r="B1107"/>
      <c r="C1107"/>
      <c r="D1107"/>
      <c r="E1107" s="42"/>
      <c r="F1107" s="42"/>
      <c r="G1107"/>
    </row>
    <row r="1108" spans="1:7" ht="15">
      <c r="A1108"/>
      <c r="B1108"/>
      <c r="C1108"/>
      <c r="D1108"/>
      <c r="E1108" s="42"/>
      <c r="F1108" s="42"/>
      <c r="G1108"/>
    </row>
    <row r="1109" spans="1:7" ht="15">
      <c r="A1109"/>
      <c r="B1109"/>
      <c r="C1109"/>
      <c r="D1109"/>
      <c r="E1109" s="42"/>
      <c r="F1109" s="42"/>
      <c r="G1109"/>
    </row>
    <row r="1110" spans="1:7" ht="15">
      <c r="A1110"/>
      <c r="B1110"/>
      <c r="C1110"/>
      <c r="D1110"/>
      <c r="E1110" s="42"/>
      <c r="F1110" s="42"/>
      <c r="G1110"/>
    </row>
    <row r="1111" spans="1:7" ht="15">
      <c r="A1111"/>
      <c r="B1111"/>
      <c r="C1111"/>
      <c r="D1111"/>
      <c r="E1111" s="42"/>
      <c r="F1111" s="42"/>
      <c r="G1111"/>
    </row>
    <row r="1112" spans="1:7" ht="15">
      <c r="A1112"/>
      <c r="B1112"/>
      <c r="C1112"/>
      <c r="D1112"/>
      <c r="E1112" s="42"/>
      <c r="F1112" s="42"/>
      <c r="G1112"/>
    </row>
    <row r="1113" spans="1:7" ht="15">
      <c r="A1113"/>
      <c r="B1113"/>
      <c r="C1113"/>
      <c r="D1113"/>
      <c r="E1113" s="42"/>
      <c r="F1113" s="42"/>
      <c r="G1113"/>
    </row>
    <row r="1114" spans="1:7" ht="15">
      <c r="A1114"/>
      <c r="B1114"/>
      <c r="C1114"/>
      <c r="D1114"/>
      <c r="E1114" s="42"/>
      <c r="F1114" s="42"/>
      <c r="G1114"/>
    </row>
    <row r="1115" spans="1:7" ht="15">
      <c r="A1115"/>
      <c r="B1115"/>
      <c r="C1115"/>
      <c r="D1115"/>
      <c r="E1115" s="42"/>
      <c r="F1115" s="42"/>
      <c r="G1115"/>
    </row>
    <row r="1116" spans="1:7" ht="15">
      <c r="A1116"/>
      <c r="B1116"/>
      <c r="C1116"/>
      <c r="D1116"/>
      <c r="E1116" s="42"/>
      <c r="F1116" s="42"/>
      <c r="G1116"/>
    </row>
    <row r="1117" spans="1:7" ht="15">
      <c r="A1117"/>
      <c r="B1117"/>
      <c r="C1117"/>
      <c r="D1117"/>
      <c r="E1117" s="42"/>
      <c r="F1117" s="42"/>
      <c r="G1117"/>
    </row>
    <row r="1118" spans="1:7" ht="15">
      <c r="A1118"/>
      <c r="B1118"/>
      <c r="C1118"/>
      <c r="D1118"/>
      <c r="E1118" s="42"/>
      <c r="F1118" s="42"/>
      <c r="G1118"/>
    </row>
    <row r="1119" spans="1:7" ht="15">
      <c r="A1119"/>
      <c r="B1119"/>
      <c r="C1119"/>
      <c r="D1119"/>
      <c r="E1119" s="42"/>
      <c r="F1119" s="42"/>
      <c r="G1119"/>
    </row>
    <row r="1120" spans="1:7" ht="15">
      <c r="A1120"/>
      <c r="B1120"/>
      <c r="C1120"/>
      <c r="D1120"/>
      <c r="E1120" s="42"/>
      <c r="F1120" s="42"/>
      <c r="G1120"/>
    </row>
    <row r="1121" spans="1:7" ht="15">
      <c r="A1121"/>
      <c r="B1121"/>
      <c r="C1121"/>
      <c r="D1121"/>
      <c r="E1121" s="42"/>
      <c r="F1121" s="42"/>
      <c r="G1121"/>
    </row>
    <row r="1122" spans="1:7" ht="15">
      <c r="A1122"/>
      <c r="B1122"/>
      <c r="C1122"/>
      <c r="D1122"/>
      <c r="E1122" s="42"/>
      <c r="F1122" s="42"/>
      <c r="G1122"/>
    </row>
    <row r="1123" spans="1:7" ht="15">
      <c r="A1123"/>
      <c r="B1123"/>
      <c r="C1123"/>
      <c r="D1123"/>
      <c r="E1123" s="42"/>
      <c r="F1123" s="42"/>
      <c r="G1123"/>
    </row>
    <row r="1124" spans="1:7" ht="15">
      <c r="A1124"/>
      <c r="B1124"/>
      <c r="C1124"/>
      <c r="D1124"/>
      <c r="E1124" s="42"/>
      <c r="F1124" s="42"/>
      <c r="G1124"/>
    </row>
    <row r="1125" spans="1:7" ht="15">
      <c r="A1125"/>
      <c r="B1125"/>
      <c r="C1125"/>
      <c r="D1125"/>
      <c r="E1125" s="42"/>
      <c r="F1125" s="42"/>
      <c r="G1125"/>
    </row>
    <row r="1126" spans="1:7" ht="15">
      <c r="A1126"/>
      <c r="B1126"/>
      <c r="C1126"/>
      <c r="D1126"/>
      <c r="E1126" s="42"/>
      <c r="F1126" s="42"/>
      <c r="G1126"/>
    </row>
    <row r="1127" spans="1:7" ht="15">
      <c r="A1127"/>
      <c r="B1127"/>
      <c r="C1127"/>
      <c r="D1127"/>
      <c r="E1127" s="42"/>
      <c r="F1127" s="42"/>
      <c r="G1127"/>
    </row>
    <row r="1128" spans="1:7" ht="15">
      <c r="A1128"/>
      <c r="B1128"/>
      <c r="C1128"/>
      <c r="D1128"/>
      <c r="E1128" s="42"/>
      <c r="F1128" s="42"/>
      <c r="G1128"/>
    </row>
    <row r="1129" spans="1:7" ht="15">
      <c r="A1129"/>
      <c r="B1129"/>
      <c r="C1129"/>
      <c r="D1129"/>
      <c r="E1129" s="42"/>
      <c r="F1129" s="42"/>
      <c r="G1129"/>
    </row>
    <row r="1130" spans="1:7" ht="15">
      <c r="A1130"/>
      <c r="B1130"/>
      <c r="C1130"/>
      <c r="D1130"/>
      <c r="E1130" s="42"/>
      <c r="F1130" s="42"/>
      <c r="G1130"/>
    </row>
    <row r="1131" spans="1:7" ht="15">
      <c r="A1131"/>
      <c r="B1131"/>
      <c r="C1131"/>
      <c r="D1131"/>
      <c r="E1131" s="42"/>
      <c r="F1131" s="42"/>
      <c r="G1131"/>
    </row>
    <row r="1132" spans="1:7" ht="15">
      <c r="A1132"/>
      <c r="B1132"/>
      <c r="C1132"/>
      <c r="D1132"/>
      <c r="E1132" s="42"/>
      <c r="F1132" s="42"/>
      <c r="G1132"/>
    </row>
    <row r="1133" spans="1:7" ht="15">
      <c r="A1133"/>
      <c r="B1133"/>
      <c r="C1133"/>
      <c r="D1133"/>
      <c r="E1133" s="42"/>
      <c r="F1133" s="42"/>
      <c r="G1133"/>
    </row>
    <row r="1134" spans="1:7" ht="15">
      <c r="A1134"/>
      <c r="B1134"/>
      <c r="C1134"/>
      <c r="D1134"/>
      <c r="E1134" s="42"/>
      <c r="F1134" s="42"/>
      <c r="G1134"/>
    </row>
    <row r="1135" spans="1:7" ht="15">
      <c r="A1135"/>
      <c r="B1135"/>
      <c r="C1135"/>
      <c r="D1135"/>
      <c r="E1135" s="42"/>
      <c r="F1135" s="42"/>
      <c r="G1135"/>
    </row>
    <row r="1136" spans="1:7" ht="15">
      <c r="A1136"/>
      <c r="B1136"/>
      <c r="C1136"/>
      <c r="D1136"/>
      <c r="E1136" s="42"/>
      <c r="F1136" s="42"/>
      <c r="G1136"/>
    </row>
    <row r="1137" spans="1:7" ht="15">
      <c r="A1137"/>
      <c r="B1137"/>
      <c r="C1137"/>
      <c r="D1137"/>
      <c r="E1137" s="42"/>
      <c r="F1137" s="42"/>
      <c r="G1137"/>
    </row>
    <row r="1138" spans="1:7" ht="15">
      <c r="A1138"/>
      <c r="B1138"/>
      <c r="C1138"/>
      <c r="D1138"/>
      <c r="E1138" s="42"/>
      <c r="F1138" s="42"/>
      <c r="G1138"/>
    </row>
    <row r="1139" spans="1:7" ht="15">
      <c r="A1139"/>
      <c r="B1139"/>
      <c r="C1139"/>
      <c r="D1139"/>
      <c r="E1139" s="42"/>
      <c r="F1139" s="42"/>
      <c r="G1139"/>
    </row>
    <row r="1140" spans="1:7" ht="15">
      <c r="A1140"/>
      <c r="B1140"/>
      <c r="C1140"/>
      <c r="D1140"/>
      <c r="E1140" s="42"/>
      <c r="F1140" s="42"/>
      <c r="G1140"/>
    </row>
    <row r="1141" spans="1:7" ht="15">
      <c r="A1141"/>
      <c r="B1141"/>
      <c r="C1141"/>
      <c r="D1141"/>
      <c r="E1141" s="42"/>
      <c r="F1141" s="42"/>
      <c r="G1141"/>
    </row>
    <row r="1142" spans="1:7" ht="15">
      <c r="A1142"/>
      <c r="B1142"/>
      <c r="C1142"/>
      <c r="D1142"/>
      <c r="E1142" s="42"/>
      <c r="F1142" s="42"/>
      <c r="G1142"/>
    </row>
    <row r="1143" spans="1:7" ht="15">
      <c r="A1143"/>
      <c r="B1143"/>
      <c r="C1143"/>
      <c r="D1143"/>
      <c r="E1143" s="42"/>
      <c r="F1143" s="42"/>
      <c r="G1143"/>
    </row>
    <row r="1144" spans="1:7" ht="15">
      <c r="A1144"/>
      <c r="B1144"/>
      <c r="C1144"/>
      <c r="D1144"/>
      <c r="E1144" s="42"/>
      <c r="F1144" s="42"/>
      <c r="G1144"/>
    </row>
    <row r="1145" spans="1:7" ht="15">
      <c r="A1145"/>
      <c r="B1145"/>
      <c r="C1145"/>
      <c r="D1145"/>
      <c r="E1145" s="42"/>
      <c r="F1145" s="42"/>
      <c r="G1145"/>
    </row>
    <row r="1146" spans="1:7" ht="15">
      <c r="A1146"/>
      <c r="B1146"/>
      <c r="C1146"/>
      <c r="D1146"/>
      <c r="E1146" s="42"/>
      <c r="F1146" s="42"/>
      <c r="G1146"/>
    </row>
    <row r="1147" spans="1:7" ht="15">
      <c r="A1147"/>
      <c r="B1147"/>
      <c r="C1147"/>
      <c r="D1147"/>
      <c r="E1147" s="42"/>
      <c r="F1147" s="42"/>
      <c r="G1147"/>
    </row>
    <row r="1148" spans="1:7" ht="15">
      <c r="A1148"/>
      <c r="B1148"/>
      <c r="C1148"/>
      <c r="D1148"/>
      <c r="E1148" s="42"/>
      <c r="F1148" s="42"/>
      <c r="G1148"/>
    </row>
    <row r="1149" spans="1:7" ht="15">
      <c r="A1149"/>
      <c r="B1149"/>
      <c r="C1149"/>
      <c r="D1149"/>
      <c r="E1149" s="42"/>
      <c r="F1149" s="42"/>
      <c r="G1149"/>
    </row>
    <row r="1150" spans="1:7" ht="15">
      <c r="A1150"/>
      <c r="B1150"/>
      <c r="C1150"/>
      <c r="D1150"/>
      <c r="E1150" s="42"/>
      <c r="F1150" s="42"/>
      <c r="G1150"/>
    </row>
    <row r="1151" spans="1:7" ht="15">
      <c r="A1151"/>
      <c r="B1151"/>
      <c r="C1151"/>
      <c r="D1151"/>
      <c r="E1151" s="42"/>
      <c r="F1151" s="42"/>
      <c r="G1151"/>
    </row>
    <row r="1152" spans="1:7" ht="15">
      <c r="A1152"/>
      <c r="B1152"/>
      <c r="C1152"/>
      <c r="D1152"/>
      <c r="E1152" s="42"/>
      <c r="F1152" s="42"/>
      <c r="G1152"/>
    </row>
    <row r="1153" spans="1:7" ht="15">
      <c r="A1153"/>
      <c r="B1153"/>
      <c r="C1153"/>
      <c r="D1153"/>
      <c r="E1153" s="42"/>
      <c r="F1153" s="42"/>
      <c r="G1153"/>
    </row>
    <row r="1154" spans="1:7" ht="15">
      <c r="A1154"/>
      <c r="B1154"/>
      <c r="C1154"/>
      <c r="D1154"/>
      <c r="E1154" s="42"/>
      <c r="F1154" s="42"/>
      <c r="G1154"/>
    </row>
    <row r="1155" spans="1:7" ht="15">
      <c r="A1155"/>
      <c r="B1155"/>
      <c r="C1155"/>
      <c r="D1155"/>
      <c r="E1155" s="42"/>
      <c r="F1155" s="42"/>
      <c r="G1155"/>
    </row>
    <row r="1156" spans="1:7" ht="15">
      <c r="A1156"/>
      <c r="B1156"/>
      <c r="C1156"/>
      <c r="D1156"/>
      <c r="E1156" s="42"/>
      <c r="F1156" s="42"/>
      <c r="G1156"/>
    </row>
    <row r="1157" spans="1:7" ht="15">
      <c r="A1157"/>
      <c r="B1157"/>
      <c r="C1157"/>
      <c r="D1157"/>
      <c r="E1157" s="42"/>
      <c r="F1157" s="42"/>
      <c r="G1157"/>
    </row>
    <row r="1158" spans="1:7" ht="15">
      <c r="A1158"/>
      <c r="B1158"/>
      <c r="C1158"/>
      <c r="D1158"/>
      <c r="E1158" s="42"/>
      <c r="F1158" s="42"/>
      <c r="G1158"/>
    </row>
    <row r="1159" spans="1:7" ht="15">
      <c r="A1159"/>
      <c r="B1159"/>
      <c r="C1159"/>
      <c r="D1159"/>
      <c r="E1159" s="42"/>
      <c r="F1159" s="42"/>
      <c r="G1159"/>
    </row>
    <row r="1160" spans="1:7" ht="15">
      <c r="A1160"/>
      <c r="B1160"/>
      <c r="C1160"/>
      <c r="D1160"/>
      <c r="E1160" s="42"/>
      <c r="F1160" s="42"/>
      <c r="G1160"/>
    </row>
    <row r="1161" spans="1:7" ht="15">
      <c r="A1161"/>
      <c r="B1161"/>
      <c r="C1161"/>
      <c r="D1161"/>
      <c r="E1161" s="42"/>
      <c r="F1161" s="42"/>
      <c r="G1161"/>
    </row>
    <row r="1162" spans="1:7" ht="15">
      <c r="A1162"/>
      <c r="B1162"/>
      <c r="C1162"/>
      <c r="D1162"/>
      <c r="E1162" s="42"/>
      <c r="F1162" s="42"/>
      <c r="G1162"/>
    </row>
    <row r="1163" spans="1:7" ht="15">
      <c r="A1163"/>
      <c r="B1163"/>
      <c r="C1163"/>
      <c r="D1163"/>
      <c r="E1163" s="42"/>
      <c r="F1163" s="42"/>
      <c r="G1163"/>
    </row>
    <row r="1164" spans="1:7" ht="15">
      <c r="A1164"/>
      <c r="B1164"/>
      <c r="C1164"/>
      <c r="D1164"/>
      <c r="E1164" s="42"/>
      <c r="F1164" s="42"/>
      <c r="G1164"/>
    </row>
    <row r="1165" spans="1:7" ht="15">
      <c r="A1165"/>
      <c r="B1165"/>
      <c r="C1165"/>
      <c r="D1165"/>
      <c r="E1165" s="42"/>
      <c r="F1165" s="42"/>
      <c r="G1165"/>
    </row>
    <row r="1166" spans="1:7" ht="15">
      <c r="A1166"/>
      <c r="B1166"/>
      <c r="C1166"/>
      <c r="D1166"/>
      <c r="E1166" s="42"/>
      <c r="F1166" s="42"/>
      <c r="G1166"/>
    </row>
    <row r="1167" spans="1:7" ht="15">
      <c r="A1167"/>
      <c r="B1167"/>
      <c r="C1167"/>
      <c r="D1167"/>
      <c r="E1167" s="42"/>
      <c r="F1167" s="42"/>
      <c r="G1167"/>
    </row>
    <row r="1168" spans="1:7" ht="15">
      <c r="A1168"/>
      <c r="B1168"/>
      <c r="C1168"/>
      <c r="D1168"/>
      <c r="E1168" s="42"/>
      <c r="F1168" s="42"/>
      <c r="G1168"/>
    </row>
    <row r="1169" spans="1:7" ht="15">
      <c r="A1169"/>
      <c r="B1169"/>
      <c r="C1169"/>
      <c r="D1169"/>
      <c r="E1169" s="42"/>
      <c r="F1169" s="42"/>
      <c r="G1169"/>
    </row>
    <row r="1170" spans="1:7" ht="15">
      <c r="A1170"/>
      <c r="B1170"/>
      <c r="C1170"/>
      <c r="D1170"/>
      <c r="E1170" s="42"/>
      <c r="F1170" s="42"/>
      <c r="G1170"/>
    </row>
    <row r="1171" spans="1:7" ht="15">
      <c r="A1171"/>
      <c r="B1171"/>
      <c r="C1171"/>
      <c r="D1171"/>
      <c r="E1171" s="42"/>
      <c r="F1171" s="42"/>
      <c r="G1171"/>
    </row>
    <row r="1172" spans="1:7" ht="15">
      <c r="A1172"/>
      <c r="B1172"/>
      <c r="C1172"/>
      <c r="D1172"/>
      <c r="E1172" s="42"/>
      <c r="F1172" s="42"/>
      <c r="G1172"/>
    </row>
    <row r="1173" spans="1:7" ht="15">
      <c r="A1173"/>
      <c r="B1173"/>
      <c r="C1173"/>
      <c r="D1173"/>
      <c r="E1173" s="42"/>
      <c r="F1173" s="42"/>
      <c r="G1173"/>
    </row>
    <row r="1174" spans="1:7" ht="15">
      <c r="A1174"/>
      <c r="B1174"/>
      <c r="C1174"/>
      <c r="D1174"/>
      <c r="E1174" s="42"/>
      <c r="F1174" s="42"/>
      <c r="G1174"/>
    </row>
    <row r="1175" spans="1:7" ht="15">
      <c r="A1175"/>
      <c r="B1175"/>
      <c r="C1175"/>
      <c r="D1175"/>
      <c r="E1175" s="42"/>
      <c r="F1175" s="42"/>
      <c r="G1175"/>
    </row>
    <row r="1176" spans="1:7" ht="15">
      <c r="A1176"/>
      <c r="B1176"/>
      <c r="C1176"/>
      <c r="D1176"/>
      <c r="E1176" s="42"/>
      <c r="F1176" s="42"/>
      <c r="G1176"/>
    </row>
    <row r="1177" spans="1:7" ht="15">
      <c r="A1177"/>
      <c r="B1177"/>
      <c r="C1177"/>
      <c r="D1177"/>
      <c r="E1177" s="42"/>
      <c r="F1177" s="42"/>
      <c r="G1177"/>
    </row>
    <row r="1178" spans="1:7" ht="15">
      <c r="A1178"/>
      <c r="B1178"/>
      <c r="C1178"/>
      <c r="D1178"/>
      <c r="E1178" s="42"/>
      <c r="F1178" s="42"/>
      <c r="G1178"/>
    </row>
    <row r="1179" spans="1:7" ht="15">
      <c r="A1179"/>
      <c r="B1179"/>
      <c r="C1179"/>
      <c r="D1179"/>
      <c r="E1179" s="42"/>
      <c r="F1179" s="42"/>
      <c r="G1179"/>
    </row>
    <row r="1180" spans="1:7" ht="15">
      <c r="A1180"/>
      <c r="B1180"/>
      <c r="C1180"/>
      <c r="D1180"/>
      <c r="E1180" s="42"/>
      <c r="F1180" s="42"/>
      <c r="G1180"/>
    </row>
    <row r="1181" spans="1:7" ht="15">
      <c r="A1181"/>
      <c r="B1181"/>
      <c r="C1181"/>
      <c r="D1181"/>
      <c r="E1181" s="42"/>
      <c r="F1181" s="42"/>
      <c r="G1181"/>
    </row>
    <row r="1182" spans="1:7" ht="15">
      <c r="A1182"/>
      <c r="B1182"/>
      <c r="C1182"/>
      <c r="D1182"/>
      <c r="E1182" s="42"/>
      <c r="F1182" s="42"/>
      <c r="G1182"/>
    </row>
    <row r="1183" spans="1:7" ht="15">
      <c r="A1183"/>
      <c r="B1183"/>
      <c r="C1183"/>
      <c r="D1183"/>
      <c r="E1183" s="42"/>
      <c r="F1183" s="42"/>
      <c r="G1183"/>
    </row>
    <row r="1184" spans="1:7" ht="15">
      <c r="A1184"/>
      <c r="B1184"/>
      <c r="C1184"/>
      <c r="D1184"/>
      <c r="E1184" s="42"/>
      <c r="F1184" s="42"/>
      <c r="G1184"/>
    </row>
    <row r="1185" spans="1:7" ht="15">
      <c r="A1185"/>
      <c r="B1185"/>
      <c r="C1185"/>
      <c r="D1185"/>
      <c r="E1185" s="42"/>
      <c r="F1185" s="42"/>
      <c r="G1185"/>
    </row>
    <row r="1186" spans="1:7" ht="15">
      <c r="A1186"/>
      <c r="B1186"/>
      <c r="C1186"/>
      <c r="D1186"/>
      <c r="E1186" s="42"/>
      <c r="F1186" s="42"/>
      <c r="G1186"/>
    </row>
    <row r="1187" spans="1:7" ht="15">
      <c r="A1187"/>
      <c r="B1187"/>
      <c r="C1187"/>
      <c r="D1187"/>
      <c r="E1187" s="42"/>
      <c r="F1187" s="42"/>
      <c r="G1187"/>
    </row>
    <row r="1188" spans="1:7" ht="15">
      <c r="A1188"/>
      <c r="B1188"/>
      <c r="C1188"/>
      <c r="D1188"/>
      <c r="E1188" s="42"/>
      <c r="F1188" s="42"/>
      <c r="G1188"/>
    </row>
    <row r="1189" spans="1:7" ht="15">
      <c r="A1189"/>
      <c r="B1189"/>
      <c r="C1189"/>
      <c r="D1189"/>
      <c r="E1189" s="42"/>
      <c r="F1189" s="42"/>
      <c r="G1189"/>
    </row>
    <row r="1190" spans="1:7" ht="15">
      <c r="A1190"/>
      <c r="B1190"/>
      <c r="C1190"/>
      <c r="D1190"/>
      <c r="E1190" s="42"/>
      <c r="F1190" s="42"/>
      <c r="G1190"/>
    </row>
    <row r="1191" spans="1:7" ht="15">
      <c r="A1191"/>
      <c r="B1191"/>
      <c r="C1191"/>
      <c r="D1191"/>
      <c r="E1191" s="42"/>
      <c r="F1191" s="42"/>
      <c r="G1191"/>
    </row>
    <row r="1192" spans="1:7" ht="15">
      <c r="A1192"/>
      <c r="B1192"/>
      <c r="C1192"/>
      <c r="D1192"/>
      <c r="E1192" s="42"/>
      <c r="F1192" s="42"/>
      <c r="G1192"/>
    </row>
    <row r="1193" spans="1:7" ht="15">
      <c r="A1193"/>
      <c r="B1193"/>
      <c r="C1193"/>
      <c r="D1193"/>
      <c r="E1193" s="42"/>
      <c r="F1193" s="42"/>
      <c r="G1193"/>
    </row>
    <row r="1194" spans="1:7" ht="15">
      <c r="A1194"/>
      <c r="B1194"/>
      <c r="C1194"/>
      <c r="D1194"/>
      <c r="E1194" s="42"/>
      <c r="F1194" s="42"/>
      <c r="G1194"/>
    </row>
    <row r="1195" spans="1:7" ht="15">
      <c r="A1195"/>
      <c r="B1195"/>
      <c r="C1195"/>
      <c r="D1195"/>
      <c r="E1195" s="42"/>
      <c r="F1195" s="42"/>
      <c r="G1195"/>
    </row>
    <row r="1196" spans="1:7" ht="15">
      <c r="A1196"/>
      <c r="B1196"/>
      <c r="C1196"/>
      <c r="D1196"/>
      <c r="E1196" s="42"/>
      <c r="F1196" s="42"/>
      <c r="G1196"/>
    </row>
    <row r="1197" spans="1:7" ht="15">
      <c r="A1197"/>
      <c r="B1197"/>
      <c r="C1197"/>
      <c r="D1197"/>
      <c r="E1197" s="42"/>
      <c r="F1197" s="42"/>
      <c r="G1197"/>
    </row>
    <row r="1198" spans="1:7" ht="15">
      <c r="A1198"/>
      <c r="B1198"/>
      <c r="C1198"/>
      <c r="D1198"/>
      <c r="E1198" s="42"/>
      <c r="F1198" s="42"/>
      <c r="G1198"/>
    </row>
    <row r="1199" spans="1:7" ht="15">
      <c r="A1199"/>
      <c r="B1199"/>
      <c r="C1199"/>
      <c r="D1199"/>
      <c r="E1199" s="42"/>
      <c r="F1199" s="42"/>
      <c r="G1199"/>
    </row>
    <row r="1200" spans="1:7" ht="15">
      <c r="A1200"/>
      <c r="B1200"/>
      <c r="C1200"/>
      <c r="D1200"/>
      <c r="E1200" s="42"/>
      <c r="F1200" s="42"/>
      <c r="G1200"/>
    </row>
    <row r="1201" spans="1:7" ht="15">
      <c r="A1201"/>
      <c r="B1201"/>
      <c r="C1201"/>
      <c r="D1201"/>
      <c r="E1201" s="42"/>
      <c r="F1201" s="42"/>
      <c r="G1201"/>
    </row>
    <row r="1202" spans="1:7" ht="15">
      <c r="A1202"/>
      <c r="B1202"/>
      <c r="C1202"/>
      <c r="D1202"/>
      <c r="E1202" s="42"/>
      <c r="F1202" s="42"/>
      <c r="G1202"/>
    </row>
    <row r="1203" spans="1:7" ht="15">
      <c r="A1203"/>
      <c r="B1203"/>
      <c r="C1203"/>
      <c r="D1203"/>
      <c r="E1203" s="42"/>
      <c r="F1203" s="42"/>
      <c r="G1203"/>
    </row>
    <row r="1204" spans="1:7" ht="15">
      <c r="A1204"/>
      <c r="B1204"/>
      <c r="C1204"/>
      <c r="D1204"/>
      <c r="E1204" s="42"/>
      <c r="F1204" s="42"/>
      <c r="G1204"/>
    </row>
    <row r="1205" spans="1:7" ht="15">
      <c r="A1205"/>
      <c r="B1205"/>
      <c r="C1205"/>
      <c r="D1205"/>
      <c r="E1205" s="42"/>
      <c r="F1205" s="42"/>
      <c r="G1205"/>
    </row>
    <row r="1206" spans="1:7" ht="15">
      <c r="A1206"/>
      <c r="B1206"/>
      <c r="C1206"/>
      <c r="D1206"/>
      <c r="E1206" s="42"/>
      <c r="F1206" s="42"/>
      <c r="G1206"/>
    </row>
    <row r="1207" spans="1:7" ht="15">
      <c r="A1207"/>
      <c r="B1207"/>
      <c r="C1207"/>
      <c r="D1207"/>
      <c r="E1207" s="42"/>
      <c r="F1207" s="42"/>
      <c r="G1207"/>
    </row>
    <row r="1208" spans="1:7" ht="15">
      <c r="A1208"/>
      <c r="B1208"/>
      <c r="C1208"/>
      <c r="D1208"/>
      <c r="E1208" s="42"/>
      <c r="F1208" s="42"/>
      <c r="G1208"/>
    </row>
    <row r="1209" spans="1:7" ht="15">
      <c r="A1209"/>
      <c r="B1209"/>
      <c r="C1209"/>
      <c r="D1209"/>
      <c r="E1209" s="42"/>
      <c r="F1209" s="42"/>
      <c r="G1209"/>
    </row>
    <row r="1210" spans="1:7" ht="15">
      <c r="A1210"/>
      <c r="B1210"/>
      <c r="C1210"/>
      <c r="D1210"/>
      <c r="E1210" s="42"/>
      <c r="F1210" s="42"/>
      <c r="G1210"/>
    </row>
    <row r="1211" spans="1:7" ht="15">
      <c r="A1211"/>
      <c r="B1211"/>
      <c r="C1211"/>
      <c r="D1211"/>
      <c r="E1211" s="42"/>
      <c r="F1211" s="42"/>
      <c r="G1211"/>
    </row>
    <row r="1212" spans="1:7" ht="15">
      <c r="A1212"/>
      <c r="B1212"/>
      <c r="C1212"/>
      <c r="D1212"/>
      <c r="E1212" s="42"/>
      <c r="F1212" s="42"/>
      <c r="G1212"/>
    </row>
    <row r="1213" spans="1:7" ht="15">
      <c r="A1213"/>
      <c r="B1213"/>
      <c r="C1213"/>
      <c r="D1213"/>
      <c r="E1213" s="42"/>
      <c r="F1213" s="42"/>
      <c r="G1213"/>
    </row>
    <row r="1214" spans="1:7" ht="15">
      <c r="A1214"/>
      <c r="B1214"/>
      <c r="C1214"/>
      <c r="D1214"/>
      <c r="E1214" s="42"/>
      <c r="F1214" s="42"/>
      <c r="G1214"/>
    </row>
    <row r="1215" spans="1:7" ht="15">
      <c r="A1215"/>
      <c r="B1215"/>
      <c r="C1215"/>
      <c r="D1215"/>
      <c r="E1215" s="42"/>
      <c r="F1215" s="42"/>
      <c r="G1215"/>
    </row>
    <row r="1216" spans="1:7" ht="15">
      <c r="A1216"/>
      <c r="B1216"/>
      <c r="C1216"/>
      <c r="D1216"/>
      <c r="E1216" s="42"/>
      <c r="F1216" s="42"/>
      <c r="G1216"/>
    </row>
    <row r="1217" spans="1:7" ht="15">
      <c r="A1217"/>
      <c r="B1217"/>
      <c r="C1217"/>
      <c r="D1217"/>
      <c r="E1217" s="42"/>
      <c r="F1217" s="42"/>
      <c r="G1217"/>
    </row>
    <row r="1218" spans="1:7" ht="15">
      <c r="A1218"/>
      <c r="B1218"/>
      <c r="C1218"/>
      <c r="D1218"/>
      <c r="E1218" s="42"/>
      <c r="F1218" s="42"/>
      <c r="G1218"/>
    </row>
    <row r="1219" spans="1:7" ht="15">
      <c r="A1219"/>
      <c r="B1219"/>
      <c r="C1219"/>
      <c r="D1219"/>
      <c r="E1219" s="42"/>
      <c r="F1219" s="42"/>
      <c r="G1219"/>
    </row>
    <row r="1220" spans="1:7" ht="15">
      <c r="A1220"/>
      <c r="B1220"/>
      <c r="C1220"/>
      <c r="D1220"/>
      <c r="E1220" s="42"/>
      <c r="F1220" s="42"/>
      <c r="G1220"/>
    </row>
    <row r="1221" spans="1:7" ht="15">
      <c r="A1221"/>
      <c r="B1221"/>
      <c r="C1221"/>
      <c r="D1221"/>
      <c r="E1221" s="42"/>
      <c r="F1221" s="42"/>
      <c r="G1221"/>
    </row>
    <row r="1222" spans="1:7" ht="15">
      <c r="A1222"/>
      <c r="B1222"/>
      <c r="C1222"/>
      <c r="D1222"/>
      <c r="E1222" s="42"/>
      <c r="F1222" s="42"/>
      <c r="G1222"/>
    </row>
    <row r="1223" spans="1:7" ht="15">
      <c r="A1223"/>
      <c r="B1223"/>
      <c r="C1223"/>
      <c r="D1223"/>
      <c r="E1223" s="42"/>
      <c r="F1223" s="42"/>
      <c r="G1223"/>
    </row>
    <row r="1224" spans="1:7" ht="15">
      <c r="A1224"/>
      <c r="B1224"/>
      <c r="C1224"/>
      <c r="D1224"/>
      <c r="E1224" s="42"/>
      <c r="F1224" s="42"/>
      <c r="G1224"/>
    </row>
    <row r="1225" spans="1:7" ht="15">
      <c r="A1225"/>
      <c r="B1225"/>
      <c r="C1225"/>
      <c r="D1225"/>
      <c r="E1225" s="42"/>
      <c r="F1225" s="42"/>
      <c r="G1225"/>
    </row>
    <row r="1226" spans="1:7" ht="15">
      <c r="A1226"/>
      <c r="B1226"/>
      <c r="C1226"/>
      <c r="D1226"/>
      <c r="E1226" s="42"/>
      <c r="F1226" s="42"/>
      <c r="G1226"/>
    </row>
    <row r="1227" spans="1:7" ht="15">
      <c r="A1227"/>
      <c r="B1227"/>
      <c r="C1227"/>
      <c r="D1227"/>
      <c r="E1227" s="42"/>
      <c r="F1227" s="42"/>
      <c r="G1227"/>
    </row>
    <row r="1228" spans="1:7" ht="15">
      <c r="A1228"/>
      <c r="B1228"/>
      <c r="C1228"/>
      <c r="D1228"/>
      <c r="E1228" s="42"/>
      <c r="F1228" s="42"/>
      <c r="G1228"/>
    </row>
    <row r="1229" spans="1:7" ht="15">
      <c r="A1229"/>
      <c r="B1229"/>
      <c r="C1229"/>
      <c r="D1229"/>
      <c r="E1229" s="42"/>
      <c r="F1229" s="42"/>
      <c r="G1229"/>
    </row>
    <row r="1230" spans="1:7" ht="15">
      <c r="A1230"/>
      <c r="B1230"/>
      <c r="C1230"/>
      <c r="D1230"/>
      <c r="E1230" s="42"/>
      <c r="F1230" s="42"/>
      <c r="G1230"/>
    </row>
    <row r="1231" spans="1:7" ht="15">
      <c r="A1231"/>
      <c r="B1231"/>
      <c r="C1231"/>
      <c r="D1231"/>
      <c r="E1231" s="42"/>
      <c r="F1231" s="42"/>
      <c r="G1231"/>
    </row>
    <row r="1232" spans="1:7" ht="15">
      <c r="A1232"/>
      <c r="B1232"/>
      <c r="C1232"/>
      <c r="D1232"/>
      <c r="E1232" s="42"/>
      <c r="F1232" s="42"/>
      <c r="G1232"/>
    </row>
    <row r="1233" spans="1:7" ht="15">
      <c r="A1233"/>
      <c r="B1233"/>
      <c r="C1233"/>
      <c r="D1233"/>
      <c r="E1233" s="42"/>
      <c r="F1233" s="42"/>
      <c r="G1233"/>
    </row>
    <row r="1234" spans="1:7" ht="15">
      <c r="A1234"/>
      <c r="B1234"/>
      <c r="C1234"/>
      <c r="D1234"/>
      <c r="E1234" s="42"/>
      <c r="F1234" s="42"/>
      <c r="G1234"/>
    </row>
    <row r="1235" spans="1:7" ht="15">
      <c r="A1235"/>
      <c r="B1235"/>
      <c r="C1235"/>
      <c r="D1235"/>
      <c r="E1235" s="42"/>
      <c r="F1235" s="42"/>
      <c r="G1235"/>
    </row>
    <row r="1236" spans="1:7" ht="15">
      <c r="A1236"/>
      <c r="B1236"/>
      <c r="C1236"/>
      <c r="D1236"/>
      <c r="E1236" s="42"/>
      <c r="F1236" s="42"/>
      <c r="G1236"/>
    </row>
    <row r="1237" spans="1:7" ht="15">
      <c r="A1237"/>
      <c r="B1237"/>
      <c r="C1237"/>
      <c r="D1237"/>
      <c r="E1237" s="42"/>
      <c r="F1237" s="42"/>
      <c r="G1237"/>
    </row>
    <row r="1238" spans="1:7" ht="15">
      <c r="A1238"/>
      <c r="B1238"/>
      <c r="C1238"/>
      <c r="D1238"/>
      <c r="E1238" s="42"/>
      <c r="F1238" s="42"/>
      <c r="G1238"/>
    </row>
    <row r="1239" spans="1:7" ht="15">
      <c r="A1239"/>
      <c r="B1239"/>
      <c r="C1239"/>
      <c r="D1239"/>
      <c r="E1239" s="42"/>
      <c r="F1239" s="42"/>
      <c r="G1239"/>
    </row>
    <row r="1240" spans="1:7" ht="15">
      <c r="A1240"/>
      <c r="B1240"/>
      <c r="C1240"/>
      <c r="D1240"/>
      <c r="E1240" s="42"/>
      <c r="F1240" s="42"/>
      <c r="G1240"/>
    </row>
    <row r="1241" spans="1:7" ht="15">
      <c r="A1241"/>
      <c r="B1241"/>
      <c r="C1241"/>
      <c r="D1241"/>
      <c r="E1241" s="42"/>
      <c r="F1241" s="42"/>
      <c r="G1241"/>
    </row>
    <row r="1242" spans="1:7" ht="15">
      <c r="A1242"/>
      <c r="B1242"/>
      <c r="C1242"/>
      <c r="D1242"/>
      <c r="E1242" s="42"/>
      <c r="F1242" s="42"/>
      <c r="G1242"/>
    </row>
    <row r="1243" spans="1:7" ht="15">
      <c r="A1243"/>
      <c r="B1243"/>
      <c r="C1243"/>
      <c r="D1243"/>
      <c r="E1243" s="42"/>
      <c r="F1243" s="42"/>
      <c r="G1243"/>
    </row>
    <row r="1244" spans="1:7" ht="15">
      <c r="A1244"/>
      <c r="B1244"/>
      <c r="C1244"/>
      <c r="D1244"/>
      <c r="E1244" s="42"/>
      <c r="F1244" s="42"/>
      <c r="G1244"/>
    </row>
    <row r="1245" spans="1:7" ht="15">
      <c r="A1245"/>
      <c r="B1245"/>
      <c r="C1245"/>
      <c r="D1245"/>
      <c r="E1245" s="42"/>
      <c r="F1245" s="42"/>
      <c r="G1245"/>
    </row>
    <row r="1246" spans="1:7" ht="15">
      <c r="A1246"/>
      <c r="B1246"/>
      <c r="C1246"/>
      <c r="D1246"/>
      <c r="E1246" s="42"/>
      <c r="F1246" s="42"/>
      <c r="G1246"/>
    </row>
    <row r="1247" spans="1:7" ht="15">
      <c r="A1247"/>
      <c r="B1247"/>
      <c r="C1247"/>
      <c r="D1247"/>
      <c r="E1247" s="42"/>
      <c r="F1247" s="42"/>
      <c r="G1247"/>
    </row>
    <row r="1248" spans="1:7" ht="15">
      <c r="A1248"/>
      <c r="B1248"/>
      <c r="C1248"/>
      <c r="D1248"/>
      <c r="E1248" s="42"/>
      <c r="F1248" s="42"/>
      <c r="G1248"/>
    </row>
    <row r="1249" spans="1:7" ht="15">
      <c r="A1249"/>
      <c r="B1249"/>
      <c r="C1249"/>
      <c r="D1249"/>
      <c r="E1249" s="42"/>
      <c r="F1249" s="42"/>
      <c r="G1249"/>
    </row>
    <row r="1250" spans="1:7" ht="15">
      <c r="A1250"/>
      <c r="B1250"/>
      <c r="C1250"/>
      <c r="D1250"/>
      <c r="E1250" s="42"/>
      <c r="F1250" s="42"/>
      <c r="G1250"/>
    </row>
    <row r="1251" spans="1:7" ht="15">
      <c r="A1251"/>
      <c r="B1251"/>
      <c r="C1251"/>
      <c r="D1251"/>
      <c r="E1251" s="42"/>
      <c r="F1251" s="42"/>
      <c r="G1251"/>
    </row>
    <row r="1252" spans="1:7" ht="15">
      <c r="A1252"/>
      <c r="B1252"/>
      <c r="C1252"/>
      <c r="D1252"/>
      <c r="E1252" s="42"/>
      <c r="F1252" s="42"/>
      <c r="G1252"/>
    </row>
    <row r="1253" spans="1:7" ht="15">
      <c r="A1253"/>
      <c r="B1253"/>
      <c r="C1253"/>
      <c r="D1253"/>
      <c r="E1253" s="42"/>
      <c r="F1253" s="42"/>
      <c r="G1253"/>
    </row>
    <row r="1254" spans="1:7" ht="15">
      <c r="A1254"/>
      <c r="B1254"/>
      <c r="C1254"/>
      <c r="D1254"/>
      <c r="E1254" s="42"/>
      <c r="F1254" s="42"/>
      <c r="G1254"/>
    </row>
    <row r="1255" spans="1:7" ht="15">
      <c r="A1255"/>
      <c r="B1255"/>
      <c r="C1255"/>
      <c r="D1255"/>
      <c r="E1255" s="42"/>
      <c r="F1255" s="42"/>
      <c r="G1255"/>
    </row>
    <row r="1256" spans="1:7" ht="15">
      <c r="A1256"/>
      <c r="B1256"/>
      <c r="C1256"/>
      <c r="D1256"/>
      <c r="E1256" s="42"/>
      <c r="F1256" s="42"/>
      <c r="G1256"/>
    </row>
    <row r="1257" spans="1:7" ht="15">
      <c r="A1257"/>
      <c r="B1257"/>
      <c r="C1257"/>
      <c r="D1257"/>
      <c r="E1257" s="42"/>
      <c r="F1257" s="42"/>
      <c r="G1257"/>
    </row>
    <row r="1258" spans="1:7" ht="15">
      <c r="A1258"/>
      <c r="B1258"/>
      <c r="C1258"/>
      <c r="D1258"/>
      <c r="E1258" s="42"/>
      <c r="F1258" s="42"/>
      <c r="G1258"/>
    </row>
    <row r="1259" spans="1:7" ht="15">
      <c r="A1259"/>
      <c r="B1259"/>
      <c r="C1259"/>
      <c r="D1259"/>
      <c r="E1259" s="42"/>
      <c r="F1259" s="42"/>
      <c r="G1259"/>
    </row>
    <row r="1260" spans="1:7" ht="15">
      <c r="A1260"/>
      <c r="B1260"/>
      <c r="C1260"/>
      <c r="D1260"/>
      <c r="E1260" s="42"/>
      <c r="F1260" s="42"/>
      <c r="G1260"/>
    </row>
    <row r="1261" spans="1:7" ht="15">
      <c r="A1261"/>
      <c r="B1261"/>
      <c r="C1261"/>
      <c r="D1261"/>
      <c r="E1261" s="42"/>
      <c r="F1261" s="42"/>
      <c r="G1261"/>
    </row>
    <row r="1262" spans="1:7" ht="15">
      <c r="A1262"/>
      <c r="B1262"/>
      <c r="C1262"/>
      <c r="D1262"/>
      <c r="E1262" s="42"/>
      <c r="F1262" s="42"/>
      <c r="G1262"/>
    </row>
    <row r="1263" spans="1:7" ht="15">
      <c r="A1263"/>
      <c r="B1263"/>
      <c r="C1263"/>
      <c r="D1263"/>
      <c r="E1263" s="42"/>
      <c r="F1263" s="42"/>
      <c r="G1263"/>
    </row>
    <row r="1264" spans="1:7" ht="15">
      <c r="A1264"/>
      <c r="B1264"/>
      <c r="C1264"/>
      <c r="D1264"/>
      <c r="E1264" s="42"/>
      <c r="F1264" s="42"/>
      <c r="G1264"/>
    </row>
    <row r="1265" spans="1:7" ht="15">
      <c r="A1265"/>
      <c r="B1265"/>
      <c r="C1265"/>
      <c r="D1265"/>
      <c r="E1265" s="42"/>
      <c r="F1265" s="42"/>
      <c r="G1265"/>
    </row>
    <row r="1266" spans="1:7" ht="15">
      <c r="A1266"/>
      <c r="B1266"/>
      <c r="C1266"/>
      <c r="D1266"/>
      <c r="E1266" s="42"/>
      <c r="F1266" s="42"/>
      <c r="G1266"/>
    </row>
    <row r="1267" spans="1:7" ht="15">
      <c r="A1267"/>
      <c r="B1267"/>
      <c r="C1267"/>
      <c r="D1267"/>
      <c r="E1267" s="42"/>
      <c r="F1267" s="42"/>
      <c r="G1267"/>
    </row>
    <row r="1268" spans="1:7" ht="15">
      <c r="A1268"/>
      <c r="B1268"/>
      <c r="C1268"/>
      <c r="D1268"/>
      <c r="E1268" s="42"/>
      <c r="F1268" s="42"/>
      <c r="G1268"/>
    </row>
    <row r="1269" spans="1:7" ht="15">
      <c r="A1269"/>
      <c r="B1269"/>
      <c r="C1269"/>
      <c r="D1269"/>
      <c r="E1269" s="42"/>
      <c r="F1269" s="42"/>
      <c r="G1269"/>
    </row>
    <row r="1270" spans="1:7" ht="15">
      <c r="A1270"/>
      <c r="B1270"/>
      <c r="C1270"/>
      <c r="D1270"/>
      <c r="E1270" s="42"/>
      <c r="F1270" s="42"/>
      <c r="G1270"/>
    </row>
    <row r="1271" spans="1:7" ht="15">
      <c r="A1271"/>
      <c r="B1271"/>
      <c r="C1271"/>
      <c r="D1271"/>
      <c r="E1271" s="42"/>
      <c r="F1271" s="42"/>
      <c r="G1271"/>
    </row>
    <row r="1272" spans="1:7" ht="15">
      <c r="A1272"/>
      <c r="B1272"/>
      <c r="C1272"/>
      <c r="D1272"/>
      <c r="E1272" s="42"/>
      <c r="F1272" s="42"/>
      <c r="G1272"/>
    </row>
    <row r="1273" spans="1:7" ht="15">
      <c r="A1273"/>
      <c r="B1273"/>
      <c r="C1273"/>
      <c r="D1273"/>
      <c r="E1273" s="42"/>
      <c r="F1273" s="42"/>
      <c r="G1273"/>
    </row>
    <row r="1274" spans="1:7" ht="15">
      <c r="A1274"/>
      <c r="B1274"/>
      <c r="C1274"/>
      <c r="D1274"/>
      <c r="E1274" s="42"/>
      <c r="F1274" s="42"/>
      <c r="G1274"/>
    </row>
    <row r="1275" spans="1:7" ht="15">
      <c r="A1275"/>
      <c r="B1275"/>
      <c r="C1275"/>
      <c r="D1275"/>
      <c r="E1275" s="42"/>
      <c r="F1275" s="42"/>
      <c r="G1275"/>
    </row>
    <row r="1276" spans="1:7" ht="15">
      <c r="A1276"/>
      <c r="B1276"/>
      <c r="C1276"/>
      <c r="D1276"/>
      <c r="E1276" s="42"/>
      <c r="F1276" s="42"/>
      <c r="G1276"/>
    </row>
    <row r="1277" spans="1:7" ht="15">
      <c r="A1277"/>
      <c r="B1277"/>
      <c r="C1277"/>
      <c r="D1277"/>
      <c r="E1277" s="42"/>
      <c r="F1277" s="42"/>
      <c r="G1277"/>
    </row>
    <row r="1278" spans="1:7" ht="15">
      <c r="A1278"/>
      <c r="B1278"/>
      <c r="C1278"/>
      <c r="D1278"/>
      <c r="E1278" s="42"/>
      <c r="F1278" s="42"/>
      <c r="G1278"/>
    </row>
    <row r="1279" spans="1:7" ht="15">
      <c r="A1279"/>
      <c r="B1279"/>
      <c r="C1279"/>
      <c r="D1279"/>
      <c r="E1279" s="42"/>
      <c r="F1279" s="42"/>
      <c r="G1279"/>
    </row>
    <row r="1280" spans="1:7" ht="15">
      <c r="A1280"/>
      <c r="B1280"/>
      <c r="C1280"/>
      <c r="D1280"/>
      <c r="E1280" s="42"/>
      <c r="F1280" s="42"/>
      <c r="G1280"/>
    </row>
    <row r="1281" spans="1:7" ht="15">
      <c r="A1281"/>
      <c r="B1281"/>
      <c r="C1281"/>
      <c r="D1281"/>
      <c r="E1281" s="42"/>
      <c r="F1281" s="42"/>
      <c r="G1281"/>
    </row>
    <row r="1282" spans="1:7" ht="15">
      <c r="A1282"/>
      <c r="B1282"/>
      <c r="C1282"/>
      <c r="D1282"/>
      <c r="E1282" s="42"/>
      <c r="F1282" s="42"/>
      <c r="G1282"/>
    </row>
    <row r="1283" spans="1:7" ht="15">
      <c r="A1283"/>
      <c r="B1283"/>
      <c r="C1283"/>
      <c r="D1283"/>
      <c r="E1283" s="42"/>
      <c r="F1283" s="42"/>
      <c r="G1283"/>
    </row>
    <row r="1284" spans="1:7" ht="15">
      <c r="A1284"/>
      <c r="B1284"/>
      <c r="C1284"/>
      <c r="D1284"/>
      <c r="E1284" s="42"/>
      <c r="F1284" s="42"/>
      <c r="G1284"/>
    </row>
    <row r="1285" spans="1:7" ht="15">
      <c r="A1285"/>
      <c r="B1285"/>
      <c r="C1285"/>
      <c r="D1285"/>
      <c r="E1285" s="42"/>
      <c r="F1285" s="42"/>
      <c r="G1285"/>
    </row>
    <row r="1286" spans="1:7" ht="15">
      <c r="A1286"/>
      <c r="B1286"/>
      <c r="C1286"/>
      <c r="D1286"/>
      <c r="E1286" s="42"/>
      <c r="F1286" s="42"/>
      <c r="G1286"/>
    </row>
    <row r="1287" spans="1:7" ht="15">
      <c r="A1287"/>
      <c r="B1287"/>
      <c r="C1287"/>
      <c r="D1287"/>
      <c r="E1287" s="42"/>
      <c r="F1287" s="42"/>
      <c r="G1287"/>
    </row>
    <row r="1288" spans="1:7" ht="15">
      <c r="A1288"/>
      <c r="B1288"/>
      <c r="C1288"/>
      <c r="D1288"/>
      <c r="E1288" s="42"/>
      <c r="F1288" s="42"/>
      <c r="G1288"/>
    </row>
    <row r="1289" spans="1:7" ht="15">
      <c r="A1289"/>
      <c r="B1289"/>
      <c r="C1289"/>
      <c r="D1289"/>
      <c r="E1289" s="42"/>
      <c r="F1289" s="42"/>
      <c r="G1289"/>
    </row>
    <row r="1290" spans="1:7" ht="15">
      <c r="A1290"/>
      <c r="B1290"/>
      <c r="C1290"/>
      <c r="D1290"/>
      <c r="E1290" s="42"/>
      <c r="F1290" s="42"/>
      <c r="G1290"/>
    </row>
    <row r="1291" spans="1:7" ht="15">
      <c r="A1291"/>
      <c r="B1291"/>
      <c r="C1291"/>
      <c r="D1291"/>
      <c r="E1291" s="42"/>
      <c r="F1291" s="42"/>
      <c r="G1291"/>
    </row>
    <row r="1292" spans="1:7" ht="15">
      <c r="A1292"/>
      <c r="B1292"/>
      <c r="C1292"/>
      <c r="D1292"/>
      <c r="E1292" s="42"/>
      <c r="F1292" s="42"/>
      <c r="G1292"/>
    </row>
    <row r="1293" spans="1:7" ht="15">
      <c r="A1293"/>
      <c r="B1293"/>
      <c r="C1293"/>
      <c r="D1293"/>
      <c r="E1293" s="42"/>
      <c r="F1293" s="42"/>
      <c r="G1293"/>
    </row>
    <row r="1294" spans="1:7" ht="15">
      <c r="A1294"/>
      <c r="B1294"/>
      <c r="C1294"/>
      <c r="D1294"/>
      <c r="E1294" s="42"/>
      <c r="F1294" s="42"/>
      <c r="G1294"/>
    </row>
    <row r="1295" spans="1:7" ht="15">
      <c r="A1295"/>
      <c r="B1295"/>
      <c r="C1295"/>
      <c r="D1295"/>
      <c r="E1295" s="42"/>
      <c r="F1295" s="42"/>
      <c r="G1295"/>
    </row>
    <row r="1296" spans="1:7" ht="15">
      <c r="A1296"/>
      <c r="B1296"/>
      <c r="C1296"/>
      <c r="D1296"/>
      <c r="E1296" s="42"/>
      <c r="F1296" s="42"/>
      <c r="G1296"/>
    </row>
    <row r="1297" spans="1:7" ht="15">
      <c r="A1297"/>
      <c r="B1297"/>
      <c r="C1297"/>
      <c r="D1297"/>
      <c r="E1297" s="42"/>
      <c r="F1297" s="42"/>
      <c r="G1297"/>
    </row>
    <row r="1298" spans="1:7" ht="15">
      <c r="A1298"/>
      <c r="B1298"/>
      <c r="C1298"/>
      <c r="D1298"/>
      <c r="E1298" s="42"/>
      <c r="F1298" s="42"/>
      <c r="G1298"/>
    </row>
    <row r="1299" spans="1:7" ht="15">
      <c r="A1299"/>
      <c r="B1299"/>
      <c r="C1299"/>
      <c r="D1299"/>
      <c r="E1299" s="42"/>
      <c r="F1299" s="42"/>
      <c r="G1299"/>
    </row>
    <row r="1300" spans="1:7" ht="15">
      <c r="A1300"/>
      <c r="B1300"/>
      <c r="C1300"/>
      <c r="D1300"/>
      <c r="E1300" s="42"/>
      <c r="F1300" s="42"/>
      <c r="G1300"/>
    </row>
    <row r="1301" spans="1:7" ht="15">
      <c r="A1301"/>
      <c r="B1301"/>
      <c r="C1301"/>
      <c r="D1301"/>
      <c r="E1301" s="42"/>
      <c r="F1301" s="42"/>
      <c r="G1301"/>
    </row>
    <row r="1302" spans="1:7" ht="15">
      <c r="A1302"/>
      <c r="B1302"/>
      <c r="C1302"/>
      <c r="D1302"/>
      <c r="E1302" s="42"/>
      <c r="F1302" s="42"/>
      <c r="G1302"/>
    </row>
    <row r="1303" spans="1:7" ht="15">
      <c r="A1303"/>
      <c r="B1303"/>
      <c r="C1303"/>
      <c r="D1303"/>
      <c r="E1303" s="42"/>
      <c r="F1303" s="42"/>
      <c r="G1303"/>
    </row>
    <row r="1304" spans="1:7" ht="15">
      <c r="A1304"/>
      <c r="B1304"/>
      <c r="C1304"/>
      <c r="D1304"/>
      <c r="E1304" s="42"/>
      <c r="F1304" s="42"/>
      <c r="G1304"/>
    </row>
    <row r="1305" spans="1:7" ht="15">
      <c r="A1305"/>
      <c r="B1305"/>
      <c r="C1305"/>
      <c r="D1305"/>
      <c r="E1305" s="42"/>
      <c r="F1305" s="42"/>
      <c r="G1305"/>
    </row>
    <row r="1306" spans="1:7" ht="15">
      <c r="A1306"/>
      <c r="B1306"/>
      <c r="C1306"/>
      <c r="D1306"/>
      <c r="E1306" s="42"/>
      <c r="F1306" s="42"/>
      <c r="G1306"/>
    </row>
    <row r="1307" spans="1:7" ht="15">
      <c r="A1307"/>
      <c r="B1307"/>
      <c r="C1307"/>
      <c r="D1307"/>
      <c r="E1307" s="42"/>
      <c r="F1307" s="42"/>
      <c r="G1307"/>
    </row>
    <row r="1308" spans="1:7" ht="15">
      <c r="A1308"/>
      <c r="B1308"/>
      <c r="C1308"/>
      <c r="D1308"/>
      <c r="E1308" s="42"/>
      <c r="F1308" s="42"/>
      <c r="G1308"/>
    </row>
    <row r="1309" spans="1:7" ht="15">
      <c r="A1309"/>
      <c r="B1309"/>
      <c r="C1309"/>
      <c r="D1309"/>
      <c r="E1309" s="42"/>
      <c r="F1309" s="42"/>
      <c r="G1309"/>
    </row>
    <row r="1310" spans="1:7" ht="15">
      <c r="A1310"/>
      <c r="B1310"/>
      <c r="C1310"/>
      <c r="D1310"/>
      <c r="E1310" s="42"/>
      <c r="F1310" s="42"/>
      <c r="G1310"/>
    </row>
    <row r="1311" spans="1:7" ht="15">
      <c r="A1311"/>
      <c r="B1311"/>
      <c r="C1311"/>
      <c r="D1311"/>
      <c r="E1311" s="42"/>
      <c r="F1311" s="42"/>
      <c r="G1311"/>
    </row>
    <row r="1312" spans="1:7" ht="15">
      <c r="A1312"/>
      <c r="B1312"/>
      <c r="C1312"/>
      <c r="D1312"/>
      <c r="E1312" s="42"/>
      <c r="F1312" s="42"/>
      <c r="G1312"/>
    </row>
    <row r="1313" spans="1:7" ht="15">
      <c r="A1313"/>
      <c r="B1313"/>
      <c r="C1313"/>
      <c r="D1313"/>
      <c r="E1313" s="42"/>
      <c r="F1313" s="42"/>
      <c r="G1313"/>
    </row>
    <row r="1314" spans="1:7" ht="15">
      <c r="A1314"/>
      <c r="B1314"/>
      <c r="C1314"/>
      <c r="D1314"/>
      <c r="E1314" s="42"/>
      <c r="F1314" s="42"/>
      <c r="G1314"/>
    </row>
    <row r="1315" spans="1:7" ht="15">
      <c r="A1315"/>
      <c r="B1315"/>
      <c r="C1315"/>
      <c r="D1315"/>
      <c r="E1315" s="42"/>
      <c r="F1315" s="42"/>
      <c r="G1315"/>
    </row>
    <row r="1316" spans="1:7" ht="15">
      <c r="A1316"/>
      <c r="B1316"/>
      <c r="C1316"/>
      <c r="D1316"/>
      <c r="E1316" s="42"/>
      <c r="F1316" s="42"/>
      <c r="G1316"/>
    </row>
    <row r="1317" spans="1:7" ht="15">
      <c r="A1317"/>
      <c r="B1317"/>
      <c r="C1317"/>
      <c r="D1317"/>
      <c r="E1317" s="42"/>
      <c r="F1317" s="42"/>
      <c r="G1317"/>
    </row>
    <row r="1318" spans="1:7" ht="15">
      <c r="A1318"/>
      <c r="B1318"/>
      <c r="C1318"/>
      <c r="D1318"/>
      <c r="E1318" s="42"/>
      <c r="F1318" s="42"/>
      <c r="G1318"/>
    </row>
    <row r="1319" spans="1:7" ht="15">
      <c r="A1319"/>
      <c r="B1319"/>
      <c r="C1319"/>
      <c r="D1319"/>
      <c r="E1319" s="42"/>
      <c r="F1319" s="42"/>
      <c r="G1319"/>
    </row>
    <row r="1320" spans="1:7" ht="15">
      <c r="A1320"/>
      <c r="B1320"/>
      <c r="C1320"/>
      <c r="D1320"/>
      <c r="E1320" s="42"/>
      <c r="F1320" s="42"/>
      <c r="G1320"/>
    </row>
    <row r="1321" spans="1:7" ht="15">
      <c r="A1321"/>
      <c r="B1321"/>
      <c r="C1321"/>
      <c r="D1321"/>
      <c r="E1321" s="42"/>
      <c r="F1321" s="42"/>
      <c r="G1321"/>
    </row>
    <row r="1322" spans="1:7" ht="15">
      <c r="A1322"/>
      <c r="B1322"/>
      <c r="C1322"/>
      <c r="D1322"/>
      <c r="E1322" s="42"/>
      <c r="F1322" s="42"/>
      <c r="G1322"/>
    </row>
    <row r="1323" spans="1:7" ht="15">
      <c r="A1323"/>
      <c r="B1323"/>
      <c r="C1323"/>
      <c r="D1323"/>
      <c r="E1323" s="42"/>
      <c r="F1323" s="42"/>
      <c r="G1323"/>
    </row>
    <row r="1324" spans="1:7" ht="15">
      <c r="A1324"/>
      <c r="B1324"/>
      <c r="C1324"/>
      <c r="D1324"/>
      <c r="E1324" s="42"/>
      <c r="F1324" s="42"/>
      <c r="G1324"/>
    </row>
    <row r="1325" spans="1:7" ht="15">
      <c r="A1325"/>
      <c r="B1325"/>
      <c r="C1325"/>
      <c r="D1325"/>
      <c r="E1325" s="42"/>
      <c r="F1325" s="42"/>
      <c r="G1325"/>
    </row>
    <row r="1326" spans="1:7" ht="15">
      <c r="A1326"/>
      <c r="B1326"/>
      <c r="C1326"/>
      <c r="D1326"/>
      <c r="E1326" s="42"/>
      <c r="F1326" s="42"/>
      <c r="G1326"/>
    </row>
    <row r="1327" spans="1:7" ht="15">
      <c r="A1327"/>
      <c r="B1327"/>
      <c r="C1327"/>
      <c r="D1327"/>
      <c r="E1327" s="42"/>
      <c r="F1327" s="42"/>
      <c r="G1327"/>
    </row>
    <row r="1328" spans="1:7" ht="15">
      <c r="A1328"/>
      <c r="B1328"/>
      <c r="C1328"/>
      <c r="D1328"/>
      <c r="E1328" s="42"/>
      <c r="F1328" s="42"/>
      <c r="G1328"/>
    </row>
    <row r="1329" spans="1:7" ht="15">
      <c r="A1329"/>
      <c r="B1329"/>
      <c r="C1329"/>
      <c r="D1329"/>
      <c r="E1329" s="42"/>
      <c r="F1329" s="42"/>
      <c r="G1329"/>
    </row>
    <row r="1330" spans="1:7" ht="15">
      <c r="A1330"/>
      <c r="B1330"/>
      <c r="C1330"/>
      <c r="D1330"/>
      <c r="E1330" s="42"/>
      <c r="F1330" s="42"/>
      <c r="G1330"/>
    </row>
    <row r="1331" spans="1:7" ht="15">
      <c r="A1331"/>
      <c r="B1331"/>
      <c r="C1331"/>
      <c r="D1331"/>
      <c r="E1331" s="42"/>
      <c r="F1331" s="42"/>
      <c r="G1331"/>
    </row>
    <row r="1332" spans="1:7" ht="15">
      <c r="A1332"/>
      <c r="B1332"/>
      <c r="C1332"/>
      <c r="D1332"/>
      <c r="E1332" s="42"/>
      <c r="F1332" s="42"/>
      <c r="G1332"/>
    </row>
    <row r="1333" spans="1:7" ht="15">
      <c r="A1333"/>
      <c r="B1333"/>
      <c r="C1333"/>
      <c r="D1333"/>
      <c r="E1333" s="42"/>
      <c r="F1333" s="42"/>
      <c r="G1333"/>
    </row>
    <row r="1334" spans="1:7" ht="15">
      <c r="A1334"/>
      <c r="B1334"/>
      <c r="C1334"/>
      <c r="D1334"/>
      <c r="E1334" s="42"/>
      <c r="F1334" s="42"/>
      <c r="G1334"/>
    </row>
    <row r="1335" spans="1:7" ht="15">
      <c r="A1335"/>
      <c r="B1335"/>
      <c r="C1335"/>
      <c r="D1335"/>
      <c r="E1335" s="42"/>
      <c r="F1335" s="42"/>
      <c r="G1335"/>
    </row>
    <row r="1336" spans="1:7" ht="15">
      <c r="A1336"/>
      <c r="B1336"/>
      <c r="C1336"/>
      <c r="D1336"/>
      <c r="E1336" s="42"/>
      <c r="F1336" s="42"/>
      <c r="G1336"/>
    </row>
    <row r="1337" spans="1:7" ht="15">
      <c r="A1337"/>
      <c r="B1337"/>
      <c r="C1337"/>
      <c r="D1337"/>
      <c r="E1337" s="42"/>
      <c r="F1337" s="42"/>
      <c r="G1337"/>
    </row>
    <row r="1338" spans="1:7" ht="15">
      <c r="A1338"/>
      <c r="B1338"/>
      <c r="C1338"/>
      <c r="D1338"/>
      <c r="E1338" s="42"/>
      <c r="F1338" s="42"/>
      <c r="G1338"/>
    </row>
    <row r="1339" spans="1:7" ht="15">
      <c r="A1339"/>
      <c r="B1339"/>
      <c r="C1339"/>
      <c r="D1339"/>
      <c r="E1339" s="42"/>
      <c r="F1339" s="42"/>
      <c r="G1339"/>
    </row>
    <row r="1340" spans="1:7" ht="15">
      <c r="A1340"/>
      <c r="B1340"/>
      <c r="C1340"/>
      <c r="D1340"/>
      <c r="E1340" s="42"/>
      <c r="F1340" s="42"/>
      <c r="G1340"/>
    </row>
    <row r="1341" spans="1:7" ht="15">
      <c r="A1341"/>
      <c r="B1341"/>
      <c r="C1341"/>
      <c r="D1341"/>
      <c r="E1341" s="42"/>
      <c r="F1341" s="42"/>
      <c r="G1341"/>
    </row>
    <row r="1342" spans="1:7" ht="15">
      <c r="A1342"/>
      <c r="B1342"/>
      <c r="C1342"/>
      <c r="D1342"/>
      <c r="E1342" s="42"/>
      <c r="F1342" s="42"/>
      <c r="G1342"/>
    </row>
    <row r="1343" spans="1:7" ht="15">
      <c r="A1343"/>
      <c r="B1343"/>
      <c r="C1343"/>
      <c r="D1343"/>
      <c r="E1343" s="42"/>
      <c r="F1343" s="42"/>
      <c r="G1343"/>
    </row>
    <row r="1344" spans="1:7" ht="15">
      <c r="A1344"/>
      <c r="B1344"/>
      <c r="C1344"/>
      <c r="D1344"/>
      <c r="E1344" s="42"/>
      <c r="F1344" s="42"/>
      <c r="G1344"/>
    </row>
    <row r="1345" spans="1:7" ht="15">
      <c r="A1345"/>
      <c r="B1345"/>
      <c r="C1345"/>
      <c r="D1345"/>
      <c r="E1345" s="42"/>
      <c r="F1345" s="42"/>
      <c r="G1345"/>
    </row>
    <row r="1346" spans="1:7" ht="15">
      <c r="A1346"/>
      <c r="B1346"/>
      <c r="C1346"/>
      <c r="D1346"/>
      <c r="E1346" s="42"/>
      <c r="F1346" s="42"/>
      <c r="G1346"/>
    </row>
    <row r="1347" spans="1:7" ht="15">
      <c r="A1347"/>
      <c r="B1347"/>
      <c r="C1347"/>
      <c r="D1347"/>
      <c r="E1347" s="42"/>
      <c r="F1347" s="42"/>
      <c r="G1347"/>
    </row>
    <row r="1348" spans="1:7" ht="15">
      <c r="A1348"/>
      <c r="B1348"/>
      <c r="C1348"/>
      <c r="D1348"/>
      <c r="E1348" s="42"/>
      <c r="F1348" s="42"/>
      <c r="G1348"/>
    </row>
    <row r="1349" spans="1:7" ht="15">
      <c r="A1349"/>
      <c r="B1349"/>
      <c r="C1349"/>
      <c r="D1349"/>
      <c r="E1349" s="42"/>
      <c r="F1349" s="42"/>
      <c r="G1349"/>
    </row>
    <row r="1350" spans="1:7" ht="15">
      <c r="A1350"/>
      <c r="B1350"/>
      <c r="C1350"/>
      <c r="D1350"/>
      <c r="E1350" s="42"/>
      <c r="F1350" s="42"/>
      <c r="G1350"/>
    </row>
    <row r="1351" spans="1:7" ht="15">
      <c r="A1351"/>
      <c r="B1351"/>
      <c r="C1351"/>
      <c r="D1351"/>
      <c r="E1351" s="42"/>
      <c r="F1351" s="42"/>
      <c r="G1351"/>
    </row>
    <row r="1352" spans="1:7" ht="15">
      <c r="A1352"/>
      <c r="B1352"/>
      <c r="C1352"/>
      <c r="D1352"/>
      <c r="E1352" s="42"/>
      <c r="F1352" s="42"/>
      <c r="G1352"/>
    </row>
    <row r="1353" spans="1:7" ht="15">
      <c r="A1353"/>
      <c r="B1353"/>
      <c r="C1353"/>
      <c r="D1353"/>
      <c r="E1353" s="42"/>
      <c r="F1353" s="42"/>
      <c r="G1353"/>
    </row>
    <row r="1354" spans="1:7" ht="15">
      <c r="A1354"/>
      <c r="B1354"/>
      <c r="C1354"/>
      <c r="D1354"/>
      <c r="E1354" s="42"/>
      <c r="F1354" s="42"/>
      <c r="G1354"/>
    </row>
    <row r="1355" spans="1:7" ht="15">
      <c r="A1355"/>
      <c r="B1355"/>
      <c r="C1355"/>
      <c r="D1355"/>
      <c r="E1355" s="42"/>
      <c r="F1355" s="42"/>
      <c r="G1355"/>
    </row>
    <row r="1356" spans="1:7" ht="15">
      <c r="A1356"/>
      <c r="B1356"/>
      <c r="C1356"/>
      <c r="D1356"/>
      <c r="E1356" s="42"/>
      <c r="F1356" s="42"/>
      <c r="G1356"/>
    </row>
    <row r="1357" spans="1:7" ht="15">
      <c r="A1357"/>
      <c r="B1357"/>
      <c r="C1357"/>
      <c r="D1357"/>
      <c r="E1357" s="42"/>
      <c r="F1357" s="42"/>
      <c r="G1357"/>
    </row>
    <row r="1358" spans="1:7" ht="15">
      <c r="A1358"/>
      <c r="B1358"/>
      <c r="C1358"/>
      <c r="D1358"/>
      <c r="E1358" s="42"/>
      <c r="F1358" s="42"/>
      <c r="G1358"/>
    </row>
    <row r="1359" spans="1:7" ht="15">
      <c r="A1359"/>
      <c r="B1359"/>
      <c r="C1359"/>
      <c r="D1359"/>
      <c r="E1359" s="42"/>
      <c r="F1359" s="42"/>
      <c r="G1359"/>
    </row>
    <row r="1360" spans="1:7" ht="15">
      <c r="A1360"/>
      <c r="B1360"/>
      <c r="C1360"/>
      <c r="D1360"/>
      <c r="E1360" s="42"/>
      <c r="F1360" s="42"/>
      <c r="G1360"/>
    </row>
    <row r="1361" spans="1:7" ht="15">
      <c r="A1361"/>
      <c r="B1361"/>
      <c r="C1361"/>
      <c r="D1361"/>
      <c r="E1361" s="42"/>
      <c r="F1361" s="42"/>
      <c r="G1361"/>
    </row>
    <row r="1362" spans="1:7" ht="15">
      <c r="A1362"/>
      <c r="B1362"/>
      <c r="C1362"/>
      <c r="D1362"/>
      <c r="E1362" s="42"/>
      <c r="F1362" s="42"/>
      <c r="G1362"/>
    </row>
    <row r="1363" spans="1:7" ht="15">
      <c r="A1363"/>
      <c r="B1363"/>
      <c r="C1363"/>
      <c r="D1363"/>
      <c r="E1363" s="42"/>
      <c r="F1363" s="42"/>
      <c r="G1363"/>
    </row>
    <row r="1364" spans="1:7" ht="15">
      <c r="A1364"/>
      <c r="B1364"/>
      <c r="C1364"/>
      <c r="D1364"/>
      <c r="E1364" s="42"/>
      <c r="F1364" s="42"/>
      <c r="G1364"/>
    </row>
    <row r="1365" spans="1:7" ht="15">
      <c r="A1365"/>
      <c r="B1365"/>
      <c r="C1365"/>
      <c r="D1365"/>
      <c r="E1365" s="42"/>
      <c r="F1365" s="42"/>
      <c r="G1365"/>
    </row>
    <row r="1366" spans="1:7" ht="15">
      <c r="A1366"/>
      <c r="B1366"/>
      <c r="C1366"/>
      <c r="D1366"/>
      <c r="E1366" s="42"/>
      <c r="F1366" s="42"/>
      <c r="G1366"/>
    </row>
    <row r="1367" spans="1:7" ht="15">
      <c r="A1367"/>
      <c r="B1367"/>
      <c r="C1367"/>
      <c r="D1367"/>
      <c r="E1367" s="42"/>
      <c r="F1367" s="42"/>
      <c r="G1367"/>
    </row>
    <row r="1368" spans="1:7" ht="15">
      <c r="A1368"/>
      <c r="B1368"/>
      <c r="C1368"/>
      <c r="D1368"/>
      <c r="E1368" s="42"/>
      <c r="F1368" s="42"/>
      <c r="G1368"/>
    </row>
    <row r="1369" spans="1:7" ht="15">
      <c r="A1369"/>
      <c r="B1369"/>
      <c r="C1369"/>
      <c r="D1369"/>
      <c r="E1369" s="42"/>
      <c r="F1369" s="42"/>
      <c r="G1369"/>
    </row>
    <row r="1370" spans="1:7" ht="15">
      <c r="A1370"/>
      <c r="B1370"/>
      <c r="C1370"/>
      <c r="D1370"/>
      <c r="E1370" s="42"/>
      <c r="F1370" s="42"/>
      <c r="G1370"/>
    </row>
    <row r="1371" spans="1:7" ht="15">
      <c r="A1371"/>
      <c r="B1371"/>
      <c r="C1371"/>
      <c r="D1371"/>
      <c r="E1371" s="42"/>
      <c r="F1371" s="42"/>
      <c r="G1371"/>
    </row>
    <row r="1372" spans="1:7" ht="15">
      <c r="A1372"/>
      <c r="B1372"/>
      <c r="C1372"/>
      <c r="D1372"/>
      <c r="E1372" s="42"/>
      <c r="F1372" s="42"/>
      <c r="G1372"/>
    </row>
    <row r="1373" spans="1:7" ht="15">
      <c r="A1373"/>
      <c r="B1373"/>
      <c r="C1373"/>
      <c r="D1373"/>
      <c r="E1373" s="42"/>
      <c r="F1373" s="42"/>
      <c r="G1373"/>
    </row>
    <row r="1374" spans="1:7" ht="15">
      <c r="A1374"/>
      <c r="B1374"/>
      <c r="C1374"/>
      <c r="D1374"/>
      <c r="E1374" s="42"/>
      <c r="F1374" s="42"/>
      <c r="G1374"/>
    </row>
    <row r="1375" spans="1:7" ht="15">
      <c r="A1375"/>
      <c r="B1375"/>
      <c r="C1375"/>
      <c r="D1375"/>
      <c r="E1375" s="42"/>
      <c r="F1375" s="42"/>
      <c r="G1375"/>
    </row>
    <row r="1376" spans="1:7" ht="15">
      <c r="A1376"/>
      <c r="B1376"/>
      <c r="C1376"/>
      <c r="D1376"/>
      <c r="E1376" s="42"/>
      <c r="F1376" s="42"/>
      <c r="G1376"/>
    </row>
    <row r="1377" spans="1:7" ht="15">
      <c r="A1377"/>
      <c r="B1377"/>
      <c r="C1377"/>
      <c r="D1377"/>
      <c r="E1377" s="42"/>
      <c r="F1377" s="42"/>
      <c r="G1377"/>
    </row>
    <row r="1378" spans="1:7" ht="15">
      <c r="A1378"/>
      <c r="B1378"/>
      <c r="C1378"/>
      <c r="D1378"/>
      <c r="E1378" s="42"/>
      <c r="F1378" s="42"/>
      <c r="G1378"/>
    </row>
    <row r="1379" spans="1:7" ht="15">
      <c r="A1379"/>
      <c r="B1379"/>
      <c r="C1379"/>
      <c r="D1379"/>
      <c r="E1379" s="42"/>
      <c r="F1379" s="42"/>
      <c r="G1379"/>
    </row>
    <row r="1380" spans="1:7" ht="15">
      <c r="A1380"/>
      <c r="B1380"/>
      <c r="C1380"/>
      <c r="D1380"/>
      <c r="E1380" s="42"/>
      <c r="F1380" s="42"/>
      <c r="G1380"/>
    </row>
    <row r="1381" spans="1:7" ht="15">
      <c r="A1381"/>
      <c r="B1381"/>
      <c r="C1381"/>
      <c r="D1381"/>
      <c r="E1381" s="42"/>
      <c r="F1381" s="42"/>
      <c r="G1381"/>
    </row>
    <row r="1382" spans="1:7" ht="15">
      <c r="A1382"/>
      <c r="B1382"/>
      <c r="C1382"/>
      <c r="D1382"/>
      <c r="E1382" s="42"/>
      <c r="F1382" s="42"/>
      <c r="G1382"/>
    </row>
    <row r="1383" spans="1:7" ht="15">
      <c r="A1383"/>
      <c r="B1383"/>
      <c r="C1383"/>
      <c r="D1383"/>
      <c r="E1383" s="42"/>
      <c r="F1383" s="42"/>
      <c r="G1383"/>
    </row>
    <row r="1384" spans="1:7" ht="15">
      <c r="A1384"/>
      <c r="B1384"/>
      <c r="C1384"/>
      <c r="D1384"/>
      <c r="E1384" s="42"/>
      <c r="F1384" s="42"/>
      <c r="G1384"/>
    </row>
    <row r="1385" spans="1:7" ht="15">
      <c r="A1385"/>
      <c r="B1385"/>
      <c r="C1385"/>
      <c r="D1385"/>
      <c r="E1385" s="42"/>
      <c r="F1385" s="42"/>
      <c r="G1385"/>
    </row>
    <row r="1386" spans="1:7" ht="15">
      <c r="A1386"/>
      <c r="B1386"/>
      <c r="C1386"/>
      <c r="D1386"/>
      <c r="E1386" s="42"/>
      <c r="F1386" s="42"/>
      <c r="G1386"/>
    </row>
    <row r="1387" spans="1:7" ht="15">
      <c r="A1387"/>
      <c r="B1387"/>
      <c r="C1387"/>
      <c r="D1387"/>
      <c r="E1387" s="42"/>
      <c r="F1387" s="42"/>
      <c r="G1387"/>
    </row>
    <row r="1388" spans="1:7" ht="15">
      <c r="A1388"/>
      <c r="B1388"/>
      <c r="C1388"/>
      <c r="D1388"/>
      <c r="E1388" s="42"/>
      <c r="F1388" s="42"/>
      <c r="G1388"/>
    </row>
    <row r="1389" spans="1:7" ht="15">
      <c r="A1389"/>
      <c r="B1389"/>
      <c r="C1389"/>
      <c r="D1389"/>
      <c r="E1389" s="42"/>
      <c r="F1389" s="42"/>
      <c r="G1389"/>
    </row>
    <row r="1390" spans="1:7" ht="15">
      <c r="A1390"/>
      <c r="B1390"/>
      <c r="C1390"/>
      <c r="D1390"/>
      <c r="E1390" s="42"/>
      <c r="F1390" s="42"/>
      <c r="G1390"/>
    </row>
    <row r="1391" spans="1:7" ht="15">
      <c r="A1391"/>
      <c r="B1391"/>
      <c r="C1391"/>
      <c r="D1391"/>
      <c r="E1391" s="42"/>
      <c r="F1391" s="42"/>
      <c r="G1391"/>
    </row>
    <row r="1392" spans="1:7" ht="15">
      <c r="A1392"/>
      <c r="B1392"/>
      <c r="C1392"/>
      <c r="D1392"/>
      <c r="E1392" s="42"/>
      <c r="F1392" s="42"/>
      <c r="G1392"/>
    </row>
    <row r="1393" spans="1:7" ht="15">
      <c r="A1393"/>
      <c r="B1393"/>
      <c r="C1393"/>
      <c r="D1393"/>
      <c r="E1393" s="42"/>
      <c r="F1393" s="42"/>
      <c r="G1393"/>
    </row>
    <row r="1394" spans="1:7" ht="15">
      <c r="A1394"/>
      <c r="B1394"/>
      <c r="C1394"/>
      <c r="D1394"/>
      <c r="E1394" s="42"/>
      <c r="F1394" s="42"/>
      <c r="G1394"/>
    </row>
    <row r="1395" spans="1:7" ht="15">
      <c r="A1395"/>
      <c r="B1395"/>
      <c r="C1395"/>
      <c r="D1395"/>
      <c r="E1395" s="42"/>
      <c r="F1395" s="42"/>
      <c r="G1395"/>
    </row>
    <row r="1396" spans="1:7" ht="15">
      <c r="A1396"/>
      <c r="B1396"/>
      <c r="C1396"/>
      <c r="D1396"/>
      <c r="E1396" s="42"/>
      <c r="F1396" s="42"/>
      <c r="G1396"/>
    </row>
    <row r="1397" spans="1:7" ht="15">
      <c r="A1397"/>
      <c r="B1397"/>
      <c r="C1397"/>
      <c r="D1397"/>
      <c r="E1397" s="42"/>
      <c r="F1397" s="42"/>
      <c r="G1397"/>
    </row>
    <row r="1398" spans="1:7" ht="15">
      <c r="A1398"/>
      <c r="B1398"/>
      <c r="C1398"/>
      <c r="D1398"/>
      <c r="E1398" s="42"/>
      <c r="F1398" s="42"/>
      <c r="G1398"/>
    </row>
    <row r="1399" spans="1:7" ht="15">
      <c r="A1399"/>
      <c r="B1399"/>
      <c r="C1399"/>
      <c r="D1399"/>
      <c r="E1399" s="42"/>
      <c r="F1399" s="42"/>
      <c r="G1399"/>
    </row>
    <row r="1400" spans="1:7" ht="15">
      <c r="A1400"/>
      <c r="B1400"/>
      <c r="C1400"/>
      <c r="D1400"/>
      <c r="E1400" s="42"/>
      <c r="F1400" s="42"/>
      <c r="G1400"/>
    </row>
    <row r="1401" spans="1:7" ht="15">
      <c r="A1401"/>
      <c r="B1401"/>
      <c r="C1401"/>
      <c r="D1401"/>
      <c r="E1401" s="42"/>
      <c r="F1401" s="42"/>
      <c r="G1401"/>
    </row>
    <row r="1402" spans="1:7" ht="15">
      <c r="A1402"/>
      <c r="B1402"/>
      <c r="C1402"/>
      <c r="D1402"/>
      <c r="E1402" s="42"/>
      <c r="F1402" s="42"/>
      <c r="G1402"/>
    </row>
    <row r="1403" spans="1:7" ht="15">
      <c r="A1403"/>
      <c r="B1403"/>
      <c r="C1403"/>
      <c r="D1403"/>
      <c r="E1403" s="42"/>
      <c r="F1403" s="42"/>
      <c r="G1403"/>
    </row>
    <row r="1404" spans="1:7" ht="15">
      <c r="A1404"/>
      <c r="B1404"/>
      <c r="C1404"/>
      <c r="D1404"/>
      <c r="E1404" s="42"/>
      <c r="F1404" s="42"/>
      <c r="G1404"/>
    </row>
    <row r="1405" spans="1:7" ht="15">
      <c r="A1405"/>
      <c r="B1405"/>
      <c r="C1405"/>
      <c r="D1405"/>
      <c r="E1405" s="42"/>
      <c r="F1405" s="42"/>
      <c r="G1405"/>
    </row>
    <row r="1406" spans="1:7" ht="15">
      <c r="A1406"/>
      <c r="B1406"/>
      <c r="C1406"/>
      <c r="D1406"/>
      <c r="E1406" s="42"/>
      <c r="F1406" s="42"/>
      <c r="G1406"/>
    </row>
    <row r="1407" spans="1:7" ht="15">
      <c r="A1407"/>
      <c r="B1407"/>
      <c r="C1407"/>
      <c r="D1407"/>
      <c r="E1407" s="42"/>
      <c r="F1407" s="42"/>
      <c r="G1407"/>
    </row>
    <row r="1408" spans="1:7" ht="15">
      <c r="A1408"/>
      <c r="B1408"/>
      <c r="C1408"/>
      <c r="D1408"/>
      <c r="E1408" s="42"/>
      <c r="F1408" s="42"/>
      <c r="G1408"/>
    </row>
    <row r="1409" spans="1:7" ht="15">
      <c r="A1409"/>
      <c r="B1409"/>
      <c r="C1409"/>
      <c r="D1409"/>
      <c r="E1409" s="42"/>
      <c r="F1409" s="42"/>
      <c r="G1409"/>
    </row>
    <row r="1410" spans="1:7" ht="15">
      <c r="A1410"/>
      <c r="B1410"/>
      <c r="C1410"/>
      <c r="D1410"/>
      <c r="E1410" s="42"/>
      <c r="F1410" s="42"/>
      <c r="G1410"/>
    </row>
    <row r="1411" spans="1:7" ht="15">
      <c r="A1411"/>
      <c r="B1411"/>
      <c r="C1411"/>
      <c r="D1411"/>
      <c r="E1411" s="42"/>
      <c r="F1411" s="42"/>
      <c r="G1411"/>
    </row>
    <row r="1412" spans="1:7" ht="15">
      <c r="A1412"/>
      <c r="B1412"/>
      <c r="C1412"/>
      <c r="D1412"/>
      <c r="E1412" s="42"/>
      <c r="F1412" s="42"/>
      <c r="G1412"/>
    </row>
    <row r="1413" spans="1:7" ht="15">
      <c r="A1413"/>
      <c r="B1413"/>
      <c r="C1413"/>
      <c r="D1413"/>
      <c r="E1413" s="42"/>
      <c r="F1413" s="42"/>
      <c r="G1413"/>
    </row>
    <row r="1414" spans="1:7" ht="15">
      <c r="A1414"/>
      <c r="B1414"/>
      <c r="C1414"/>
      <c r="D1414"/>
      <c r="E1414" s="42"/>
      <c r="F1414" s="42"/>
      <c r="G1414"/>
    </row>
    <row r="1415" spans="1:7" ht="15">
      <c r="A1415"/>
      <c r="B1415"/>
      <c r="C1415"/>
      <c r="D1415"/>
      <c r="E1415" s="42"/>
      <c r="F1415" s="42"/>
      <c r="G1415"/>
    </row>
    <row r="1416" spans="1:7" ht="15">
      <c r="A1416"/>
      <c r="B1416"/>
      <c r="C1416"/>
      <c r="D1416"/>
      <c r="E1416" s="42"/>
      <c r="F1416" s="42"/>
      <c r="G1416"/>
    </row>
    <row r="1417" spans="1:7" ht="15">
      <c r="A1417"/>
      <c r="B1417"/>
      <c r="C1417"/>
      <c r="D1417"/>
      <c r="E1417" s="42"/>
      <c r="F1417" s="42"/>
      <c r="G1417"/>
    </row>
    <row r="1418" spans="1:7" ht="15">
      <c r="A1418"/>
      <c r="B1418"/>
      <c r="C1418"/>
      <c r="D1418"/>
      <c r="E1418" s="42"/>
      <c r="F1418" s="42"/>
      <c r="G1418"/>
    </row>
    <row r="1419" spans="1:7" ht="15">
      <c r="A1419"/>
      <c r="B1419"/>
      <c r="C1419"/>
      <c r="D1419"/>
      <c r="E1419" s="42"/>
      <c r="F1419" s="42"/>
      <c r="G1419"/>
    </row>
    <row r="1420" spans="1:7" ht="15">
      <c r="A1420"/>
      <c r="B1420"/>
      <c r="C1420"/>
      <c r="D1420"/>
      <c r="E1420" s="42"/>
      <c r="F1420" s="42"/>
      <c r="G1420"/>
    </row>
    <row r="1421" spans="1:7" ht="15">
      <c r="A1421"/>
      <c r="B1421"/>
      <c r="C1421"/>
      <c r="D1421"/>
      <c r="E1421" s="42"/>
      <c r="F1421" s="42"/>
      <c r="G1421"/>
    </row>
    <row r="1422" spans="1:7" ht="15">
      <c r="A1422"/>
      <c r="B1422"/>
      <c r="C1422"/>
      <c r="D1422"/>
      <c r="E1422" s="42"/>
      <c r="F1422" s="42"/>
      <c r="G1422"/>
    </row>
    <row r="1423" spans="1:7" ht="15">
      <c r="A1423"/>
      <c r="B1423"/>
      <c r="C1423"/>
      <c r="D1423"/>
      <c r="E1423" s="42"/>
      <c r="F1423" s="42"/>
      <c r="G1423"/>
    </row>
    <row r="1424" spans="1:7" ht="15">
      <c r="A1424"/>
      <c r="B1424"/>
      <c r="C1424"/>
      <c r="D1424"/>
      <c r="E1424" s="42"/>
      <c r="F1424" s="42"/>
      <c r="G1424"/>
    </row>
    <row r="1425" spans="1:7" ht="15">
      <c r="A1425"/>
      <c r="B1425"/>
      <c r="C1425"/>
      <c r="D1425"/>
      <c r="E1425" s="42"/>
      <c r="F1425" s="42"/>
      <c r="G1425"/>
    </row>
    <row r="1426" spans="1:7" ht="15">
      <c r="A1426"/>
      <c r="B1426"/>
      <c r="C1426"/>
      <c r="D1426"/>
      <c r="E1426" s="42"/>
      <c r="F1426" s="42"/>
      <c r="G1426"/>
    </row>
    <row r="1427" spans="1:7" ht="15">
      <c r="A1427"/>
      <c r="B1427"/>
      <c r="C1427"/>
      <c r="D1427"/>
      <c r="E1427" s="42"/>
      <c r="F1427" s="42"/>
      <c r="G1427"/>
    </row>
    <row r="1428" spans="1:7" ht="15">
      <c r="A1428"/>
      <c r="B1428"/>
      <c r="C1428"/>
      <c r="D1428"/>
      <c r="E1428" s="42"/>
      <c r="F1428" s="42"/>
      <c r="G1428"/>
    </row>
    <row r="1429" spans="1:7" ht="15">
      <c r="A1429"/>
      <c r="B1429"/>
      <c r="C1429"/>
      <c r="D1429"/>
      <c r="E1429" s="42"/>
      <c r="F1429" s="42"/>
      <c r="G1429"/>
    </row>
    <row r="1430" spans="1:7" ht="15">
      <c r="A1430"/>
      <c r="B1430"/>
      <c r="C1430"/>
      <c r="D1430"/>
      <c r="E1430" s="42"/>
      <c r="F1430" s="42"/>
      <c r="G1430"/>
    </row>
    <row r="1431" spans="1:7" ht="15">
      <c r="A1431"/>
      <c r="B1431"/>
      <c r="C1431"/>
      <c r="D1431"/>
      <c r="E1431" s="42"/>
      <c r="F1431" s="42"/>
      <c r="G1431"/>
    </row>
    <row r="1432" spans="1:7" ht="15">
      <c r="A1432"/>
      <c r="B1432"/>
      <c r="C1432"/>
      <c r="D1432"/>
      <c r="E1432" s="42"/>
      <c r="F1432" s="42"/>
      <c r="G1432"/>
    </row>
    <row r="1433" spans="1:7" ht="15">
      <c r="A1433"/>
      <c r="B1433"/>
      <c r="C1433"/>
      <c r="D1433"/>
      <c r="E1433" s="42"/>
      <c r="F1433" s="42"/>
      <c r="G1433"/>
    </row>
    <row r="1434" spans="1:7" ht="15">
      <c r="A1434"/>
      <c r="B1434"/>
      <c r="C1434"/>
      <c r="D1434"/>
      <c r="E1434" s="42"/>
      <c r="F1434" s="42"/>
      <c r="G1434"/>
    </row>
    <row r="1435" spans="1:7" ht="15">
      <c r="A1435"/>
      <c r="B1435"/>
      <c r="C1435"/>
      <c r="D1435"/>
      <c r="E1435" s="42"/>
      <c r="F1435" s="42"/>
      <c r="G1435"/>
    </row>
    <row r="1436" spans="1:7" ht="15">
      <c r="A1436"/>
      <c r="B1436"/>
      <c r="C1436"/>
      <c r="D1436"/>
      <c r="E1436" s="42"/>
      <c r="F1436" s="42"/>
      <c r="G1436"/>
    </row>
    <row r="1437" spans="1:7" ht="15">
      <c r="A1437"/>
      <c r="B1437"/>
      <c r="C1437"/>
      <c r="D1437"/>
      <c r="E1437" s="42"/>
      <c r="F1437" s="42"/>
      <c r="G1437"/>
    </row>
    <row r="1438" spans="1:7" ht="15">
      <c r="A1438"/>
      <c r="B1438"/>
      <c r="C1438"/>
      <c r="D1438"/>
      <c r="E1438" s="42"/>
      <c r="F1438" s="42"/>
      <c r="G1438"/>
    </row>
    <row r="1439" spans="1:7" ht="15">
      <c r="A1439"/>
      <c r="B1439"/>
      <c r="C1439"/>
      <c r="D1439"/>
      <c r="E1439" s="42"/>
      <c r="F1439" s="42"/>
      <c r="G1439"/>
    </row>
    <row r="1440" spans="1:7" ht="15">
      <c r="A1440"/>
      <c r="B1440"/>
      <c r="C1440"/>
      <c r="D1440"/>
      <c r="E1440" s="42"/>
      <c r="F1440" s="42"/>
      <c r="G1440"/>
    </row>
    <row r="1441" spans="1:7" ht="15">
      <c r="A1441"/>
      <c r="B1441"/>
      <c r="C1441"/>
      <c r="D1441"/>
      <c r="E1441" s="42"/>
      <c r="F1441" s="42"/>
      <c r="G1441"/>
    </row>
    <row r="1442" spans="1:7" ht="15">
      <c r="A1442"/>
      <c r="B1442"/>
      <c r="C1442"/>
      <c r="D1442"/>
      <c r="E1442" s="42"/>
      <c r="F1442" s="42"/>
      <c r="G1442"/>
    </row>
    <row r="1443" spans="1:7" ht="15">
      <c r="A1443"/>
      <c r="B1443"/>
      <c r="C1443"/>
      <c r="D1443"/>
      <c r="E1443" s="42"/>
      <c r="F1443" s="42"/>
      <c r="G1443"/>
    </row>
    <row r="1444" spans="1:7" ht="15">
      <c r="A1444"/>
      <c r="B1444"/>
      <c r="C1444"/>
      <c r="D1444"/>
      <c r="E1444" s="42"/>
      <c r="F1444" s="42"/>
      <c r="G1444"/>
    </row>
    <row r="1445" spans="1:7" ht="15">
      <c r="A1445"/>
      <c r="B1445"/>
      <c r="C1445"/>
      <c r="D1445"/>
      <c r="E1445" s="42"/>
      <c r="F1445" s="42"/>
      <c r="G1445"/>
    </row>
    <row r="1446" spans="1:7" ht="15">
      <c r="A1446"/>
      <c r="B1446"/>
      <c r="C1446"/>
      <c r="D1446"/>
      <c r="E1446" s="42"/>
      <c r="F1446" s="42"/>
      <c r="G1446"/>
    </row>
    <row r="1447" spans="1:7" ht="15">
      <c r="A1447"/>
      <c r="B1447"/>
      <c r="C1447"/>
      <c r="D1447"/>
      <c r="E1447" s="42"/>
      <c r="F1447" s="42"/>
      <c r="G1447"/>
    </row>
    <row r="1448" spans="1:7" ht="15">
      <c r="A1448"/>
      <c r="B1448"/>
      <c r="C1448"/>
      <c r="D1448"/>
      <c r="E1448" s="42"/>
      <c r="F1448" s="42"/>
      <c r="G1448"/>
    </row>
    <row r="1449" spans="1:7" ht="15">
      <c r="A1449"/>
      <c r="B1449"/>
      <c r="C1449"/>
      <c r="D1449"/>
      <c r="E1449" s="42"/>
      <c r="F1449" s="42"/>
      <c r="G1449"/>
    </row>
    <row r="1450" spans="1:7" ht="15">
      <c r="A1450"/>
      <c r="B1450"/>
      <c r="C1450"/>
      <c r="D1450"/>
      <c r="E1450" s="42"/>
      <c r="F1450" s="42"/>
      <c r="G1450"/>
    </row>
    <row r="1451" spans="1:7" ht="15">
      <c r="A1451"/>
      <c r="B1451"/>
      <c r="C1451"/>
      <c r="D1451"/>
      <c r="E1451" s="42"/>
      <c r="F1451" s="42"/>
      <c r="G1451"/>
    </row>
    <row r="1452" spans="1:7" ht="15">
      <c r="A1452"/>
      <c r="B1452"/>
      <c r="C1452"/>
      <c r="D1452"/>
      <c r="E1452" s="42"/>
      <c r="F1452" s="42"/>
      <c r="G1452"/>
    </row>
    <row r="1453" spans="1:7" ht="15">
      <c r="A1453"/>
      <c r="B1453"/>
      <c r="C1453"/>
      <c r="D1453"/>
      <c r="E1453" s="42"/>
      <c r="F1453" s="42"/>
      <c r="G1453"/>
    </row>
    <row r="1454" spans="1:7" ht="15">
      <c r="A1454"/>
      <c r="B1454"/>
      <c r="C1454"/>
      <c r="D1454"/>
      <c r="E1454" s="42"/>
      <c r="F1454" s="42"/>
      <c r="G1454"/>
    </row>
    <row r="1455" spans="1:7" ht="15">
      <c r="A1455"/>
      <c r="B1455"/>
      <c r="C1455"/>
      <c r="D1455"/>
      <c r="E1455" s="42"/>
      <c r="F1455" s="42"/>
      <c r="G1455"/>
    </row>
    <row r="1456" spans="1:7" ht="15">
      <c r="A1456"/>
      <c r="B1456"/>
      <c r="C1456"/>
      <c r="D1456"/>
      <c r="E1456" s="42"/>
      <c r="F1456" s="42"/>
      <c r="G1456"/>
    </row>
    <row r="1457" spans="1:7" ht="15">
      <c r="A1457"/>
      <c r="B1457"/>
      <c r="C1457"/>
      <c r="D1457"/>
      <c r="E1457" s="42"/>
      <c r="F1457" s="42"/>
      <c r="G1457"/>
    </row>
    <row r="1458" spans="1:7" ht="15">
      <c r="A1458"/>
      <c r="B1458"/>
      <c r="C1458"/>
      <c r="D1458"/>
      <c r="E1458" s="42"/>
      <c r="F1458" s="42"/>
      <c r="G1458"/>
    </row>
    <row r="1459" spans="1:7" ht="15">
      <c r="A1459"/>
      <c r="B1459"/>
      <c r="C1459"/>
      <c r="D1459"/>
      <c r="E1459" s="42"/>
      <c r="F1459" s="42"/>
      <c r="G1459"/>
    </row>
    <row r="1460" spans="1:7" ht="15">
      <c r="A1460"/>
      <c r="B1460"/>
      <c r="C1460"/>
      <c r="D1460"/>
      <c r="E1460" s="42"/>
      <c r="F1460" s="42"/>
      <c r="G1460"/>
    </row>
    <row r="1461" spans="1:7" ht="15">
      <c r="A1461"/>
      <c r="B1461"/>
      <c r="C1461"/>
      <c r="D1461"/>
      <c r="E1461" s="42"/>
      <c r="F1461" s="42"/>
      <c r="G1461"/>
    </row>
    <row r="1462" spans="1:7" ht="15">
      <c r="A1462"/>
      <c r="B1462"/>
      <c r="C1462"/>
      <c r="D1462"/>
      <c r="E1462" s="42"/>
      <c r="F1462" s="42"/>
      <c r="G1462"/>
    </row>
    <row r="1463" spans="1:7" ht="15">
      <c r="A1463"/>
      <c r="B1463"/>
      <c r="C1463"/>
      <c r="D1463"/>
      <c r="E1463" s="42"/>
      <c r="F1463" s="42"/>
      <c r="G1463"/>
    </row>
    <row r="1464" spans="1:7" ht="15">
      <c r="A1464"/>
      <c r="B1464"/>
      <c r="C1464"/>
      <c r="D1464"/>
      <c r="E1464" s="42"/>
      <c r="F1464" s="42"/>
      <c r="G1464"/>
    </row>
    <row r="1465" spans="1:7" ht="15">
      <c r="A1465"/>
      <c r="B1465"/>
      <c r="C1465"/>
      <c r="D1465"/>
      <c r="E1465" s="42"/>
      <c r="F1465" s="42"/>
      <c r="G1465"/>
    </row>
    <row r="1466" spans="1:7" ht="15">
      <c r="A1466"/>
      <c r="B1466"/>
      <c r="C1466"/>
      <c r="D1466"/>
      <c r="E1466" s="42"/>
      <c r="F1466" s="42"/>
      <c r="G1466"/>
    </row>
    <row r="1467" spans="1:7" ht="15">
      <c r="A1467"/>
      <c r="B1467"/>
      <c r="C1467"/>
      <c r="D1467"/>
      <c r="E1467" s="42"/>
      <c r="F1467" s="42"/>
      <c r="G1467"/>
    </row>
    <row r="1468" spans="1:7" ht="15">
      <c r="A1468"/>
      <c r="B1468"/>
      <c r="C1468"/>
      <c r="D1468"/>
      <c r="E1468" s="42"/>
      <c r="F1468" s="42"/>
      <c r="G1468"/>
    </row>
    <row r="1469" spans="1:7" ht="15">
      <c r="A1469"/>
      <c r="B1469"/>
      <c r="C1469"/>
      <c r="D1469"/>
      <c r="E1469" s="42"/>
      <c r="F1469" s="42"/>
      <c r="G1469"/>
    </row>
    <row r="1470" spans="1:7" ht="15">
      <c r="A1470"/>
      <c r="B1470"/>
      <c r="C1470"/>
      <c r="D1470"/>
      <c r="E1470" s="42"/>
      <c r="F1470" s="42"/>
      <c r="G1470"/>
    </row>
    <row r="1471" spans="1:7" ht="15">
      <c r="A1471"/>
      <c r="B1471"/>
      <c r="C1471"/>
      <c r="D1471"/>
      <c r="E1471" s="42"/>
      <c r="F1471" s="42"/>
      <c r="G1471"/>
    </row>
    <row r="1472" spans="1:7" ht="15">
      <c r="A1472"/>
      <c r="B1472"/>
      <c r="C1472"/>
      <c r="D1472"/>
      <c r="E1472" s="42"/>
      <c r="F1472" s="42"/>
      <c r="G1472"/>
    </row>
    <row r="1473" spans="1:7" ht="15">
      <c r="A1473"/>
      <c r="B1473"/>
      <c r="C1473"/>
      <c r="D1473"/>
      <c r="E1473" s="42"/>
      <c r="F1473" s="42"/>
      <c r="G1473"/>
    </row>
    <row r="1474" spans="1:7" ht="15">
      <c r="A1474"/>
      <c r="B1474"/>
      <c r="C1474"/>
      <c r="D1474"/>
      <c r="E1474" s="42"/>
      <c r="F1474" s="42"/>
      <c r="G1474"/>
    </row>
    <row r="1475" spans="1:7" ht="15">
      <c r="A1475"/>
      <c r="B1475"/>
      <c r="C1475"/>
      <c r="D1475"/>
      <c r="E1475" s="42"/>
      <c r="F1475" s="42"/>
      <c r="G1475"/>
    </row>
    <row r="1476" spans="1:7" ht="15">
      <c r="A1476"/>
      <c r="B1476"/>
      <c r="C1476"/>
      <c r="D1476"/>
      <c r="E1476" s="42"/>
      <c r="F1476" s="42"/>
      <c r="G1476"/>
    </row>
    <row r="1477" spans="1:7" ht="15">
      <c r="A1477"/>
      <c r="B1477"/>
      <c r="C1477"/>
      <c r="D1477"/>
      <c r="E1477" s="42"/>
      <c r="F1477" s="42"/>
      <c r="G1477"/>
    </row>
    <row r="1478" spans="1:7" ht="15">
      <c r="A1478"/>
      <c r="B1478"/>
      <c r="C1478"/>
      <c r="D1478"/>
      <c r="E1478" s="42"/>
      <c r="F1478" s="42"/>
      <c r="G1478"/>
    </row>
    <row r="1479" spans="1:7" ht="15">
      <c r="A1479"/>
      <c r="B1479"/>
      <c r="C1479"/>
      <c r="D1479"/>
      <c r="E1479" s="42"/>
      <c r="F1479" s="42"/>
      <c r="G1479"/>
    </row>
    <row r="1480" spans="1:7" ht="15">
      <c r="A1480"/>
      <c r="B1480"/>
      <c r="C1480"/>
      <c r="D1480"/>
      <c r="E1480" s="42"/>
      <c r="F1480" s="42"/>
      <c r="G1480"/>
    </row>
    <row r="1481" spans="1:7" ht="15">
      <c r="A1481"/>
      <c r="B1481"/>
      <c r="C1481"/>
      <c r="D1481"/>
      <c r="E1481" s="42"/>
      <c r="F1481" s="42"/>
      <c r="G1481"/>
    </row>
    <row r="1482" spans="1:7" ht="15">
      <c r="A1482"/>
      <c r="B1482"/>
      <c r="C1482"/>
      <c r="D1482"/>
      <c r="E1482" s="42"/>
      <c r="F1482" s="42"/>
      <c r="G1482"/>
    </row>
    <row r="1483" spans="1:7" ht="15">
      <c r="A1483"/>
      <c r="B1483"/>
      <c r="C1483"/>
      <c r="D1483"/>
      <c r="E1483" s="42"/>
      <c r="F1483" s="42"/>
      <c r="G1483"/>
    </row>
    <row r="1484" spans="1:7" ht="15">
      <c r="A1484"/>
      <c r="B1484"/>
      <c r="C1484"/>
      <c r="D1484"/>
      <c r="E1484" s="42"/>
      <c r="F1484" s="42"/>
      <c r="G1484"/>
    </row>
    <row r="1485" spans="1:7" ht="15">
      <c r="A1485"/>
      <c r="B1485"/>
      <c r="C1485"/>
      <c r="D1485"/>
      <c r="E1485" s="42"/>
      <c r="F1485" s="42"/>
      <c r="G1485"/>
    </row>
    <row r="1486" spans="1:7" ht="15">
      <c r="A1486"/>
      <c r="B1486"/>
      <c r="C1486"/>
      <c r="D1486"/>
      <c r="E1486" s="42"/>
      <c r="F1486" s="42"/>
      <c r="G1486"/>
    </row>
    <row r="1487" spans="1:7" ht="15">
      <c r="A1487"/>
      <c r="B1487"/>
      <c r="C1487"/>
      <c r="D1487"/>
      <c r="E1487" s="42"/>
      <c r="F1487" s="42"/>
      <c r="G1487"/>
    </row>
    <row r="1488" spans="1:7" ht="15">
      <c r="A1488"/>
      <c r="B1488"/>
      <c r="C1488"/>
      <c r="D1488"/>
      <c r="E1488" s="42"/>
      <c r="F1488" s="42"/>
      <c r="G1488"/>
    </row>
    <row r="1489" spans="1:7" ht="15">
      <c r="A1489"/>
      <c r="B1489"/>
      <c r="C1489"/>
      <c r="D1489"/>
      <c r="E1489" s="42"/>
      <c r="F1489" s="42"/>
      <c r="G1489"/>
    </row>
    <row r="1490" spans="1:7" ht="15">
      <c r="A1490"/>
      <c r="B1490"/>
      <c r="C1490"/>
      <c r="D1490"/>
      <c r="E1490" s="42"/>
      <c r="F1490" s="42"/>
      <c r="G1490"/>
    </row>
    <row r="1491" spans="1:7" ht="15">
      <c r="A1491"/>
      <c r="B1491"/>
      <c r="C1491"/>
      <c r="D1491"/>
      <c r="E1491" s="42"/>
      <c r="F1491" s="42"/>
      <c r="G1491"/>
    </row>
    <row r="1492" spans="1:7" ht="15">
      <c r="A1492"/>
      <c r="B1492"/>
      <c r="C1492"/>
      <c r="D1492"/>
      <c r="E1492" s="42"/>
      <c r="F1492" s="42"/>
      <c r="G1492"/>
    </row>
    <row r="1493" spans="1:7" ht="15">
      <c r="A1493"/>
      <c r="B1493"/>
      <c r="C1493"/>
      <c r="D1493"/>
      <c r="E1493" s="42"/>
      <c r="F1493" s="42"/>
      <c r="G1493"/>
    </row>
    <row r="1494" spans="1:7" ht="15">
      <c r="A1494"/>
      <c r="B1494"/>
      <c r="C1494"/>
      <c r="D1494"/>
      <c r="E1494" s="42"/>
      <c r="F1494" s="42"/>
      <c r="G1494"/>
    </row>
    <row r="1495" spans="1:7" ht="15">
      <c r="A1495"/>
      <c r="B1495"/>
      <c r="C1495"/>
      <c r="D1495"/>
      <c r="E1495" s="42"/>
      <c r="F1495" s="42"/>
      <c r="G1495"/>
    </row>
    <row r="1496" spans="1:7" ht="15">
      <c r="A1496"/>
      <c r="B1496"/>
      <c r="C1496"/>
      <c r="D1496"/>
      <c r="E1496" s="42"/>
      <c r="F1496" s="42"/>
      <c r="G1496"/>
    </row>
    <row r="1497" spans="1:7" ht="15">
      <c r="A1497"/>
      <c r="B1497"/>
      <c r="C1497"/>
      <c r="D1497"/>
      <c r="E1497" s="42"/>
      <c r="F1497" s="42"/>
      <c r="G1497"/>
    </row>
    <row r="1498" spans="1:7" ht="15">
      <c r="A1498"/>
      <c r="B1498"/>
      <c r="C1498"/>
      <c r="D1498"/>
      <c r="E1498" s="42"/>
      <c r="F1498" s="42"/>
      <c r="G1498"/>
    </row>
    <row r="1499" spans="1:7" ht="15">
      <c r="A1499"/>
      <c r="B1499"/>
      <c r="C1499"/>
      <c r="D1499"/>
      <c r="E1499" s="42"/>
      <c r="F1499" s="42"/>
      <c r="G1499"/>
    </row>
    <row r="1500" spans="1:7" ht="15">
      <c r="A1500"/>
      <c r="B1500"/>
      <c r="C1500"/>
      <c r="D1500"/>
      <c r="E1500" s="42"/>
      <c r="F1500" s="42"/>
      <c r="G1500"/>
    </row>
    <row r="1501" spans="1:7" ht="15">
      <c r="A1501"/>
      <c r="B1501"/>
      <c r="C1501"/>
      <c r="D1501"/>
      <c r="E1501" s="42"/>
      <c r="F1501" s="42"/>
      <c r="G1501"/>
    </row>
    <row r="1502" spans="1:7" ht="15">
      <c r="A1502"/>
      <c r="B1502"/>
      <c r="C1502"/>
      <c r="D1502"/>
      <c r="E1502" s="42"/>
      <c r="F1502" s="42"/>
      <c r="G1502"/>
    </row>
    <row r="1503" spans="1:7" ht="15">
      <c r="A1503"/>
      <c r="B1503"/>
      <c r="C1503"/>
      <c r="D1503"/>
      <c r="E1503" s="42"/>
      <c r="F1503" s="42"/>
      <c r="G1503"/>
    </row>
    <row r="1504" spans="1:7" ht="15">
      <c r="A1504"/>
      <c r="B1504"/>
      <c r="C1504"/>
      <c r="D1504"/>
      <c r="E1504" s="42"/>
      <c r="F1504" s="42"/>
      <c r="G1504"/>
    </row>
    <row r="1505" spans="1:7" ht="15">
      <c r="A1505"/>
      <c r="B1505"/>
      <c r="C1505"/>
      <c r="D1505"/>
      <c r="E1505" s="42"/>
      <c r="F1505" s="42"/>
      <c r="G1505"/>
    </row>
    <row r="1506" spans="1:7" ht="15">
      <c r="A1506"/>
      <c r="B1506"/>
      <c r="C1506"/>
      <c r="D1506"/>
      <c r="E1506" s="42"/>
      <c r="F1506" s="42"/>
      <c r="G1506"/>
    </row>
    <row r="1507" spans="1:7" ht="15">
      <c r="A1507"/>
      <c r="B1507"/>
      <c r="C1507"/>
      <c r="D1507"/>
      <c r="E1507" s="42"/>
      <c r="F1507" s="42"/>
      <c r="G1507"/>
    </row>
    <row r="1508" spans="1:7" ht="15">
      <c r="A1508"/>
      <c r="B1508"/>
      <c r="C1508"/>
      <c r="D1508"/>
      <c r="E1508" s="42"/>
      <c r="F1508" s="42"/>
      <c r="G1508"/>
    </row>
    <row r="1509" spans="1:7" ht="15">
      <c r="A1509"/>
      <c r="B1509"/>
      <c r="C1509"/>
      <c r="D1509"/>
      <c r="E1509" s="42"/>
      <c r="F1509" s="42"/>
      <c r="G1509"/>
    </row>
    <row r="1510" spans="1:7" ht="15">
      <c r="A1510"/>
      <c r="B1510"/>
      <c r="C1510"/>
      <c r="D1510"/>
      <c r="E1510" s="42"/>
      <c r="F1510" s="42"/>
      <c r="G1510"/>
    </row>
    <row r="1511" spans="1:7" ht="15">
      <c r="A1511"/>
      <c r="B1511"/>
      <c r="C1511"/>
      <c r="D1511"/>
      <c r="E1511" s="42"/>
      <c r="F1511" s="42"/>
      <c r="G1511"/>
    </row>
    <row r="1512" spans="1:7" ht="15">
      <c r="A1512"/>
      <c r="B1512"/>
      <c r="C1512"/>
      <c r="D1512"/>
      <c r="E1512" s="42"/>
      <c r="F1512" s="42"/>
      <c r="G1512"/>
    </row>
    <row r="1513" spans="1:7" ht="15">
      <c r="A1513"/>
      <c r="B1513"/>
      <c r="C1513"/>
      <c r="D1513"/>
      <c r="E1513" s="42"/>
      <c r="F1513" s="42"/>
      <c r="G1513"/>
    </row>
    <row r="1514" spans="1:7" ht="15">
      <c r="A1514"/>
      <c r="B1514"/>
      <c r="C1514"/>
      <c r="D1514"/>
      <c r="E1514" s="42"/>
      <c r="F1514" s="42"/>
      <c r="G1514"/>
    </row>
    <row r="1515" spans="1:7" ht="15">
      <c r="A1515"/>
      <c r="B1515"/>
      <c r="C1515"/>
      <c r="D1515"/>
      <c r="E1515" s="42"/>
      <c r="F1515" s="42"/>
      <c r="G1515"/>
    </row>
    <row r="1516" spans="1:7" ht="15">
      <c r="A1516"/>
      <c r="B1516"/>
      <c r="C1516"/>
      <c r="D1516"/>
      <c r="E1516" s="42"/>
      <c r="F1516" s="42"/>
      <c r="G1516"/>
    </row>
    <row r="1517" spans="1:7" ht="15">
      <c r="A1517"/>
      <c r="B1517"/>
      <c r="C1517"/>
      <c r="D1517"/>
      <c r="E1517" s="42"/>
      <c r="F1517" s="42"/>
      <c r="G1517"/>
    </row>
    <row r="1518" spans="1:7" ht="15">
      <c r="A1518"/>
      <c r="B1518"/>
      <c r="C1518"/>
      <c r="D1518"/>
      <c r="E1518" s="42"/>
      <c r="F1518" s="42"/>
      <c r="G1518"/>
    </row>
    <row r="1519" spans="1:7" ht="15">
      <c r="A1519"/>
      <c r="B1519"/>
      <c r="C1519"/>
      <c r="D1519"/>
      <c r="E1519" s="42"/>
      <c r="F1519" s="42"/>
      <c r="G1519"/>
    </row>
    <row r="1520" spans="1:7" ht="15">
      <c r="A1520"/>
      <c r="B1520"/>
      <c r="C1520"/>
      <c r="D1520"/>
      <c r="E1520" s="42"/>
      <c r="F1520" s="42"/>
      <c r="G1520"/>
    </row>
    <row r="1521" spans="1:7" ht="15">
      <c r="A1521"/>
      <c r="B1521"/>
      <c r="C1521"/>
      <c r="D1521"/>
      <c r="E1521" s="42"/>
      <c r="F1521" s="42"/>
      <c r="G1521"/>
    </row>
    <row r="1522" spans="1:7" ht="15">
      <c r="A1522"/>
      <c r="B1522"/>
      <c r="C1522"/>
      <c r="D1522"/>
      <c r="E1522" s="42"/>
      <c r="F1522" s="42"/>
      <c r="G1522"/>
    </row>
    <row r="1523" spans="1:7" ht="15">
      <c r="A1523"/>
      <c r="B1523"/>
      <c r="C1523"/>
      <c r="D1523"/>
      <c r="E1523" s="42"/>
      <c r="F1523" s="42"/>
      <c r="G1523"/>
    </row>
    <row r="1524" spans="1:7" ht="15">
      <c r="A1524"/>
      <c r="B1524"/>
      <c r="C1524"/>
      <c r="D1524"/>
      <c r="E1524" s="42"/>
      <c r="F1524" s="42"/>
      <c r="G1524"/>
    </row>
    <row r="1525" spans="1:7" ht="15">
      <c r="A1525"/>
      <c r="B1525"/>
      <c r="C1525"/>
      <c r="D1525"/>
      <c r="E1525" s="42"/>
      <c r="F1525" s="42"/>
      <c r="G1525"/>
    </row>
    <row r="1526" spans="1:7" ht="15">
      <c r="A1526"/>
      <c r="B1526"/>
      <c r="C1526"/>
      <c r="D1526"/>
      <c r="E1526" s="42"/>
      <c r="F1526" s="42"/>
      <c r="G1526"/>
    </row>
    <row r="1527" spans="1:7" ht="15">
      <c r="A1527"/>
      <c r="B1527"/>
      <c r="C1527"/>
      <c r="D1527"/>
      <c r="E1527" s="42"/>
      <c r="F1527" s="42"/>
      <c r="G1527"/>
    </row>
    <row r="1528" spans="1:7" ht="15">
      <c r="A1528"/>
      <c r="B1528"/>
      <c r="C1528"/>
      <c r="D1528"/>
      <c r="E1528" s="42"/>
      <c r="F1528" s="42"/>
      <c r="G1528"/>
    </row>
    <row r="1529" spans="1:7" ht="15">
      <c r="A1529"/>
      <c r="B1529"/>
      <c r="C1529"/>
      <c r="D1529"/>
      <c r="E1529" s="42"/>
      <c r="F1529" s="42"/>
      <c r="G1529"/>
    </row>
    <row r="1530" spans="1:7" ht="15">
      <c r="A1530"/>
      <c r="B1530"/>
      <c r="C1530"/>
      <c r="D1530"/>
      <c r="E1530" s="42"/>
      <c r="F1530" s="42"/>
      <c r="G1530"/>
    </row>
    <row r="1531" spans="1:7" ht="15">
      <c r="A1531"/>
      <c r="B1531"/>
      <c r="C1531"/>
      <c r="D1531"/>
      <c r="E1531" s="42"/>
      <c r="F1531" s="42"/>
      <c r="G1531"/>
    </row>
    <row r="1532" spans="1:7" ht="15">
      <c r="A1532"/>
      <c r="B1532"/>
      <c r="C1532"/>
      <c r="D1532"/>
      <c r="E1532" s="42"/>
      <c r="F1532" s="42"/>
      <c r="G1532"/>
    </row>
    <row r="1533" spans="1:7" ht="15">
      <c r="A1533"/>
      <c r="B1533"/>
      <c r="C1533"/>
      <c r="D1533"/>
      <c r="E1533" s="42"/>
      <c r="F1533" s="42"/>
      <c r="G1533"/>
    </row>
    <row r="1534" spans="1:7" ht="15">
      <c r="A1534"/>
      <c r="B1534"/>
      <c r="C1534"/>
      <c r="D1534"/>
      <c r="E1534" s="42"/>
      <c r="F1534" s="42"/>
      <c r="G1534"/>
    </row>
    <row r="1535" spans="1:7" ht="15">
      <c r="A1535"/>
      <c r="B1535"/>
      <c r="C1535"/>
      <c r="D1535"/>
      <c r="E1535" s="42"/>
      <c r="F1535" s="42"/>
      <c r="G1535"/>
    </row>
    <row r="1536" spans="1:7" ht="15">
      <c r="A1536"/>
      <c r="B1536"/>
      <c r="C1536"/>
      <c r="D1536"/>
      <c r="E1536" s="42"/>
      <c r="F1536" s="42"/>
      <c r="G1536"/>
    </row>
    <row r="1537" spans="1:7" ht="15">
      <c r="A1537"/>
      <c r="B1537"/>
      <c r="C1537"/>
      <c r="D1537"/>
      <c r="E1537" s="42"/>
      <c r="F1537" s="42"/>
      <c r="G1537"/>
    </row>
    <row r="1538" spans="1:7" ht="15">
      <c r="A1538"/>
      <c r="B1538"/>
      <c r="C1538"/>
      <c r="D1538"/>
      <c r="E1538" s="42"/>
      <c r="F1538" s="42"/>
      <c r="G1538"/>
    </row>
    <row r="1539" spans="1:7" ht="15">
      <c r="A1539"/>
      <c r="B1539"/>
      <c r="C1539"/>
      <c r="D1539"/>
      <c r="E1539" s="42"/>
      <c r="F1539" s="42"/>
      <c r="G1539"/>
    </row>
    <row r="1540" spans="1:7" ht="15">
      <c r="A1540"/>
      <c r="B1540"/>
      <c r="C1540"/>
      <c r="D1540"/>
      <c r="E1540" s="42"/>
      <c r="F1540" s="42"/>
      <c r="G1540"/>
    </row>
    <row r="1541" spans="1:7" ht="15">
      <c r="A1541"/>
      <c r="B1541"/>
      <c r="C1541"/>
      <c r="D1541"/>
      <c r="E1541" s="42"/>
      <c r="F1541" s="42"/>
      <c r="G1541"/>
    </row>
    <row r="1542" spans="1:7" ht="15">
      <c r="A1542"/>
      <c r="B1542"/>
      <c r="C1542"/>
      <c r="D1542"/>
      <c r="E1542" s="42"/>
      <c r="F1542" s="42"/>
      <c r="G1542"/>
    </row>
    <row r="1543" spans="1:7" ht="15">
      <c r="A1543"/>
      <c r="B1543"/>
      <c r="C1543"/>
      <c r="D1543"/>
      <c r="E1543" s="42"/>
      <c r="F1543" s="42"/>
      <c r="G1543"/>
    </row>
    <row r="1544" spans="1:7" ht="15">
      <c r="A1544"/>
      <c r="B1544"/>
      <c r="C1544"/>
      <c r="D1544"/>
      <c r="E1544" s="42"/>
      <c r="F1544" s="42"/>
      <c r="G1544"/>
    </row>
    <row r="1545" spans="1:7" ht="15">
      <c r="A1545"/>
      <c r="B1545"/>
      <c r="C1545"/>
      <c r="D1545"/>
      <c r="E1545" s="42"/>
      <c r="F1545" s="42"/>
      <c r="G1545"/>
    </row>
    <row r="1546" spans="1:7" ht="15">
      <c r="A1546"/>
      <c r="B1546"/>
      <c r="C1546"/>
      <c r="D1546"/>
      <c r="E1546" s="42"/>
      <c r="F1546" s="42"/>
      <c r="G1546"/>
    </row>
    <row r="1547" spans="1:7" ht="15">
      <c r="A1547"/>
      <c r="B1547"/>
      <c r="C1547"/>
      <c r="D1547"/>
      <c r="E1547" s="42"/>
      <c r="F1547" s="42"/>
      <c r="G1547"/>
    </row>
    <row r="1548" spans="1:7" ht="15">
      <c r="A1548"/>
      <c r="B1548"/>
      <c r="C1548"/>
      <c r="D1548"/>
      <c r="E1548" s="42"/>
      <c r="F1548" s="42"/>
      <c r="G1548"/>
    </row>
    <row r="1549" spans="1:7" ht="15">
      <c r="A1549"/>
      <c r="B1549"/>
      <c r="C1549"/>
      <c r="D1549"/>
      <c r="E1549" s="42"/>
      <c r="F1549" s="42"/>
      <c r="G1549"/>
    </row>
    <row r="1550" spans="1:7" ht="15">
      <c r="A1550"/>
      <c r="B1550"/>
      <c r="C1550"/>
      <c r="D1550"/>
      <c r="E1550" s="42"/>
      <c r="F1550" s="42"/>
      <c r="G1550"/>
    </row>
    <row r="1551" spans="1:7" ht="15">
      <c r="A1551"/>
      <c r="B1551"/>
      <c r="C1551"/>
      <c r="D1551"/>
      <c r="E1551" s="42"/>
      <c r="F1551" s="42"/>
      <c r="G1551"/>
    </row>
    <row r="1552" spans="1:7" ht="15">
      <c r="A1552"/>
      <c r="B1552"/>
      <c r="C1552"/>
      <c r="D1552"/>
      <c r="E1552" s="42"/>
      <c r="F1552" s="42"/>
      <c r="G1552"/>
    </row>
    <row r="1553" spans="1:7" ht="15">
      <c r="A1553"/>
      <c r="B1553"/>
      <c r="C1553"/>
      <c r="D1553"/>
      <c r="E1553" s="42"/>
      <c r="F1553" s="42"/>
      <c r="G1553"/>
    </row>
    <row r="1554" spans="1:7" ht="15">
      <c r="A1554"/>
      <c r="B1554"/>
      <c r="C1554"/>
      <c r="D1554"/>
      <c r="E1554" s="42"/>
      <c r="F1554" s="42"/>
      <c r="G1554"/>
    </row>
    <row r="1555" spans="1:7" ht="15">
      <c r="A1555"/>
      <c r="B1555"/>
      <c r="C1555"/>
      <c r="D1555"/>
      <c r="E1555" s="42"/>
      <c r="F1555" s="42"/>
      <c r="G1555"/>
    </row>
    <row r="1556" spans="1:7" ht="15">
      <c r="A1556"/>
      <c r="B1556"/>
      <c r="C1556"/>
      <c r="D1556"/>
      <c r="E1556" s="42"/>
      <c r="F1556" s="42"/>
      <c r="G1556"/>
    </row>
    <row r="1557" spans="1:7" ht="15">
      <c r="A1557"/>
      <c r="B1557"/>
      <c r="C1557"/>
      <c r="D1557"/>
      <c r="E1557" s="42"/>
      <c r="F1557" s="42"/>
      <c r="G1557"/>
    </row>
    <row r="1558" spans="1:7" ht="15">
      <c r="A1558"/>
      <c r="B1558"/>
      <c r="C1558"/>
      <c r="D1558"/>
      <c r="E1558" s="42"/>
      <c r="F1558" s="42"/>
      <c r="G1558"/>
    </row>
    <row r="1559" spans="1:7" ht="15">
      <c r="A1559"/>
      <c r="B1559"/>
      <c r="C1559"/>
      <c r="D1559"/>
      <c r="E1559" s="42"/>
      <c r="F1559" s="42"/>
      <c r="G1559"/>
    </row>
    <row r="1560" spans="1:7" ht="15">
      <c r="A1560"/>
      <c r="B1560"/>
      <c r="C1560"/>
      <c r="D1560"/>
      <c r="E1560" s="42"/>
      <c r="F1560" s="42"/>
      <c r="G1560"/>
    </row>
    <row r="1561" spans="1:7" ht="15">
      <c r="A1561"/>
      <c r="B1561"/>
      <c r="C1561"/>
      <c r="D1561"/>
      <c r="E1561" s="42"/>
      <c r="F1561" s="42"/>
      <c r="G1561"/>
    </row>
    <row r="1562" spans="1:7" ht="15">
      <c r="A1562"/>
      <c r="B1562"/>
      <c r="C1562"/>
      <c r="D1562"/>
      <c r="E1562" s="42"/>
      <c r="F1562" s="42"/>
      <c r="G1562"/>
    </row>
    <row r="1563" spans="1:7" ht="15">
      <c r="A1563"/>
      <c r="B1563"/>
      <c r="C1563"/>
      <c r="D1563"/>
      <c r="E1563" s="42"/>
      <c r="F1563" s="42"/>
      <c r="G1563"/>
    </row>
    <row r="1564" spans="1:7" ht="15">
      <c r="A1564"/>
      <c r="B1564"/>
      <c r="C1564"/>
      <c r="D1564"/>
      <c r="E1564" s="42"/>
      <c r="F1564" s="42"/>
      <c r="G1564"/>
    </row>
    <row r="1565" spans="1:7" ht="15">
      <c r="A1565"/>
      <c r="B1565"/>
      <c r="C1565"/>
      <c r="D1565"/>
      <c r="E1565" s="42"/>
      <c r="F1565" s="42"/>
      <c r="G1565"/>
    </row>
    <row r="1566" spans="1:7" ht="15">
      <c r="A1566"/>
      <c r="B1566"/>
      <c r="C1566"/>
      <c r="D1566"/>
      <c r="E1566" s="42"/>
      <c r="F1566" s="42"/>
      <c r="G1566"/>
    </row>
    <row r="1567" spans="1:7" ht="15">
      <c r="A1567"/>
      <c r="B1567"/>
      <c r="C1567"/>
      <c r="D1567"/>
      <c r="E1567" s="42"/>
      <c r="F1567" s="42"/>
      <c r="G1567"/>
    </row>
    <row r="1568" spans="1:7" ht="15">
      <c r="A1568"/>
      <c r="B1568"/>
      <c r="C1568"/>
      <c r="D1568"/>
      <c r="E1568" s="42"/>
      <c r="F1568" s="42"/>
      <c r="G1568"/>
    </row>
    <row r="1569" spans="1:7" ht="15">
      <c r="A1569"/>
      <c r="B1569"/>
      <c r="C1569"/>
      <c r="D1569"/>
      <c r="E1569" s="42"/>
      <c r="F1569" s="42"/>
      <c r="G1569"/>
    </row>
    <row r="1570" spans="1:7" ht="15">
      <c r="A1570"/>
      <c r="B1570"/>
      <c r="C1570"/>
      <c r="D1570"/>
      <c r="E1570" s="42"/>
      <c r="F1570" s="42"/>
      <c r="G1570"/>
    </row>
    <row r="1571" spans="1:7" ht="15">
      <c r="A1571"/>
      <c r="B1571"/>
      <c r="C1571"/>
      <c r="D1571"/>
      <c r="E1571" s="42"/>
      <c r="F1571" s="42"/>
      <c r="G1571"/>
    </row>
    <row r="1572" spans="1:7" ht="15">
      <c r="A1572"/>
      <c r="B1572"/>
      <c r="C1572"/>
      <c r="D1572"/>
      <c r="E1572" s="42"/>
      <c r="F1572" s="42"/>
      <c r="G1572"/>
    </row>
    <row r="1573" spans="1:7" ht="15">
      <c r="A1573"/>
      <c r="B1573"/>
      <c r="C1573"/>
      <c r="D1573"/>
      <c r="E1573" s="42"/>
      <c r="F1573" s="42"/>
      <c r="G1573"/>
    </row>
    <row r="1574" spans="1:7" ht="15">
      <c r="A1574"/>
      <c r="B1574"/>
      <c r="C1574"/>
      <c r="D1574"/>
      <c r="E1574" s="42"/>
      <c r="F1574" s="42"/>
      <c r="G1574"/>
    </row>
    <row r="1575" spans="1:7" ht="15">
      <c r="A1575"/>
      <c r="B1575"/>
      <c r="C1575"/>
      <c r="D1575"/>
      <c r="E1575" s="42"/>
      <c r="F1575" s="42"/>
      <c r="G1575"/>
    </row>
    <row r="1576" spans="1:7" ht="15">
      <c r="A1576"/>
      <c r="B1576"/>
      <c r="C1576"/>
      <c r="D1576"/>
      <c r="E1576" s="42"/>
      <c r="F1576" s="42"/>
      <c r="G1576"/>
    </row>
    <row r="1577" spans="1:7" ht="15">
      <c r="A1577"/>
      <c r="B1577"/>
      <c r="C1577"/>
      <c r="D1577"/>
      <c r="E1577" s="42"/>
      <c r="F1577" s="42"/>
      <c r="G1577"/>
    </row>
    <row r="1578" spans="1:7" ht="15">
      <c r="A1578"/>
      <c r="B1578"/>
      <c r="C1578"/>
      <c r="D1578"/>
      <c r="E1578" s="42"/>
      <c r="F1578" s="42"/>
      <c r="G1578"/>
    </row>
    <row r="1579" spans="1:7" ht="15">
      <c r="A1579"/>
      <c r="B1579"/>
      <c r="C1579"/>
      <c r="D1579"/>
      <c r="E1579" s="42"/>
      <c r="F1579" s="42"/>
      <c r="G1579"/>
    </row>
    <row r="1580" spans="1:7" ht="15">
      <c r="A1580"/>
      <c r="B1580"/>
      <c r="C1580"/>
      <c r="D1580"/>
      <c r="E1580" s="42"/>
      <c r="F1580" s="42"/>
      <c r="G1580"/>
    </row>
    <row r="1581" spans="1:7" ht="15">
      <c r="A1581"/>
      <c r="B1581"/>
      <c r="C1581"/>
      <c r="D1581"/>
      <c r="E1581" s="42"/>
      <c r="F1581" s="42"/>
      <c r="G1581"/>
    </row>
    <row r="1582" spans="1:7" ht="15">
      <c r="A1582"/>
      <c r="B1582"/>
      <c r="C1582"/>
      <c r="D1582"/>
      <c r="E1582" s="42"/>
      <c r="F1582" s="42"/>
      <c r="G1582"/>
    </row>
    <row r="1583" spans="1:7" ht="15">
      <c r="A1583"/>
      <c r="B1583"/>
      <c r="C1583"/>
      <c r="D1583"/>
      <c r="E1583" s="42"/>
      <c r="F1583" s="42"/>
      <c r="G1583"/>
    </row>
    <row r="1584" spans="1:7" ht="15">
      <c r="A1584"/>
      <c r="B1584"/>
      <c r="C1584"/>
      <c r="D1584"/>
      <c r="E1584" s="42"/>
      <c r="F1584" s="42"/>
      <c r="G1584"/>
    </row>
    <row r="1585" spans="1:7" ht="15">
      <c r="A1585"/>
      <c r="B1585"/>
      <c r="C1585"/>
      <c r="D1585"/>
      <c r="E1585" s="42"/>
      <c r="F1585" s="42"/>
      <c r="G1585"/>
    </row>
    <row r="1586" spans="1:7" ht="15">
      <c r="A1586"/>
      <c r="B1586"/>
      <c r="C1586"/>
      <c r="D1586"/>
      <c r="E1586" s="42"/>
      <c r="F1586" s="42"/>
      <c r="G1586"/>
    </row>
    <row r="1587" spans="1:7" ht="15">
      <c r="A1587"/>
      <c r="B1587"/>
      <c r="C1587"/>
      <c r="D1587"/>
      <c r="E1587" s="42"/>
      <c r="F1587" s="42"/>
      <c r="G1587"/>
    </row>
    <row r="1588" spans="1:7" ht="15">
      <c r="A1588"/>
      <c r="B1588"/>
      <c r="C1588"/>
      <c r="D1588"/>
      <c r="E1588" s="42"/>
      <c r="F1588" s="42"/>
      <c r="G1588"/>
    </row>
    <row r="1589" spans="1:7" ht="15">
      <c r="A1589"/>
      <c r="B1589"/>
      <c r="C1589"/>
      <c r="D1589"/>
      <c r="E1589" s="42"/>
      <c r="F1589" s="42"/>
      <c r="G1589"/>
    </row>
    <row r="1590" spans="1:7" ht="15">
      <c r="A1590"/>
      <c r="B1590"/>
      <c r="C1590"/>
      <c r="D1590"/>
      <c r="E1590" s="42"/>
      <c r="F1590" s="42"/>
      <c r="G1590"/>
    </row>
    <row r="1591" spans="1:7" ht="15">
      <c r="A1591"/>
      <c r="B1591"/>
      <c r="C1591"/>
      <c r="D1591"/>
      <c r="E1591" s="42"/>
      <c r="F1591" s="42"/>
      <c r="G1591"/>
    </row>
    <row r="1592" spans="1:7" ht="15">
      <c r="A1592"/>
      <c r="B1592"/>
      <c r="C1592"/>
      <c r="D1592"/>
      <c r="E1592" s="42"/>
      <c r="F1592" s="42"/>
      <c r="G1592"/>
    </row>
    <row r="1593" spans="1:7" ht="15">
      <c r="A1593"/>
      <c r="B1593"/>
      <c r="C1593"/>
      <c r="D1593"/>
      <c r="E1593" s="42"/>
      <c r="F1593" s="42"/>
      <c r="G1593"/>
    </row>
    <row r="1594" spans="1:7" ht="15">
      <c r="A1594"/>
      <c r="B1594"/>
      <c r="C1594"/>
      <c r="D1594"/>
      <c r="E1594" s="42"/>
      <c r="F1594" s="42"/>
      <c r="G1594"/>
    </row>
    <row r="1595" spans="1:7" ht="15">
      <c r="A1595"/>
      <c r="B1595"/>
      <c r="C1595"/>
      <c r="D1595"/>
      <c r="E1595" s="42"/>
      <c r="F1595" s="42"/>
      <c r="G1595"/>
    </row>
    <row r="1596" spans="1:7" ht="15">
      <c r="A1596"/>
      <c r="B1596"/>
      <c r="C1596"/>
      <c r="D1596"/>
      <c r="E1596" s="42"/>
      <c r="F1596" s="42"/>
      <c r="G1596"/>
    </row>
    <row r="1597" spans="1:7" ht="15">
      <c r="A1597"/>
      <c r="B1597"/>
      <c r="C1597"/>
      <c r="D1597"/>
      <c r="E1597" s="42"/>
      <c r="F1597" s="42"/>
      <c r="G1597"/>
    </row>
    <row r="1598" spans="1:7" ht="15">
      <c r="A1598"/>
      <c r="B1598"/>
      <c r="C1598"/>
      <c r="D1598"/>
      <c r="E1598" s="42"/>
      <c r="F1598" s="42"/>
      <c r="G1598"/>
    </row>
    <row r="1599" spans="1:7" ht="15">
      <c r="A1599"/>
      <c r="B1599"/>
      <c r="C1599"/>
      <c r="D1599"/>
      <c r="E1599" s="42"/>
      <c r="F1599" s="42"/>
      <c r="G1599"/>
    </row>
    <row r="1600" spans="1:7" ht="15">
      <c r="A1600"/>
      <c r="B1600"/>
      <c r="C1600"/>
      <c r="D1600"/>
      <c r="E1600" s="42"/>
      <c r="F1600" s="42"/>
      <c r="G1600"/>
    </row>
    <row r="1601" spans="1:7" ht="15">
      <c r="A1601"/>
      <c r="B1601"/>
      <c r="C1601"/>
      <c r="D1601"/>
      <c r="E1601" s="42"/>
      <c r="F1601" s="42"/>
      <c r="G1601"/>
    </row>
    <row r="1602" spans="1:7" ht="15">
      <c r="A1602"/>
      <c r="B1602"/>
      <c r="C1602"/>
      <c r="D1602"/>
      <c r="E1602" s="42"/>
      <c r="F1602" s="42"/>
      <c r="G1602"/>
    </row>
    <row r="1603" spans="1:7" ht="15">
      <c r="A1603"/>
      <c r="B1603"/>
      <c r="C1603"/>
      <c r="D1603"/>
      <c r="E1603" s="42"/>
      <c r="F1603" s="42"/>
      <c r="G1603"/>
    </row>
    <row r="1604" spans="1:7" ht="15">
      <c r="A1604"/>
      <c r="B1604"/>
      <c r="C1604"/>
      <c r="D1604"/>
      <c r="E1604" s="42"/>
      <c r="F1604" s="42"/>
      <c r="G1604"/>
    </row>
    <row r="1605" spans="1:7" ht="15">
      <c r="A1605"/>
      <c r="B1605"/>
      <c r="C1605"/>
      <c r="D1605"/>
      <c r="E1605" s="42"/>
      <c r="F1605" s="42"/>
      <c r="G1605"/>
    </row>
    <row r="1606" spans="1:7" ht="15">
      <c r="A1606"/>
      <c r="B1606"/>
      <c r="C1606"/>
      <c r="D1606"/>
      <c r="E1606" s="42"/>
      <c r="F1606" s="42"/>
      <c r="G1606"/>
    </row>
    <row r="1607" spans="1:7" ht="15">
      <c r="A1607"/>
      <c r="B1607"/>
      <c r="C1607"/>
      <c r="D1607"/>
      <c r="E1607" s="42"/>
      <c r="F1607" s="42"/>
      <c r="G1607"/>
    </row>
    <row r="1608" spans="1:7" ht="15">
      <c r="A1608"/>
      <c r="B1608"/>
      <c r="C1608"/>
      <c r="D1608"/>
      <c r="E1608" s="42"/>
      <c r="F1608" s="42"/>
      <c r="G1608"/>
    </row>
    <row r="1609" spans="1:7" ht="15">
      <c r="A1609"/>
      <c r="B1609"/>
      <c r="C1609"/>
      <c r="D1609"/>
      <c r="E1609" s="42"/>
      <c r="F1609" s="42"/>
      <c r="G1609"/>
    </row>
    <row r="1610" spans="1:7" ht="15">
      <c r="A1610"/>
      <c r="B1610"/>
      <c r="C1610"/>
      <c r="D1610"/>
      <c r="E1610" s="42"/>
      <c r="F1610" s="42"/>
      <c r="G1610"/>
    </row>
    <row r="1611" spans="1:7" ht="15">
      <c r="A1611"/>
      <c r="B1611"/>
      <c r="C1611"/>
      <c r="D1611"/>
      <c r="E1611" s="42"/>
      <c r="F1611" s="42"/>
      <c r="G1611"/>
    </row>
    <row r="1612" spans="1:7" ht="15">
      <c r="A1612"/>
      <c r="B1612"/>
      <c r="C1612"/>
      <c r="D1612"/>
      <c r="E1612" s="42"/>
      <c r="F1612" s="42"/>
      <c r="G1612"/>
    </row>
    <row r="1613" spans="1:7" ht="15">
      <c r="A1613"/>
      <c r="B1613"/>
      <c r="C1613"/>
      <c r="D1613"/>
      <c r="E1613" s="42"/>
      <c r="F1613" s="42"/>
      <c r="G1613"/>
    </row>
    <row r="1614" spans="1:7" ht="15">
      <c r="A1614"/>
      <c r="B1614"/>
      <c r="C1614"/>
      <c r="D1614"/>
      <c r="E1614" s="42"/>
      <c r="F1614" s="42"/>
      <c r="G1614"/>
    </row>
    <row r="1615" spans="1:7" ht="15">
      <c r="A1615"/>
      <c r="B1615"/>
      <c r="C1615"/>
      <c r="D1615"/>
      <c r="E1615" s="42"/>
      <c r="F1615" s="42"/>
      <c r="G1615"/>
    </row>
    <row r="1616" spans="1:7" ht="15">
      <c r="A1616"/>
      <c r="B1616"/>
      <c r="C1616"/>
      <c r="D1616"/>
      <c r="E1616" s="42"/>
      <c r="F1616" s="42"/>
      <c r="G1616"/>
    </row>
    <row r="1617" spans="1:7" ht="15">
      <c r="A1617"/>
      <c r="B1617"/>
      <c r="C1617"/>
      <c r="D1617"/>
      <c r="E1617" s="42"/>
      <c r="F1617" s="42"/>
      <c r="G1617"/>
    </row>
    <row r="1618" spans="1:7" ht="15">
      <c r="A1618"/>
      <c r="B1618"/>
      <c r="C1618"/>
      <c r="D1618"/>
      <c r="E1618" s="42"/>
      <c r="F1618" s="42"/>
      <c r="G1618"/>
    </row>
    <row r="1619" spans="1:7" ht="15">
      <c r="A1619"/>
      <c r="B1619"/>
      <c r="C1619"/>
      <c r="D1619"/>
      <c r="E1619" s="42"/>
      <c r="F1619" s="42"/>
      <c r="G1619"/>
    </row>
    <row r="1620" spans="1:7" ht="15">
      <c r="A1620"/>
      <c r="B1620"/>
      <c r="C1620"/>
      <c r="D1620"/>
      <c r="E1620" s="42"/>
      <c r="F1620" s="42"/>
      <c r="G1620"/>
    </row>
    <row r="1621" spans="1:7" ht="15">
      <c r="A1621"/>
      <c r="B1621"/>
      <c r="C1621"/>
      <c r="D1621"/>
      <c r="E1621" s="42"/>
      <c r="F1621" s="42"/>
      <c r="G1621"/>
    </row>
    <row r="1622" spans="1:7" ht="15">
      <c r="A1622"/>
      <c r="B1622"/>
      <c r="C1622"/>
      <c r="D1622"/>
      <c r="E1622" s="42"/>
      <c r="F1622" s="42"/>
      <c r="G1622"/>
    </row>
    <row r="1623" spans="1:7" ht="15">
      <c r="A1623"/>
      <c r="B1623"/>
      <c r="C1623"/>
      <c r="D1623"/>
      <c r="E1623" s="42"/>
      <c r="F1623" s="42"/>
      <c r="G1623"/>
    </row>
    <row r="1624" spans="1:7" ht="15">
      <c r="A1624"/>
      <c r="B1624"/>
      <c r="C1624"/>
      <c r="D1624"/>
      <c r="E1624" s="42"/>
      <c r="F1624" s="42"/>
      <c r="G1624"/>
    </row>
    <row r="1625" spans="1:7" ht="15">
      <c r="A1625"/>
      <c r="B1625"/>
      <c r="C1625"/>
      <c r="D1625"/>
      <c r="E1625" s="42"/>
      <c r="F1625" s="42"/>
      <c r="G1625"/>
    </row>
    <row r="1626" spans="1:7" ht="15">
      <c r="A1626"/>
      <c r="B1626"/>
      <c r="C1626"/>
      <c r="D1626"/>
      <c r="E1626" s="42"/>
      <c r="F1626" s="42"/>
      <c r="G1626"/>
    </row>
    <row r="1627" spans="1:7" ht="15">
      <c r="A1627"/>
      <c r="B1627"/>
      <c r="C1627"/>
      <c r="D1627"/>
      <c r="E1627" s="42"/>
      <c r="F1627" s="42"/>
      <c r="G1627"/>
    </row>
    <row r="1628" spans="1:7" ht="15">
      <c r="A1628"/>
      <c r="B1628"/>
      <c r="C1628"/>
      <c r="D1628"/>
      <c r="E1628" s="42"/>
      <c r="F1628" s="42"/>
      <c r="G1628"/>
    </row>
    <row r="1629" spans="1:7" ht="15">
      <c r="A1629"/>
      <c r="B1629"/>
      <c r="C1629"/>
      <c r="D1629"/>
      <c r="E1629" s="42"/>
      <c r="F1629" s="42"/>
      <c r="G1629"/>
    </row>
    <row r="1630" spans="1:7" ht="15">
      <c r="A1630"/>
      <c r="B1630"/>
      <c r="C1630"/>
      <c r="D1630"/>
      <c r="E1630" s="42"/>
      <c r="F1630" s="42"/>
      <c r="G1630"/>
    </row>
    <row r="1631" spans="1:7" ht="15">
      <c r="A1631"/>
      <c r="B1631"/>
      <c r="C1631"/>
      <c r="D1631"/>
      <c r="E1631" s="42"/>
      <c r="F1631" s="42"/>
      <c r="G1631"/>
    </row>
    <row r="1632" spans="1:7" ht="15">
      <c r="A1632"/>
      <c r="B1632"/>
      <c r="C1632"/>
      <c r="D1632"/>
      <c r="E1632" s="42"/>
      <c r="F1632" s="42"/>
      <c r="G1632"/>
    </row>
    <row r="1633" spans="1:7" ht="15">
      <c r="A1633"/>
      <c r="B1633"/>
      <c r="C1633"/>
      <c r="D1633"/>
      <c r="E1633" s="42"/>
      <c r="F1633" s="42"/>
      <c r="G1633"/>
    </row>
    <row r="1634" spans="1:7" ht="15">
      <c r="A1634"/>
      <c r="B1634"/>
      <c r="C1634"/>
      <c r="D1634"/>
      <c r="E1634" s="42"/>
      <c r="F1634" s="42"/>
      <c r="G1634"/>
    </row>
    <row r="1635" spans="1:7" ht="15">
      <c r="A1635"/>
      <c r="B1635"/>
      <c r="C1635"/>
      <c r="D1635"/>
      <c r="E1635" s="42"/>
      <c r="F1635" s="42"/>
      <c r="G1635"/>
    </row>
    <row r="1636" spans="1:7" ht="15">
      <c r="A1636"/>
      <c r="B1636"/>
      <c r="C1636"/>
      <c r="D1636"/>
      <c r="E1636" s="42"/>
      <c r="F1636" s="42"/>
      <c r="G1636"/>
    </row>
    <row r="1637" spans="1:7" ht="15">
      <c r="A1637"/>
      <c r="B1637"/>
      <c r="C1637"/>
      <c r="D1637"/>
      <c r="E1637" s="42"/>
      <c r="F1637" s="42"/>
      <c r="G1637"/>
    </row>
    <row r="1638" spans="1:7" ht="15">
      <c r="A1638"/>
      <c r="B1638"/>
      <c r="C1638"/>
      <c r="D1638"/>
      <c r="E1638" s="42"/>
      <c r="F1638" s="42"/>
      <c r="G1638"/>
    </row>
    <row r="1639" spans="1:7" ht="15">
      <c r="A1639"/>
      <c r="B1639"/>
      <c r="C1639"/>
      <c r="D1639"/>
      <c r="E1639" s="42"/>
      <c r="F1639" s="42"/>
      <c r="G1639"/>
    </row>
    <row r="1640" spans="1:7" ht="15">
      <c r="A1640"/>
      <c r="B1640"/>
      <c r="C1640"/>
      <c r="D1640"/>
      <c r="E1640" s="42"/>
      <c r="F1640" s="42"/>
      <c r="G1640"/>
    </row>
    <row r="1641" spans="1:7" ht="15">
      <c r="A1641"/>
      <c r="B1641"/>
      <c r="C1641"/>
      <c r="D1641"/>
      <c r="E1641" s="42"/>
      <c r="F1641" s="42"/>
      <c r="G1641"/>
    </row>
    <row r="1642" spans="1:7" ht="15">
      <c r="A1642"/>
      <c r="B1642"/>
      <c r="C1642"/>
      <c r="D1642"/>
      <c r="E1642" s="42"/>
      <c r="F1642" s="42"/>
      <c r="G1642"/>
    </row>
    <row r="1643" spans="1:7" ht="15">
      <c r="A1643"/>
      <c r="B1643"/>
      <c r="C1643"/>
      <c r="D1643"/>
      <c r="E1643" s="42"/>
      <c r="F1643" s="42"/>
      <c r="G1643"/>
    </row>
    <row r="1644" spans="1:7" ht="15">
      <c r="A1644"/>
      <c r="B1644"/>
      <c r="C1644"/>
      <c r="D1644"/>
      <c r="E1644" s="42"/>
      <c r="F1644" s="42"/>
      <c r="G1644"/>
    </row>
    <row r="1645" spans="1:7" ht="15">
      <c r="A1645"/>
      <c r="B1645"/>
      <c r="C1645"/>
      <c r="D1645"/>
      <c r="E1645" s="42"/>
      <c r="F1645" s="42"/>
      <c r="G1645"/>
    </row>
    <row r="1646" spans="1:7" ht="15">
      <c r="A1646"/>
      <c r="B1646"/>
      <c r="C1646"/>
      <c r="D1646"/>
      <c r="E1646" s="42"/>
      <c r="F1646" s="42"/>
      <c r="G1646"/>
    </row>
    <row r="1647" spans="1:7" ht="15">
      <c r="A1647"/>
      <c r="B1647"/>
      <c r="C1647"/>
      <c r="D1647"/>
      <c r="E1647" s="42"/>
      <c r="F1647" s="42"/>
      <c r="G1647"/>
    </row>
    <row r="1648" spans="1:7" ht="15">
      <c r="A1648"/>
      <c r="B1648"/>
      <c r="C1648"/>
      <c r="D1648"/>
      <c r="E1648" s="42"/>
      <c r="F1648" s="42"/>
      <c r="G1648"/>
    </row>
    <row r="1649" spans="1:7" ht="15">
      <c r="A1649"/>
      <c r="B1649"/>
      <c r="C1649"/>
      <c r="D1649"/>
      <c r="E1649" s="42"/>
      <c r="F1649" s="42"/>
      <c r="G1649"/>
    </row>
    <row r="1650" spans="1:7" ht="15">
      <c r="A1650"/>
      <c r="B1650"/>
      <c r="C1650"/>
      <c r="D1650"/>
      <c r="E1650" s="42"/>
      <c r="F1650" s="42"/>
      <c r="G1650"/>
    </row>
    <row r="1651" spans="1:7" ht="15">
      <c r="A1651"/>
      <c r="B1651"/>
      <c r="C1651"/>
      <c r="D1651"/>
      <c r="E1651" s="42"/>
      <c r="F1651" s="42"/>
      <c r="G1651"/>
    </row>
    <row r="1652" spans="1:7" ht="15">
      <c r="A1652"/>
      <c r="B1652"/>
      <c r="C1652"/>
      <c r="D1652"/>
      <c r="E1652" s="42"/>
      <c r="F1652" s="42"/>
      <c r="G1652"/>
    </row>
    <row r="1653" spans="1:7" ht="15">
      <c r="A1653"/>
      <c r="B1653"/>
      <c r="C1653"/>
      <c r="D1653"/>
      <c r="E1653" s="42"/>
      <c r="F1653" s="42"/>
      <c r="G1653"/>
    </row>
    <row r="1654" spans="1:7" ht="15">
      <c r="A1654"/>
      <c r="B1654"/>
      <c r="C1654"/>
      <c r="D1654"/>
      <c r="E1654" s="42"/>
      <c r="F1654" s="42"/>
      <c r="G1654"/>
    </row>
    <row r="1655" spans="1:7" ht="15">
      <c r="A1655"/>
      <c r="B1655"/>
      <c r="C1655"/>
      <c r="D1655"/>
      <c r="E1655" s="42"/>
      <c r="F1655" s="42"/>
      <c r="G1655"/>
    </row>
    <row r="1656" spans="1:7" ht="15">
      <c r="A1656"/>
      <c r="B1656"/>
      <c r="C1656"/>
      <c r="D1656"/>
      <c r="E1656" s="42"/>
      <c r="F1656" s="42"/>
      <c r="G1656"/>
    </row>
    <row r="1657" spans="1:7" ht="15">
      <c r="A1657"/>
      <c r="B1657"/>
      <c r="C1657"/>
      <c r="D1657"/>
      <c r="E1657" s="42"/>
      <c r="F1657" s="42"/>
      <c r="G1657"/>
    </row>
    <row r="1658" spans="1:7" ht="15">
      <c r="A1658"/>
      <c r="B1658"/>
      <c r="C1658"/>
      <c r="D1658"/>
      <c r="E1658" s="42"/>
      <c r="F1658" s="42"/>
      <c r="G1658"/>
    </row>
    <row r="1659" spans="1:7" ht="15">
      <c r="A1659"/>
      <c r="B1659"/>
      <c r="C1659"/>
      <c r="D1659"/>
      <c r="E1659" s="42"/>
      <c r="F1659" s="42"/>
      <c r="G1659"/>
    </row>
    <row r="1660" spans="1:7" ht="15">
      <c r="A1660"/>
      <c r="B1660"/>
      <c r="C1660"/>
      <c r="D1660"/>
      <c r="E1660" s="42"/>
      <c r="F1660" s="42"/>
      <c r="G1660"/>
    </row>
    <row r="1661" spans="1:7" ht="15">
      <c r="A1661"/>
      <c r="B1661"/>
      <c r="C1661"/>
      <c r="D1661"/>
      <c r="E1661" s="42"/>
      <c r="F1661" s="42"/>
      <c r="G1661"/>
    </row>
    <row r="1662" spans="1:7" ht="15">
      <c r="A1662"/>
      <c r="B1662"/>
      <c r="C1662"/>
      <c r="D1662"/>
      <c r="E1662" s="42"/>
      <c r="F1662" s="42"/>
      <c r="G1662"/>
    </row>
    <row r="1663" spans="1:7" ht="15">
      <c r="A1663"/>
      <c r="B1663"/>
      <c r="C1663"/>
      <c r="D1663"/>
      <c r="E1663" s="42"/>
      <c r="F1663" s="42"/>
      <c r="G1663"/>
    </row>
    <row r="1664" spans="1:7" ht="15">
      <c r="A1664"/>
      <c r="B1664"/>
      <c r="C1664"/>
      <c r="D1664"/>
      <c r="E1664" s="42"/>
      <c r="F1664" s="42"/>
      <c r="G1664"/>
    </row>
    <row r="1665" spans="1:7" ht="15">
      <c r="A1665"/>
      <c r="B1665"/>
      <c r="C1665"/>
      <c r="D1665"/>
      <c r="E1665" s="42"/>
      <c r="F1665" s="42"/>
      <c r="G1665"/>
    </row>
    <row r="1666" spans="1:7" ht="15">
      <c r="A1666"/>
      <c r="B1666"/>
      <c r="C1666"/>
      <c r="D1666"/>
      <c r="E1666" s="42"/>
      <c r="F1666" s="42"/>
      <c r="G1666"/>
    </row>
    <row r="1667" spans="1:7" ht="15">
      <c r="A1667"/>
      <c r="B1667"/>
      <c r="C1667"/>
      <c r="D1667"/>
      <c r="E1667" s="42"/>
      <c r="F1667" s="42"/>
      <c r="G1667"/>
    </row>
    <row r="1668" spans="1:7" ht="15">
      <c r="A1668"/>
      <c r="B1668"/>
      <c r="C1668"/>
      <c r="D1668"/>
      <c r="E1668" s="42"/>
      <c r="F1668" s="42"/>
      <c r="G1668"/>
    </row>
    <row r="1669" spans="1:7" ht="15">
      <c r="A1669"/>
      <c r="B1669"/>
      <c r="C1669"/>
      <c r="D1669"/>
      <c r="E1669" s="42"/>
      <c r="F1669" s="42"/>
      <c r="G1669"/>
    </row>
    <row r="1670" spans="1:7" ht="15">
      <c r="A1670"/>
      <c r="B1670"/>
      <c r="C1670"/>
      <c r="D1670"/>
      <c r="E1670" s="42"/>
      <c r="F1670" s="42"/>
      <c r="G1670"/>
    </row>
    <row r="1671" spans="1:7" ht="15">
      <c r="A1671"/>
      <c r="B1671"/>
      <c r="C1671"/>
      <c r="D1671"/>
      <c r="E1671" s="42"/>
      <c r="F1671" s="42"/>
      <c r="G1671"/>
    </row>
    <row r="1672" spans="1:7" ht="15">
      <c r="A1672"/>
      <c r="B1672"/>
      <c r="C1672"/>
      <c r="D1672"/>
      <c r="E1672" s="42"/>
      <c r="F1672" s="42"/>
      <c r="G1672"/>
    </row>
    <row r="1673" spans="1:7" ht="15">
      <c r="A1673"/>
      <c r="B1673"/>
      <c r="C1673"/>
      <c r="D1673"/>
      <c r="E1673" s="42"/>
      <c r="F1673" s="42"/>
      <c r="G1673"/>
    </row>
    <row r="1674" spans="1:7" ht="15">
      <c r="A1674"/>
      <c r="B1674"/>
      <c r="C1674"/>
      <c r="D1674"/>
      <c r="E1674" s="42"/>
      <c r="F1674" s="42"/>
      <c r="G1674"/>
    </row>
    <row r="1675" spans="1:7" ht="15">
      <c r="A1675"/>
      <c r="B1675"/>
      <c r="C1675"/>
      <c r="D1675"/>
      <c r="E1675" s="42"/>
      <c r="F1675" s="42"/>
      <c r="G1675"/>
    </row>
    <row r="1676" spans="1:7" ht="15">
      <c r="A1676"/>
      <c r="B1676"/>
      <c r="C1676"/>
      <c r="D1676"/>
      <c r="E1676" s="42"/>
      <c r="F1676" s="42"/>
      <c r="G1676"/>
    </row>
    <row r="1677" spans="1:7" ht="15">
      <c r="A1677"/>
      <c r="B1677"/>
      <c r="C1677"/>
      <c r="D1677"/>
      <c r="E1677" s="42"/>
      <c r="F1677" s="42"/>
      <c r="G1677"/>
    </row>
    <row r="1678" spans="1:7" ht="15">
      <c r="A1678"/>
      <c r="B1678"/>
      <c r="C1678"/>
      <c r="D1678"/>
      <c r="E1678" s="42"/>
      <c r="F1678" s="42"/>
      <c r="G1678"/>
    </row>
    <row r="1679" spans="1:7" ht="15">
      <c r="A1679"/>
      <c r="B1679"/>
      <c r="C1679"/>
      <c r="D1679"/>
      <c r="E1679" s="42"/>
      <c r="F1679" s="42"/>
      <c r="G1679"/>
    </row>
    <row r="1680" spans="1:7" ht="15">
      <c r="A1680"/>
      <c r="B1680"/>
      <c r="C1680"/>
      <c r="D1680"/>
      <c r="E1680" s="42"/>
      <c r="F1680" s="42"/>
      <c r="G1680"/>
    </row>
    <row r="1681" spans="1:7" ht="15">
      <c r="A1681"/>
      <c r="B1681"/>
      <c r="C1681"/>
      <c r="D1681"/>
      <c r="E1681" s="42"/>
      <c r="F1681" s="42"/>
      <c r="G1681"/>
    </row>
    <row r="1682" spans="1:7" ht="15">
      <c r="A1682"/>
      <c r="B1682"/>
      <c r="C1682"/>
      <c r="D1682"/>
      <c r="E1682" s="42"/>
      <c r="F1682" s="42"/>
      <c r="G1682"/>
    </row>
    <row r="1683" spans="1:7" ht="15">
      <c r="A1683"/>
      <c r="B1683"/>
      <c r="C1683"/>
      <c r="D1683"/>
      <c r="E1683" s="42"/>
      <c r="F1683" s="42"/>
      <c r="G1683"/>
    </row>
    <row r="1684" spans="1:7" ht="15">
      <c r="A1684"/>
      <c r="B1684"/>
      <c r="C1684"/>
      <c r="D1684"/>
      <c r="E1684" s="42"/>
      <c r="F1684" s="42"/>
      <c r="G1684"/>
    </row>
    <row r="1685" spans="1:7" ht="15">
      <c r="A1685"/>
      <c r="B1685"/>
      <c r="C1685"/>
      <c r="D1685"/>
      <c r="E1685" s="42"/>
      <c r="F1685" s="42"/>
      <c r="G1685"/>
    </row>
    <row r="1686" spans="1:7" ht="15">
      <c r="A1686"/>
      <c r="B1686"/>
      <c r="C1686"/>
      <c r="D1686"/>
      <c r="E1686" s="42"/>
      <c r="F1686" s="42"/>
      <c r="G1686"/>
    </row>
    <row r="1687" spans="1:7" ht="15">
      <c r="A1687"/>
      <c r="B1687"/>
      <c r="C1687"/>
      <c r="D1687"/>
      <c r="E1687" s="42"/>
      <c r="F1687" s="42"/>
      <c r="G1687"/>
    </row>
    <row r="1688" spans="1:7" ht="15">
      <c r="A1688"/>
      <c r="B1688"/>
      <c r="C1688"/>
      <c r="D1688"/>
      <c r="E1688" s="42"/>
      <c r="F1688" s="42"/>
      <c r="G1688"/>
    </row>
    <row r="1689" spans="1:7" ht="15">
      <c r="A1689"/>
      <c r="B1689"/>
      <c r="C1689"/>
      <c r="D1689"/>
      <c r="E1689" s="42"/>
      <c r="F1689" s="42"/>
      <c r="G1689"/>
    </row>
    <row r="1690" spans="1:7" ht="15">
      <c r="A1690"/>
      <c r="B1690"/>
      <c r="C1690"/>
      <c r="D1690"/>
      <c r="E1690" s="42"/>
      <c r="F1690" s="42"/>
      <c r="G1690"/>
    </row>
    <row r="1691" spans="1:7" ht="15">
      <c r="A1691"/>
      <c r="B1691"/>
      <c r="C1691"/>
      <c r="D1691"/>
      <c r="E1691" s="42"/>
      <c r="F1691" s="42"/>
      <c r="G1691"/>
    </row>
    <row r="1692" spans="1:7" ht="15">
      <c r="A1692"/>
      <c r="B1692"/>
      <c r="C1692"/>
      <c r="D1692"/>
      <c r="E1692" s="42"/>
      <c r="F1692" s="42"/>
      <c r="G1692"/>
    </row>
    <row r="1693" spans="1:7" ht="15">
      <c r="A1693"/>
      <c r="B1693"/>
      <c r="C1693"/>
      <c r="D1693"/>
      <c r="E1693" s="42"/>
      <c r="F1693" s="42"/>
      <c r="G1693"/>
    </row>
    <row r="1694" spans="1:7" ht="15">
      <c r="A1694"/>
      <c r="B1694"/>
      <c r="C1694"/>
      <c r="D1694"/>
      <c r="E1694" s="42"/>
      <c r="F1694" s="42"/>
      <c r="G1694"/>
    </row>
    <row r="1695" spans="1:7" ht="15">
      <c r="A1695"/>
      <c r="B1695"/>
      <c r="C1695"/>
      <c r="D1695"/>
      <c r="E1695" s="42"/>
      <c r="F1695" s="42"/>
      <c r="G1695"/>
    </row>
    <row r="1696" spans="1:7" ht="15">
      <c r="A1696"/>
      <c r="B1696"/>
      <c r="C1696"/>
      <c r="D1696"/>
      <c r="E1696" s="42"/>
      <c r="F1696" s="42"/>
      <c r="G1696"/>
    </row>
    <row r="1697" spans="1:7" ht="15">
      <c r="A1697"/>
      <c r="B1697"/>
      <c r="C1697"/>
      <c r="D1697"/>
      <c r="E1697" s="42"/>
      <c r="F1697" s="42"/>
      <c r="G1697"/>
    </row>
    <row r="1698" spans="1:7" ht="15">
      <c r="A1698"/>
      <c r="B1698"/>
      <c r="C1698"/>
      <c r="D1698"/>
      <c r="E1698" s="42"/>
      <c r="F1698" s="42"/>
      <c r="G1698"/>
    </row>
    <row r="1699" spans="1:7" ht="15">
      <c r="A1699"/>
      <c r="B1699"/>
      <c r="C1699"/>
      <c r="D1699"/>
      <c r="E1699" s="42"/>
      <c r="F1699" s="42"/>
      <c r="G1699"/>
    </row>
    <row r="1700" spans="1:7" ht="15">
      <c r="A1700"/>
      <c r="B1700"/>
      <c r="C1700"/>
      <c r="D1700"/>
      <c r="E1700" s="42"/>
      <c r="F1700" s="42"/>
      <c r="G1700"/>
    </row>
    <row r="1701" spans="1:7" ht="15">
      <c r="A1701"/>
      <c r="B1701"/>
      <c r="C1701"/>
      <c r="D1701"/>
      <c r="E1701" s="42"/>
      <c r="F1701" s="42"/>
      <c r="G1701"/>
    </row>
    <row r="1702" spans="1:7" ht="15">
      <c r="A1702"/>
      <c r="B1702"/>
      <c r="C1702"/>
      <c r="D1702"/>
      <c r="E1702" s="42"/>
      <c r="F1702" s="42"/>
      <c r="G1702"/>
    </row>
    <row r="1703" spans="1:7" ht="15">
      <c r="A1703"/>
      <c r="B1703"/>
      <c r="C1703"/>
      <c r="D1703"/>
      <c r="E1703" s="42"/>
      <c r="F1703" s="42"/>
      <c r="G1703"/>
    </row>
    <row r="1704" spans="1:7" ht="15">
      <c r="A1704"/>
      <c r="B1704"/>
      <c r="C1704"/>
      <c r="D1704"/>
      <c r="E1704" s="42"/>
      <c r="F1704" s="42"/>
      <c r="G1704"/>
    </row>
    <row r="1705" spans="1:7" ht="15">
      <c r="A1705"/>
      <c r="B1705"/>
      <c r="C1705"/>
      <c r="D1705"/>
      <c r="E1705" s="42"/>
      <c r="F1705" s="42"/>
      <c r="G1705"/>
    </row>
    <row r="1706" spans="1:7" ht="15">
      <c r="A1706"/>
      <c r="B1706"/>
      <c r="C1706"/>
      <c r="D1706"/>
      <c r="E1706" s="42"/>
      <c r="F1706" s="42"/>
      <c r="G1706"/>
    </row>
    <row r="1707" spans="1:7" ht="15">
      <c r="A1707"/>
      <c r="B1707"/>
      <c r="C1707"/>
      <c r="D1707"/>
      <c r="E1707" s="42"/>
      <c r="F1707" s="42"/>
      <c r="G1707"/>
    </row>
    <row r="1708" spans="1:7" ht="15">
      <c r="A1708"/>
      <c r="B1708"/>
      <c r="C1708"/>
      <c r="D1708"/>
      <c r="E1708" s="42"/>
      <c r="F1708" s="42"/>
      <c r="G1708"/>
    </row>
    <row r="1709" spans="1:7" ht="15">
      <c r="A1709"/>
      <c r="B1709"/>
      <c r="C1709"/>
      <c r="D1709"/>
      <c r="E1709" s="42"/>
      <c r="F1709" s="42"/>
      <c r="G1709"/>
    </row>
    <row r="1710" spans="1:7" ht="15">
      <c r="A1710"/>
      <c r="B1710"/>
      <c r="C1710"/>
      <c r="D1710"/>
      <c r="E1710" s="42"/>
      <c r="F1710" s="42"/>
      <c r="G1710"/>
    </row>
    <row r="1711" spans="1:7" ht="15">
      <c r="A1711"/>
      <c r="B1711"/>
      <c r="C1711"/>
      <c r="D1711"/>
      <c r="E1711" s="42"/>
      <c r="F1711" s="42"/>
      <c r="G1711"/>
    </row>
    <row r="1712" spans="1:7" ht="15">
      <c r="A1712"/>
      <c r="B1712"/>
      <c r="C1712"/>
      <c r="D1712"/>
      <c r="E1712" s="42"/>
      <c r="F1712" s="42"/>
      <c r="G1712"/>
    </row>
    <row r="1713" spans="1:7" ht="15">
      <c r="A1713"/>
      <c r="B1713"/>
      <c r="C1713"/>
      <c r="D1713"/>
      <c r="E1713" s="42"/>
      <c r="F1713" s="42"/>
      <c r="G1713"/>
    </row>
    <row r="1714" spans="1:7" ht="15">
      <c r="A1714"/>
      <c r="B1714"/>
      <c r="C1714"/>
      <c r="D1714"/>
      <c r="E1714" s="42"/>
      <c r="F1714" s="42"/>
      <c r="G1714"/>
    </row>
    <row r="1715" spans="1:7" ht="15">
      <c r="A1715"/>
      <c r="B1715"/>
      <c r="C1715"/>
      <c r="D1715"/>
      <c r="E1715" s="42"/>
      <c r="F1715" s="42"/>
      <c r="G1715"/>
    </row>
    <row r="1716" spans="1:7" ht="15">
      <c r="A1716"/>
      <c r="B1716"/>
      <c r="C1716"/>
      <c r="D1716"/>
      <c r="E1716" s="42"/>
      <c r="F1716" s="42"/>
      <c r="G1716"/>
    </row>
    <row r="1717" spans="1:7" ht="15">
      <c r="A1717"/>
      <c r="B1717"/>
      <c r="C1717"/>
      <c r="D1717"/>
      <c r="E1717" s="42"/>
      <c r="F1717" s="42"/>
      <c r="G1717"/>
    </row>
    <row r="1718" spans="1:7" ht="15">
      <c r="A1718"/>
      <c r="B1718"/>
      <c r="C1718"/>
      <c r="D1718"/>
      <c r="E1718" s="42"/>
      <c r="F1718" s="42"/>
      <c r="G1718"/>
    </row>
    <row r="1719" spans="1:7" ht="15">
      <c r="A1719"/>
      <c r="B1719"/>
      <c r="C1719"/>
      <c r="D1719"/>
      <c r="E1719" s="42"/>
      <c r="F1719" s="42"/>
      <c r="G1719"/>
    </row>
    <row r="1720" spans="1:7" ht="15">
      <c r="A1720"/>
      <c r="B1720"/>
      <c r="C1720"/>
      <c r="D1720"/>
      <c r="E1720" s="42"/>
      <c r="F1720" s="42"/>
      <c r="G1720"/>
    </row>
    <row r="1721" spans="1:7" ht="15">
      <c r="A1721"/>
      <c r="B1721"/>
      <c r="C1721"/>
      <c r="D1721"/>
      <c r="E1721" s="42"/>
      <c r="F1721" s="42"/>
      <c r="G1721"/>
    </row>
    <row r="1722" spans="1:7" ht="15">
      <c r="A1722"/>
      <c r="B1722"/>
      <c r="C1722"/>
      <c r="D1722"/>
      <c r="E1722" s="42"/>
      <c r="F1722" s="42"/>
      <c r="G1722"/>
    </row>
    <row r="1723" spans="1:7" ht="15">
      <c r="A1723"/>
      <c r="B1723"/>
      <c r="C1723"/>
      <c r="D1723"/>
      <c r="E1723" s="42"/>
      <c r="F1723" s="42"/>
      <c r="G1723"/>
    </row>
    <row r="1724" spans="1:7" ht="15">
      <c r="A1724"/>
      <c r="B1724"/>
      <c r="C1724"/>
      <c r="D1724"/>
      <c r="E1724" s="42"/>
      <c r="F1724" s="42"/>
      <c r="G1724"/>
    </row>
    <row r="1725" spans="1:7" ht="15">
      <c r="A1725"/>
      <c r="B1725"/>
      <c r="C1725"/>
      <c r="D1725"/>
      <c r="E1725" s="42"/>
      <c r="F1725" s="42"/>
      <c r="G1725"/>
    </row>
    <row r="1726" spans="1:7" ht="15">
      <c r="A1726"/>
      <c r="B1726"/>
      <c r="C1726"/>
      <c r="D1726"/>
      <c r="E1726" s="42"/>
      <c r="F1726" s="42"/>
      <c r="G1726"/>
    </row>
    <row r="1727" spans="1:7" ht="15">
      <c r="A1727"/>
      <c r="B1727"/>
      <c r="C1727"/>
      <c r="D1727"/>
      <c r="E1727" s="42"/>
      <c r="F1727" s="42"/>
      <c r="G1727"/>
    </row>
    <row r="1728" spans="1:7" ht="15">
      <c r="A1728"/>
      <c r="B1728"/>
      <c r="C1728"/>
      <c r="D1728"/>
      <c r="E1728" s="42"/>
      <c r="F1728" s="42"/>
      <c r="G1728"/>
    </row>
    <row r="1729" spans="1:7" ht="15">
      <c r="A1729"/>
      <c r="B1729"/>
      <c r="C1729"/>
      <c r="D1729"/>
      <c r="E1729" s="42"/>
      <c r="F1729" s="42"/>
      <c r="G1729"/>
    </row>
    <row r="1730" spans="1:7" ht="15">
      <c r="A1730"/>
      <c r="B1730"/>
      <c r="C1730"/>
      <c r="D1730"/>
      <c r="E1730" s="42"/>
      <c r="F1730" s="42"/>
      <c r="G1730"/>
    </row>
    <row r="1731" spans="1:7" ht="15">
      <c r="A1731"/>
      <c r="B1731"/>
      <c r="C1731"/>
      <c r="D1731"/>
      <c r="E1731" s="42"/>
      <c r="F1731" s="42"/>
      <c r="G1731"/>
    </row>
    <row r="1732" spans="1:7" ht="15">
      <c r="A1732"/>
      <c r="B1732"/>
      <c r="C1732"/>
      <c r="D1732"/>
      <c r="E1732" s="42"/>
      <c r="F1732" s="42"/>
      <c r="G1732"/>
    </row>
    <row r="1733" spans="1:7" ht="15">
      <c r="A1733"/>
      <c r="B1733"/>
      <c r="C1733"/>
      <c r="D1733"/>
      <c r="E1733" s="42"/>
      <c r="F1733" s="42"/>
      <c r="G1733"/>
    </row>
    <row r="1734" spans="1:7" ht="15">
      <c r="A1734"/>
      <c r="B1734"/>
      <c r="C1734"/>
      <c r="D1734"/>
      <c r="E1734" s="42"/>
      <c r="F1734" s="42"/>
      <c r="G1734"/>
    </row>
    <row r="1735" spans="1:7" ht="15">
      <c r="A1735"/>
      <c r="B1735"/>
      <c r="C1735"/>
      <c r="D1735"/>
      <c r="E1735" s="42"/>
      <c r="F1735" s="42"/>
      <c r="G1735"/>
    </row>
    <row r="1736" spans="1:7" ht="15">
      <c r="A1736"/>
      <c r="B1736"/>
      <c r="C1736"/>
      <c r="D1736"/>
      <c r="E1736" s="42"/>
      <c r="F1736" s="42"/>
      <c r="G1736"/>
    </row>
    <row r="1737" spans="1:7" ht="15">
      <c r="A1737"/>
      <c r="B1737"/>
      <c r="C1737"/>
      <c r="D1737"/>
      <c r="E1737" s="42"/>
      <c r="F1737" s="42"/>
      <c r="G1737"/>
    </row>
    <row r="1738" spans="1:7" ht="15">
      <c r="A1738"/>
      <c r="B1738"/>
      <c r="C1738"/>
      <c r="D1738"/>
      <c r="E1738" s="42"/>
      <c r="F1738" s="42"/>
      <c r="G1738"/>
    </row>
    <row r="1739" spans="1:7" ht="15">
      <c r="A1739"/>
      <c r="B1739"/>
      <c r="C1739"/>
      <c r="D1739"/>
      <c r="E1739" s="42"/>
      <c r="F1739" s="42"/>
      <c r="G1739"/>
    </row>
    <row r="1740" spans="1:7" ht="15">
      <c r="A1740"/>
      <c r="B1740"/>
      <c r="C1740"/>
      <c r="D1740"/>
      <c r="E1740" s="42"/>
      <c r="F1740" s="42"/>
      <c r="G1740"/>
    </row>
    <row r="1741" spans="1:7" ht="15">
      <c r="A1741"/>
      <c r="B1741"/>
      <c r="C1741"/>
      <c r="D1741"/>
      <c r="E1741" s="42"/>
      <c r="F1741" s="42"/>
      <c r="G1741"/>
    </row>
    <row r="1742" spans="1:7" ht="15">
      <c r="A1742"/>
      <c r="B1742"/>
      <c r="C1742"/>
      <c r="D1742"/>
      <c r="E1742" s="42"/>
      <c r="F1742" s="42"/>
      <c r="G1742"/>
    </row>
    <row r="1743" spans="1:7" ht="15">
      <c r="A1743"/>
      <c r="B1743"/>
      <c r="C1743"/>
      <c r="D1743"/>
      <c r="E1743" s="42"/>
      <c r="F1743" s="42"/>
      <c r="G1743"/>
    </row>
    <row r="1744" spans="1:7" ht="15">
      <c r="A1744"/>
      <c r="B1744"/>
      <c r="C1744"/>
      <c r="D1744"/>
      <c r="E1744" s="42"/>
      <c r="F1744" s="42"/>
      <c r="G1744"/>
    </row>
    <row r="1745" spans="1:7" ht="15">
      <c r="A1745"/>
      <c r="B1745"/>
      <c r="C1745"/>
      <c r="D1745"/>
      <c r="E1745" s="42"/>
      <c r="F1745" s="42"/>
      <c r="G1745"/>
    </row>
    <row r="1746" spans="1:7" ht="15">
      <c r="A1746"/>
      <c r="B1746"/>
      <c r="C1746"/>
      <c r="D1746"/>
      <c r="E1746" s="42"/>
      <c r="F1746" s="42"/>
      <c r="G1746"/>
    </row>
    <row r="1747" spans="1:7" ht="15">
      <c r="A1747"/>
      <c r="B1747"/>
      <c r="C1747"/>
      <c r="D1747"/>
      <c r="E1747" s="42"/>
      <c r="F1747" s="42"/>
      <c r="G1747"/>
    </row>
    <row r="1748" spans="1:7" ht="15">
      <c r="A1748"/>
      <c r="B1748"/>
      <c r="C1748"/>
      <c r="D1748"/>
      <c r="E1748" s="42"/>
      <c r="F1748" s="42"/>
      <c r="G1748"/>
    </row>
    <row r="1749" spans="1:7" ht="15">
      <c r="A1749"/>
      <c r="B1749"/>
      <c r="C1749"/>
      <c r="D1749"/>
      <c r="E1749" s="42"/>
      <c r="F1749" s="42"/>
      <c r="G1749"/>
    </row>
    <row r="1750" spans="1:7" ht="15">
      <c r="A1750"/>
      <c r="B1750"/>
      <c r="C1750"/>
      <c r="D1750"/>
      <c r="E1750" s="42"/>
      <c r="F1750" s="42"/>
      <c r="G1750"/>
    </row>
    <row r="1751" spans="1:7" ht="15">
      <c r="A1751"/>
      <c r="B1751"/>
      <c r="C1751"/>
      <c r="D1751"/>
      <c r="E1751" s="42"/>
      <c r="F1751" s="42"/>
      <c r="G1751"/>
    </row>
    <row r="1752" spans="1:7" ht="15">
      <c r="A1752"/>
      <c r="B1752"/>
      <c r="C1752"/>
      <c r="D1752"/>
      <c r="E1752" s="42"/>
      <c r="F1752" s="42"/>
      <c r="G1752"/>
    </row>
    <row r="1753" spans="1:7" ht="15">
      <c r="A1753"/>
      <c r="B1753"/>
      <c r="C1753"/>
      <c r="D1753"/>
      <c r="E1753" s="42"/>
      <c r="F1753" s="42"/>
      <c r="G1753"/>
    </row>
    <row r="1754" spans="1:7" ht="15">
      <c r="A1754"/>
      <c r="B1754"/>
      <c r="C1754"/>
      <c r="D1754"/>
      <c r="E1754" s="42"/>
      <c r="F1754" s="42"/>
      <c r="G1754"/>
    </row>
    <row r="1755" spans="1:7" ht="15">
      <c r="A1755"/>
      <c r="B1755"/>
      <c r="C1755"/>
      <c r="D1755"/>
      <c r="E1755" s="42"/>
      <c r="F1755" s="42"/>
      <c r="G1755"/>
    </row>
    <row r="1756" spans="1:7" ht="15">
      <c r="A1756"/>
      <c r="B1756"/>
      <c r="C1756"/>
      <c r="D1756"/>
      <c r="E1756" s="42"/>
      <c r="F1756" s="42"/>
      <c r="G1756"/>
    </row>
    <row r="1757" spans="1:7" ht="15">
      <c r="A1757"/>
      <c r="B1757"/>
      <c r="C1757"/>
      <c r="D1757"/>
      <c r="E1757" s="42"/>
      <c r="F1757" s="42"/>
      <c r="G1757"/>
    </row>
    <row r="1758" spans="1:7" ht="15">
      <c r="A1758"/>
      <c r="B1758"/>
      <c r="C1758"/>
      <c r="D1758"/>
      <c r="E1758" s="42"/>
      <c r="F1758" s="42"/>
      <c r="G1758"/>
    </row>
    <row r="1759" spans="1:7" ht="15">
      <c r="A1759"/>
      <c r="B1759"/>
      <c r="C1759"/>
      <c r="D1759"/>
      <c r="E1759" s="42"/>
      <c r="F1759" s="42"/>
      <c r="G1759"/>
    </row>
    <row r="1760" spans="1:7" ht="15">
      <c r="A1760"/>
      <c r="B1760"/>
      <c r="C1760"/>
      <c r="D1760"/>
      <c r="E1760" s="42"/>
      <c r="F1760" s="42"/>
      <c r="G1760"/>
    </row>
    <row r="1761" spans="1:7" ht="15">
      <c r="A1761"/>
      <c r="B1761"/>
      <c r="C1761"/>
      <c r="D1761"/>
      <c r="E1761" s="42"/>
      <c r="F1761" s="42"/>
      <c r="G1761"/>
    </row>
    <row r="1762" spans="1:7" ht="15">
      <c r="A1762"/>
      <c r="B1762"/>
      <c r="C1762"/>
      <c r="D1762"/>
      <c r="E1762" s="42"/>
      <c r="F1762" s="42"/>
      <c r="G1762"/>
    </row>
    <row r="1763" spans="1:7" ht="15">
      <c r="A1763"/>
      <c r="B1763"/>
      <c r="C1763"/>
      <c r="D1763"/>
      <c r="E1763" s="42"/>
      <c r="F1763" s="42"/>
      <c r="G1763"/>
    </row>
    <row r="1764" spans="1:7" ht="15">
      <c r="A1764"/>
      <c r="B1764"/>
      <c r="C1764"/>
      <c r="D1764"/>
      <c r="E1764" s="42"/>
      <c r="F1764" s="42"/>
      <c r="G1764"/>
    </row>
    <row r="1765" spans="1:7" ht="15">
      <c r="A1765"/>
      <c r="B1765"/>
      <c r="C1765"/>
      <c r="D1765"/>
      <c r="E1765" s="42"/>
      <c r="F1765" s="42"/>
      <c r="G1765"/>
    </row>
    <row r="1766" spans="1:7" ht="15">
      <c r="A1766"/>
      <c r="B1766"/>
      <c r="C1766"/>
      <c r="D1766"/>
      <c r="E1766" s="42"/>
      <c r="F1766" s="42"/>
      <c r="G1766"/>
    </row>
    <row r="1767" spans="1:7" ht="15">
      <c r="A1767"/>
      <c r="B1767"/>
      <c r="C1767"/>
      <c r="D1767"/>
      <c r="E1767" s="42"/>
      <c r="F1767" s="42"/>
      <c r="G1767"/>
    </row>
    <row r="1768" spans="1:7" ht="15">
      <c r="A1768"/>
      <c r="B1768"/>
      <c r="C1768"/>
      <c r="D1768"/>
      <c r="E1768" s="42"/>
      <c r="F1768" s="42"/>
      <c r="G1768"/>
    </row>
    <row r="1769" spans="1:7" ht="15">
      <c r="A1769"/>
      <c r="B1769"/>
      <c r="C1769"/>
      <c r="D1769"/>
      <c r="E1769" s="42"/>
      <c r="F1769" s="42"/>
      <c r="G1769"/>
    </row>
    <row r="1770" spans="1:7" ht="15">
      <c r="A1770"/>
      <c r="B1770"/>
      <c r="C1770"/>
      <c r="D1770"/>
      <c r="E1770" s="42"/>
      <c r="F1770" s="42"/>
      <c r="G1770"/>
    </row>
    <row r="1771" spans="1:7" ht="15">
      <c r="A1771"/>
      <c r="B1771"/>
      <c r="C1771"/>
      <c r="D1771"/>
      <c r="E1771" s="42"/>
      <c r="F1771" s="42"/>
      <c r="G1771"/>
    </row>
    <row r="1772" spans="1:7" ht="15">
      <c r="A1772"/>
      <c r="B1772"/>
      <c r="C1772"/>
      <c r="D1772"/>
      <c r="E1772" s="42"/>
      <c r="F1772" s="42"/>
      <c r="G1772"/>
    </row>
    <row r="1773" spans="1:7" ht="15">
      <c r="A1773"/>
      <c r="B1773"/>
      <c r="C1773"/>
      <c r="D1773"/>
      <c r="E1773" s="42"/>
      <c r="F1773" s="42"/>
      <c r="G1773"/>
    </row>
    <row r="1774" spans="1:7" ht="15">
      <c r="A1774"/>
      <c r="B1774"/>
      <c r="C1774"/>
      <c r="D1774"/>
      <c r="E1774" s="42"/>
      <c r="F1774" s="42"/>
      <c r="G1774"/>
    </row>
    <row r="1775" spans="1:7" ht="15">
      <c r="A1775"/>
      <c r="B1775"/>
      <c r="C1775"/>
      <c r="D1775"/>
      <c r="E1775" s="42"/>
      <c r="F1775" s="42"/>
      <c r="G1775"/>
    </row>
    <row r="1776" spans="1:7" ht="15">
      <c r="A1776"/>
      <c r="B1776"/>
      <c r="C1776"/>
      <c r="D1776"/>
      <c r="E1776" s="42"/>
      <c r="F1776" s="42"/>
      <c r="G1776"/>
    </row>
    <row r="1777" spans="1:7" ht="15">
      <c r="A1777"/>
      <c r="B1777"/>
      <c r="C1777"/>
      <c r="D1777"/>
      <c r="E1777" s="42"/>
      <c r="F1777" s="42"/>
      <c r="G1777"/>
    </row>
    <row r="1778" spans="1:7" ht="15">
      <c r="A1778"/>
      <c r="B1778"/>
      <c r="C1778"/>
      <c r="D1778"/>
      <c r="E1778" s="42"/>
      <c r="F1778" s="42"/>
      <c r="G1778"/>
    </row>
    <row r="1779" spans="1:7" ht="15">
      <c r="A1779"/>
      <c r="B1779"/>
      <c r="C1779"/>
      <c r="D1779"/>
      <c r="E1779" s="42"/>
      <c r="F1779" s="42"/>
      <c r="G1779"/>
    </row>
    <row r="1780" spans="1:7" ht="15">
      <c r="A1780"/>
      <c r="B1780"/>
      <c r="C1780"/>
      <c r="D1780"/>
      <c r="E1780" s="42"/>
      <c r="F1780" s="42"/>
      <c r="G1780"/>
    </row>
    <row r="1781" spans="1:7" ht="15">
      <c r="A1781"/>
      <c r="B1781"/>
      <c r="C1781"/>
      <c r="D1781"/>
      <c r="E1781" s="42"/>
      <c r="F1781" s="42"/>
      <c r="G1781"/>
    </row>
    <row r="1782" spans="1:7" ht="15">
      <c r="A1782"/>
      <c r="B1782"/>
      <c r="C1782"/>
      <c r="D1782"/>
      <c r="E1782" s="42"/>
      <c r="F1782" s="42"/>
      <c r="G1782"/>
    </row>
    <row r="1783" spans="1:7" ht="15">
      <c r="A1783"/>
      <c r="B1783"/>
      <c r="C1783"/>
      <c r="D1783"/>
      <c r="E1783" s="42"/>
      <c r="F1783" s="42"/>
      <c r="G1783"/>
    </row>
    <row r="1784" spans="1:7" ht="15">
      <c r="A1784"/>
      <c r="B1784"/>
      <c r="C1784"/>
      <c r="D1784"/>
      <c r="E1784" s="42"/>
      <c r="F1784" s="42"/>
      <c r="G1784"/>
    </row>
    <row r="1785" spans="1:7" ht="15">
      <c r="A1785"/>
      <c r="B1785"/>
      <c r="C1785"/>
      <c r="D1785"/>
      <c r="E1785" s="42"/>
      <c r="F1785" s="42"/>
      <c r="G1785"/>
    </row>
    <row r="1786" spans="1:7" ht="15">
      <c r="A1786"/>
      <c r="B1786"/>
      <c r="C1786"/>
      <c r="D1786"/>
      <c r="E1786" s="42"/>
      <c r="F1786" s="42"/>
      <c r="G1786"/>
    </row>
    <row r="1787" spans="1:7" ht="15">
      <c r="A1787"/>
      <c r="B1787"/>
      <c r="C1787"/>
      <c r="D1787"/>
      <c r="E1787" s="42"/>
      <c r="F1787" s="42"/>
      <c r="G1787"/>
    </row>
    <row r="1788" spans="1:7" ht="15">
      <c r="A1788"/>
      <c r="B1788"/>
      <c r="C1788"/>
      <c r="D1788"/>
      <c r="E1788" s="42"/>
      <c r="F1788" s="42"/>
      <c r="G1788"/>
    </row>
    <row r="1789" spans="1:7" ht="15">
      <c r="A1789"/>
      <c r="B1789"/>
      <c r="C1789"/>
      <c r="D1789"/>
      <c r="E1789" s="42"/>
      <c r="F1789" s="42"/>
      <c r="G1789"/>
    </row>
    <row r="1790" spans="1:7" ht="15">
      <c r="A1790"/>
      <c r="B1790"/>
      <c r="C1790"/>
      <c r="D1790"/>
      <c r="E1790" s="42"/>
      <c r="F1790" s="42"/>
      <c r="G1790"/>
    </row>
    <row r="1791" spans="1:7" ht="15">
      <c r="A1791"/>
      <c r="B1791"/>
      <c r="C1791"/>
      <c r="D1791"/>
      <c r="E1791" s="42"/>
      <c r="F1791" s="42"/>
      <c r="G1791"/>
    </row>
    <row r="1792" spans="1:7" ht="15">
      <c r="A1792"/>
      <c r="B1792"/>
      <c r="C1792"/>
      <c r="D1792"/>
      <c r="E1792" s="42"/>
      <c r="F1792" s="42"/>
      <c r="G1792"/>
    </row>
    <row r="1793" spans="1:7" ht="15">
      <c r="A1793"/>
      <c r="B1793"/>
      <c r="C1793"/>
      <c r="D1793"/>
      <c r="E1793" s="42"/>
      <c r="F1793" s="42"/>
      <c r="G1793"/>
    </row>
    <row r="1794" spans="1:7" ht="15">
      <c r="A1794"/>
      <c r="B1794"/>
      <c r="C1794"/>
      <c r="D1794"/>
      <c r="E1794" s="42"/>
      <c r="F1794" s="42"/>
      <c r="G1794"/>
    </row>
    <row r="1795" spans="1:7" ht="15">
      <c r="A1795"/>
      <c r="B1795"/>
      <c r="C1795"/>
      <c r="D1795"/>
      <c r="E1795" s="42"/>
      <c r="F1795" s="42"/>
      <c r="G1795"/>
    </row>
    <row r="1796" spans="1:7" ht="15">
      <c r="A1796"/>
      <c r="B1796"/>
      <c r="C1796"/>
      <c r="D1796"/>
      <c r="E1796" s="42"/>
      <c r="F1796" s="42"/>
      <c r="G1796"/>
    </row>
    <row r="1797" spans="1:7" ht="15">
      <c r="A1797"/>
      <c r="B1797"/>
      <c r="C1797"/>
      <c r="D1797"/>
      <c r="E1797" s="42"/>
      <c r="F1797" s="42"/>
      <c r="G1797"/>
    </row>
    <row r="1798" spans="1:7" ht="15">
      <c r="A1798"/>
      <c r="B1798"/>
      <c r="C1798"/>
      <c r="D1798"/>
      <c r="E1798" s="42"/>
      <c r="F1798" s="42"/>
      <c r="G1798"/>
    </row>
    <row r="1799" spans="1:7" ht="15">
      <c r="A1799"/>
      <c r="B1799"/>
      <c r="C1799"/>
      <c r="D1799"/>
      <c r="E1799" s="42"/>
      <c r="F1799" s="42"/>
      <c r="G1799"/>
    </row>
    <row r="1800" spans="1:7" ht="15">
      <c r="A1800"/>
      <c r="B1800"/>
      <c r="C1800"/>
      <c r="D1800"/>
      <c r="E1800" s="42"/>
      <c r="F1800" s="42"/>
      <c r="G1800"/>
    </row>
    <row r="1801" spans="1:7" ht="15">
      <c r="A1801"/>
      <c r="B1801"/>
      <c r="C1801"/>
      <c r="D1801"/>
      <c r="E1801" s="42"/>
      <c r="F1801" s="42"/>
      <c r="G1801"/>
    </row>
    <row r="1802" spans="1:7" ht="15">
      <c r="A1802"/>
      <c r="B1802"/>
      <c r="C1802"/>
      <c r="D1802"/>
      <c r="E1802" s="42"/>
      <c r="F1802" s="42"/>
      <c r="G1802"/>
    </row>
    <row r="1803" spans="1:7" ht="15">
      <c r="A1803"/>
      <c r="B1803"/>
      <c r="C1803"/>
      <c r="D1803"/>
      <c r="E1803" s="42"/>
      <c r="F1803" s="42"/>
      <c r="G1803"/>
    </row>
    <row r="1804" spans="1:7" ht="15">
      <c r="A1804"/>
      <c r="B1804"/>
      <c r="C1804"/>
      <c r="D1804"/>
      <c r="E1804" s="42"/>
      <c r="F1804" s="42"/>
      <c r="G1804"/>
    </row>
    <row r="1805" spans="1:7" ht="15">
      <c r="A1805"/>
      <c r="B1805"/>
      <c r="C1805"/>
      <c r="D1805"/>
      <c r="E1805" s="42"/>
      <c r="F1805" s="42"/>
      <c r="G1805"/>
    </row>
    <row r="1806" spans="1:7" ht="15">
      <c r="A1806"/>
      <c r="B1806"/>
      <c r="C1806"/>
      <c r="D1806"/>
      <c r="E1806" s="42"/>
      <c r="F1806" s="42"/>
      <c r="G1806"/>
    </row>
    <row r="1807" spans="1:7" ht="15">
      <c r="A1807"/>
      <c r="B1807"/>
      <c r="C1807"/>
      <c r="D1807"/>
      <c r="E1807" s="42"/>
      <c r="F1807" s="42"/>
      <c r="G1807"/>
    </row>
    <row r="1808" spans="1:7" ht="15">
      <c r="A1808"/>
      <c r="B1808"/>
      <c r="C1808"/>
      <c r="D1808"/>
      <c r="E1808" s="42"/>
      <c r="F1808" s="42"/>
      <c r="G1808"/>
    </row>
    <row r="1809" spans="1:7" ht="15">
      <c r="A1809"/>
      <c r="B1809"/>
      <c r="C1809"/>
      <c r="D1809"/>
      <c r="E1809" s="42"/>
      <c r="F1809" s="42"/>
      <c r="G1809"/>
    </row>
    <row r="1810" spans="1:7" ht="15">
      <c r="A1810"/>
      <c r="B1810"/>
      <c r="C1810"/>
      <c r="D1810"/>
      <c r="E1810" s="42"/>
      <c r="F1810" s="42"/>
      <c r="G1810"/>
    </row>
    <row r="1811" spans="1:7" ht="15">
      <c r="A1811"/>
      <c r="B1811"/>
      <c r="C1811"/>
      <c r="D1811"/>
      <c r="E1811" s="42"/>
      <c r="F1811" s="42"/>
      <c r="G1811"/>
    </row>
    <row r="1812" spans="1:7" ht="15">
      <c r="A1812"/>
      <c r="B1812"/>
      <c r="C1812"/>
      <c r="D1812"/>
      <c r="E1812" s="42"/>
      <c r="F1812" s="42"/>
      <c r="G1812"/>
    </row>
    <row r="1813" spans="1:7" ht="15">
      <c r="A1813"/>
      <c r="B1813"/>
      <c r="C1813"/>
      <c r="D1813"/>
      <c r="E1813" s="42"/>
      <c r="F1813" s="42"/>
      <c r="G1813"/>
    </row>
    <row r="1814" spans="1:7" ht="15">
      <c r="A1814"/>
      <c r="B1814"/>
      <c r="C1814"/>
      <c r="D1814"/>
      <c r="E1814" s="42"/>
      <c r="F1814" s="42"/>
      <c r="G1814"/>
    </row>
    <row r="1815" spans="1:7" ht="15">
      <c r="A1815"/>
      <c r="B1815"/>
      <c r="C1815"/>
      <c r="D1815"/>
      <c r="E1815" s="42"/>
      <c r="F1815" s="42"/>
      <c r="G1815"/>
    </row>
    <row r="1816" spans="1:7" ht="15">
      <c r="A1816"/>
      <c r="B1816"/>
      <c r="C1816"/>
      <c r="D1816"/>
      <c r="E1816" s="42"/>
      <c r="F1816" s="42"/>
      <c r="G1816"/>
    </row>
    <row r="1817" spans="1:7" ht="15">
      <c r="A1817"/>
      <c r="B1817"/>
      <c r="C1817"/>
      <c r="D1817"/>
      <c r="E1817" s="42"/>
      <c r="F1817" s="42"/>
      <c r="G1817"/>
    </row>
    <row r="1818" spans="1:7" ht="15">
      <c r="A1818"/>
      <c r="B1818"/>
      <c r="C1818"/>
      <c r="D1818"/>
      <c r="E1818" s="42"/>
      <c r="F1818" s="42"/>
      <c r="G1818"/>
    </row>
    <row r="1819" spans="1:7" ht="15">
      <c r="A1819"/>
      <c r="B1819"/>
      <c r="C1819"/>
      <c r="D1819"/>
      <c r="E1819" s="42"/>
      <c r="F1819" s="42"/>
      <c r="G1819"/>
    </row>
    <row r="1820" spans="1:7" ht="15">
      <c r="A1820"/>
      <c r="B1820"/>
      <c r="C1820"/>
      <c r="D1820"/>
      <c r="E1820" s="42"/>
      <c r="F1820" s="42"/>
      <c r="G1820"/>
    </row>
    <row r="1821" spans="1:7" ht="15">
      <c r="A1821"/>
      <c r="B1821"/>
      <c r="C1821"/>
      <c r="D1821"/>
      <c r="E1821" s="42"/>
      <c r="F1821" s="42"/>
      <c r="G1821"/>
    </row>
    <row r="1822" spans="1:7" ht="15">
      <c r="A1822"/>
      <c r="B1822"/>
      <c r="C1822"/>
      <c r="D1822"/>
      <c r="E1822" s="42"/>
      <c r="F1822" s="42"/>
      <c r="G1822"/>
    </row>
    <row r="1823" spans="1:7" ht="15">
      <c r="A1823"/>
      <c r="B1823"/>
      <c r="C1823"/>
      <c r="D1823"/>
      <c r="E1823" s="42"/>
      <c r="F1823" s="42"/>
      <c r="G1823"/>
    </row>
    <row r="1824" spans="1:7" ht="15">
      <c r="A1824"/>
      <c r="B1824"/>
      <c r="C1824"/>
      <c r="D1824"/>
      <c r="E1824" s="42"/>
      <c r="F1824" s="42"/>
      <c r="G1824"/>
    </row>
    <row r="1825" spans="1:7" ht="15">
      <c r="A1825"/>
      <c r="B1825"/>
      <c r="C1825"/>
      <c r="D1825"/>
      <c r="E1825" s="42"/>
      <c r="F1825" s="42"/>
      <c r="G1825"/>
    </row>
    <row r="1826" spans="1:7" ht="15">
      <c r="A1826"/>
      <c r="B1826"/>
      <c r="C1826"/>
      <c r="D1826"/>
      <c r="E1826" s="42"/>
      <c r="F1826" s="42"/>
      <c r="G1826"/>
    </row>
    <row r="1827" spans="1:7" ht="15">
      <c r="A1827"/>
      <c r="B1827"/>
      <c r="C1827"/>
      <c r="D1827"/>
      <c r="E1827" s="42"/>
      <c r="F1827" s="42"/>
      <c r="G1827"/>
    </row>
    <row r="1828" spans="1:7" ht="15">
      <c r="A1828"/>
      <c r="B1828"/>
      <c r="C1828"/>
      <c r="D1828"/>
      <c r="E1828" s="42"/>
      <c r="F1828" s="42"/>
      <c r="G1828"/>
    </row>
    <row r="1829" spans="1:7" ht="15">
      <c r="A1829"/>
      <c r="B1829"/>
      <c r="C1829"/>
      <c r="D1829"/>
      <c r="E1829" s="42"/>
      <c r="F1829" s="42"/>
      <c r="G1829"/>
    </row>
    <row r="1830" spans="1:7" ht="15">
      <c r="A1830"/>
      <c r="B1830"/>
      <c r="C1830"/>
      <c r="D1830"/>
      <c r="E1830" s="42"/>
      <c r="F1830" s="42"/>
      <c r="G1830"/>
    </row>
    <row r="1831" spans="1:7" ht="15">
      <c r="A1831"/>
      <c r="B1831"/>
      <c r="C1831"/>
      <c r="D1831"/>
      <c r="E1831" s="42"/>
      <c r="F1831" s="42"/>
      <c r="G1831"/>
    </row>
    <row r="1832" spans="1:7" ht="15">
      <c r="A1832"/>
      <c r="B1832"/>
      <c r="C1832"/>
      <c r="D1832"/>
      <c r="E1832" s="42"/>
      <c r="F1832" s="42"/>
      <c r="G1832"/>
    </row>
    <row r="1833" spans="1:7" ht="15">
      <c r="A1833"/>
      <c r="B1833"/>
      <c r="C1833"/>
      <c r="D1833"/>
      <c r="E1833" s="42"/>
      <c r="F1833" s="42"/>
      <c r="G1833"/>
    </row>
    <row r="1834" spans="1:7" ht="15">
      <c r="A1834"/>
      <c r="B1834"/>
      <c r="C1834"/>
      <c r="D1834"/>
      <c r="E1834" s="42"/>
      <c r="F1834" s="42"/>
      <c r="G1834"/>
    </row>
    <row r="1835" spans="1:7" ht="15">
      <c r="A1835"/>
      <c r="B1835"/>
      <c r="C1835"/>
      <c r="D1835"/>
      <c r="E1835" s="42"/>
      <c r="F1835" s="42"/>
      <c r="G1835"/>
    </row>
    <row r="1836" spans="1:7" ht="15">
      <c r="A1836"/>
      <c r="B1836"/>
      <c r="C1836"/>
      <c r="D1836"/>
      <c r="E1836" s="42"/>
      <c r="F1836" s="42"/>
      <c r="G1836"/>
    </row>
    <row r="1837" spans="1:7" ht="15">
      <c r="A1837"/>
      <c r="B1837"/>
      <c r="C1837"/>
      <c r="D1837"/>
      <c r="E1837" s="42"/>
      <c r="F1837" s="42"/>
      <c r="G1837"/>
    </row>
    <row r="1838" spans="1:7" ht="15">
      <c r="A1838"/>
      <c r="B1838"/>
      <c r="C1838"/>
      <c r="D1838"/>
      <c r="E1838" s="42"/>
      <c r="F1838" s="42"/>
      <c r="G1838"/>
    </row>
    <row r="1839" spans="1:7" ht="15">
      <c r="A1839"/>
      <c r="B1839"/>
      <c r="C1839"/>
      <c r="D1839"/>
      <c r="E1839" s="42"/>
      <c r="F1839" s="42"/>
      <c r="G1839"/>
    </row>
    <row r="1840" spans="1:7" ht="15">
      <c r="A1840"/>
      <c r="B1840"/>
      <c r="C1840"/>
      <c r="D1840"/>
      <c r="E1840" s="42"/>
      <c r="F1840" s="42"/>
      <c r="G1840"/>
    </row>
    <row r="1841" spans="1:7" ht="15">
      <c r="A1841"/>
      <c r="B1841"/>
      <c r="C1841"/>
      <c r="D1841"/>
      <c r="E1841" s="42"/>
      <c r="F1841" s="42"/>
      <c r="G1841"/>
    </row>
    <row r="1842" spans="1:7" ht="15">
      <c r="A1842"/>
      <c r="B1842"/>
      <c r="C1842"/>
      <c r="D1842"/>
      <c r="E1842" s="42"/>
      <c r="F1842" s="42"/>
      <c r="G1842"/>
    </row>
    <row r="1843" spans="1:7" ht="15">
      <c r="A1843"/>
      <c r="B1843"/>
      <c r="C1843"/>
      <c r="D1843"/>
      <c r="E1843" s="42"/>
      <c r="F1843" s="42"/>
      <c r="G1843"/>
    </row>
    <row r="1844" spans="1:7" ht="15">
      <c r="A1844"/>
      <c r="B1844"/>
      <c r="C1844"/>
      <c r="D1844"/>
      <c r="E1844" s="42"/>
      <c r="F1844" s="42"/>
      <c r="G1844"/>
    </row>
    <row r="1845" spans="1:7" ht="15">
      <c r="A1845"/>
      <c r="B1845"/>
      <c r="C1845"/>
      <c r="D1845"/>
      <c r="E1845" s="42"/>
      <c r="F1845" s="42"/>
      <c r="G1845"/>
    </row>
    <row r="1846" spans="1:7" ht="15">
      <c r="A1846"/>
      <c r="B1846"/>
      <c r="C1846"/>
      <c r="D1846"/>
      <c r="E1846" s="42"/>
      <c r="F1846" s="42"/>
      <c r="G1846"/>
    </row>
    <row r="1847" spans="1:7" ht="15">
      <c r="A1847"/>
      <c r="B1847"/>
      <c r="C1847"/>
      <c r="D1847"/>
      <c r="E1847" s="42"/>
      <c r="F1847" s="42"/>
      <c r="G1847"/>
    </row>
    <row r="1848" spans="1:7" ht="15">
      <c r="A1848"/>
      <c r="B1848"/>
      <c r="C1848"/>
      <c r="D1848"/>
      <c r="E1848" s="42"/>
      <c r="F1848" s="42"/>
      <c r="G1848"/>
    </row>
    <row r="1849" spans="1:7" ht="15">
      <c r="A1849"/>
      <c r="B1849"/>
      <c r="C1849"/>
      <c r="D1849"/>
      <c r="E1849" s="42"/>
      <c r="F1849" s="42"/>
      <c r="G1849"/>
    </row>
    <row r="1850" spans="1:7" ht="15">
      <c r="A1850"/>
      <c r="B1850"/>
      <c r="C1850"/>
      <c r="D1850"/>
      <c r="E1850" s="42"/>
      <c r="F1850" s="42"/>
      <c r="G1850"/>
    </row>
    <row r="1851" spans="1:7" ht="15">
      <c r="A1851"/>
      <c r="B1851"/>
      <c r="C1851"/>
      <c r="D1851"/>
      <c r="E1851" s="42"/>
      <c r="F1851" s="42"/>
      <c r="G1851"/>
    </row>
    <row r="1852" spans="1:7" ht="15">
      <c r="A1852"/>
      <c r="B1852"/>
      <c r="C1852"/>
      <c r="D1852"/>
      <c r="E1852" s="42"/>
      <c r="F1852" s="42"/>
      <c r="G1852"/>
    </row>
    <row r="1853" spans="1:7" ht="15">
      <c r="A1853"/>
      <c r="B1853"/>
      <c r="C1853"/>
      <c r="D1853"/>
      <c r="E1853" s="42"/>
      <c r="F1853" s="42"/>
      <c r="G1853"/>
    </row>
    <row r="1854" spans="1:7" ht="15">
      <c r="A1854"/>
      <c r="B1854"/>
      <c r="C1854"/>
      <c r="D1854"/>
      <c r="E1854" s="42"/>
      <c r="F1854" s="42"/>
      <c r="G1854"/>
    </row>
    <row r="1855" spans="1:7" ht="15">
      <c r="A1855"/>
      <c r="B1855"/>
      <c r="C1855"/>
      <c r="D1855"/>
      <c r="E1855" s="42"/>
      <c r="F1855" s="42"/>
      <c r="G1855"/>
    </row>
    <row r="1856" spans="1:7" ht="15">
      <c r="A1856"/>
      <c r="B1856"/>
      <c r="C1856"/>
      <c r="D1856"/>
      <c r="E1856" s="42"/>
      <c r="F1856" s="42"/>
      <c r="G1856"/>
    </row>
    <row r="1857" spans="1:7" ht="15">
      <c r="A1857"/>
      <c r="B1857"/>
      <c r="C1857"/>
      <c r="D1857"/>
      <c r="E1857" s="42"/>
      <c r="F1857" s="42"/>
      <c r="G1857"/>
    </row>
    <row r="1858" spans="1:7" ht="15">
      <c r="A1858"/>
      <c r="B1858"/>
      <c r="C1858"/>
      <c r="D1858"/>
      <c r="E1858" s="42"/>
      <c r="F1858" s="42"/>
      <c r="G1858"/>
    </row>
    <row r="1859" spans="1:7" ht="15">
      <c r="A1859"/>
      <c r="B1859"/>
      <c r="C1859"/>
      <c r="D1859"/>
      <c r="E1859" s="42"/>
      <c r="F1859" s="42"/>
      <c r="G1859"/>
    </row>
    <row r="1860" spans="1:7" ht="15">
      <c r="A1860"/>
      <c r="B1860"/>
      <c r="C1860"/>
      <c r="D1860"/>
      <c r="E1860" s="42"/>
      <c r="F1860" s="42"/>
      <c r="G1860"/>
    </row>
    <row r="1861" spans="1:7" ht="15">
      <c r="A1861"/>
      <c r="B1861"/>
      <c r="C1861"/>
      <c r="D1861"/>
      <c r="E1861" s="42"/>
      <c r="F1861" s="42"/>
      <c r="G1861"/>
    </row>
    <row r="1862" spans="1:7" ht="15">
      <c r="A1862"/>
      <c r="B1862"/>
      <c r="C1862"/>
      <c r="D1862"/>
      <c r="E1862" s="42"/>
      <c r="F1862" s="42"/>
      <c r="G1862"/>
    </row>
    <row r="1863" spans="1:7" ht="15">
      <c r="A1863"/>
      <c r="B1863"/>
      <c r="C1863"/>
      <c r="D1863"/>
      <c r="E1863" s="42"/>
      <c r="F1863" s="42"/>
      <c r="G1863"/>
    </row>
    <row r="1864" spans="1:7" ht="15">
      <c r="A1864"/>
      <c r="B1864"/>
      <c r="C1864"/>
      <c r="D1864"/>
      <c r="E1864" s="42"/>
      <c r="F1864" s="42"/>
      <c r="G1864"/>
    </row>
    <row r="1865" spans="1:7" ht="15">
      <c r="A1865"/>
      <c r="B1865"/>
      <c r="C1865"/>
      <c r="D1865"/>
      <c r="E1865" s="42"/>
      <c r="F1865" s="42"/>
      <c r="G1865"/>
    </row>
    <row r="1866" spans="1:7" ht="15">
      <c r="A1866"/>
      <c r="B1866"/>
      <c r="C1866"/>
      <c r="D1866"/>
      <c r="E1866" s="42"/>
      <c r="F1866" s="42"/>
      <c r="G1866"/>
    </row>
    <row r="1867" spans="1:7" ht="15">
      <c r="A1867"/>
      <c r="B1867"/>
      <c r="C1867"/>
      <c r="D1867"/>
      <c r="E1867" s="42"/>
      <c r="F1867" s="42"/>
      <c r="G1867"/>
    </row>
    <row r="1868" spans="1:7" ht="15">
      <c r="A1868"/>
      <c r="B1868"/>
      <c r="C1868"/>
      <c r="D1868"/>
      <c r="E1868" s="42"/>
      <c r="F1868" s="42"/>
      <c r="G1868"/>
    </row>
    <row r="1869" spans="1:7" ht="15">
      <c r="A1869"/>
      <c r="B1869"/>
      <c r="C1869"/>
      <c r="D1869"/>
      <c r="E1869" s="42"/>
      <c r="F1869" s="42"/>
      <c r="G1869"/>
    </row>
    <row r="1870" spans="1:7" ht="15">
      <c r="A1870"/>
      <c r="B1870"/>
      <c r="C1870"/>
      <c r="D1870"/>
      <c r="E1870" s="42"/>
      <c r="F1870" s="42"/>
      <c r="G1870"/>
    </row>
    <row r="1871" spans="1:7" ht="15">
      <c r="A1871"/>
      <c r="B1871"/>
      <c r="C1871"/>
      <c r="D1871"/>
      <c r="E1871" s="42"/>
      <c r="F1871" s="42"/>
      <c r="G1871"/>
    </row>
    <row r="1872" spans="1:7" ht="15">
      <c r="A1872"/>
      <c r="B1872"/>
      <c r="C1872"/>
      <c r="D1872"/>
      <c r="E1872" s="42"/>
      <c r="F1872" s="42"/>
      <c r="G1872"/>
    </row>
    <row r="1873" spans="1:7" ht="15">
      <c r="A1873"/>
      <c r="B1873"/>
      <c r="C1873"/>
      <c r="D1873"/>
      <c r="E1873" s="42"/>
      <c r="F1873" s="42"/>
      <c r="G1873"/>
    </row>
    <row r="1874" spans="1:7" ht="15">
      <c r="A1874"/>
      <c r="B1874"/>
      <c r="C1874"/>
      <c r="D1874"/>
      <c r="E1874" s="42"/>
      <c r="F1874" s="42"/>
      <c r="G1874"/>
    </row>
    <row r="1875" spans="1:7" ht="15">
      <c r="A1875"/>
      <c r="B1875"/>
      <c r="C1875"/>
      <c r="D1875"/>
      <c r="E1875" s="42"/>
      <c r="F1875" s="42"/>
      <c r="G1875"/>
    </row>
    <row r="1876" spans="1:7" ht="15">
      <c r="A1876"/>
      <c r="B1876"/>
      <c r="C1876"/>
      <c r="D1876"/>
      <c r="E1876" s="42"/>
      <c r="F1876" s="42"/>
      <c r="G1876"/>
    </row>
    <row r="1877" spans="1:7" ht="15">
      <c r="A1877"/>
      <c r="B1877"/>
      <c r="C1877"/>
      <c r="D1877"/>
      <c r="E1877" s="42"/>
      <c r="F1877" s="42"/>
      <c r="G1877"/>
    </row>
    <row r="1878" spans="1:7" ht="15">
      <c r="A1878"/>
      <c r="B1878"/>
      <c r="C1878"/>
      <c r="D1878"/>
      <c r="E1878" s="42"/>
      <c r="F1878" s="42"/>
      <c r="G1878"/>
    </row>
    <row r="1879" spans="1:7" ht="15">
      <c r="A1879"/>
      <c r="B1879"/>
      <c r="C1879"/>
      <c r="D1879"/>
      <c r="E1879" s="42"/>
      <c r="F1879" s="42"/>
      <c r="G1879"/>
    </row>
    <row r="1880" spans="1:7" ht="15">
      <c r="A1880"/>
      <c r="B1880"/>
      <c r="C1880"/>
      <c r="D1880"/>
      <c r="E1880" s="42"/>
      <c r="F1880" s="42"/>
      <c r="G1880"/>
    </row>
    <row r="1881" spans="1:7" ht="15">
      <c r="A1881"/>
      <c r="B1881"/>
      <c r="C1881"/>
      <c r="D1881"/>
      <c r="E1881" s="42"/>
      <c r="F1881" s="42"/>
      <c r="G1881"/>
    </row>
    <row r="1882" spans="1:7" ht="15">
      <c r="A1882"/>
      <c r="B1882"/>
      <c r="C1882"/>
      <c r="D1882"/>
      <c r="E1882" s="42"/>
      <c r="F1882" s="42"/>
      <c r="G1882"/>
    </row>
    <row r="1883" spans="1:7" ht="15">
      <c r="A1883"/>
      <c r="B1883"/>
      <c r="C1883"/>
      <c r="D1883"/>
      <c r="E1883" s="42"/>
      <c r="F1883" s="42"/>
      <c r="G1883"/>
    </row>
    <row r="1884" spans="1:7" ht="15">
      <c r="A1884"/>
      <c r="B1884"/>
      <c r="C1884"/>
      <c r="D1884"/>
      <c r="E1884" s="42"/>
      <c r="F1884" s="42"/>
      <c r="G1884"/>
    </row>
    <row r="1885" spans="1:7" ht="15">
      <c r="A1885"/>
      <c r="B1885"/>
      <c r="C1885"/>
      <c r="D1885"/>
      <c r="E1885" s="42"/>
      <c r="F1885" s="42"/>
      <c r="G1885"/>
    </row>
    <row r="1886" spans="1:7" ht="15">
      <c r="A1886"/>
      <c r="B1886"/>
      <c r="C1886"/>
      <c r="D1886"/>
      <c r="E1886" s="42"/>
      <c r="F1886" s="42"/>
      <c r="G1886"/>
    </row>
    <row r="1887" spans="1:7" ht="15">
      <c r="A1887"/>
      <c r="B1887"/>
      <c r="C1887"/>
      <c r="D1887"/>
      <c r="E1887" s="42"/>
      <c r="F1887" s="42"/>
      <c r="G1887"/>
    </row>
    <row r="1888" spans="1:7" ht="15">
      <c r="A1888"/>
      <c r="B1888"/>
      <c r="C1888"/>
      <c r="D1888"/>
      <c r="E1888" s="42"/>
      <c r="F1888" s="42"/>
      <c r="G1888"/>
    </row>
    <row r="1889" spans="1:7" ht="15">
      <c r="A1889"/>
      <c r="B1889"/>
      <c r="C1889"/>
      <c r="D1889"/>
      <c r="E1889" s="42"/>
      <c r="F1889" s="42"/>
      <c r="G1889"/>
    </row>
    <row r="1890" spans="1:7" ht="15">
      <c r="A1890"/>
      <c r="B1890"/>
      <c r="C1890"/>
      <c r="D1890"/>
      <c r="E1890" s="42"/>
      <c r="F1890" s="42"/>
      <c r="G1890"/>
    </row>
    <row r="1891" spans="1:7" ht="15">
      <c r="A1891"/>
      <c r="B1891"/>
      <c r="C1891"/>
      <c r="D1891"/>
      <c r="E1891" s="42"/>
      <c r="F1891" s="42"/>
      <c r="G1891"/>
    </row>
    <row r="1892" spans="1:7" ht="15">
      <c r="A1892"/>
      <c r="B1892"/>
      <c r="C1892"/>
      <c r="D1892"/>
      <c r="E1892" s="42"/>
      <c r="F1892" s="42"/>
      <c r="G1892"/>
    </row>
    <row r="1893" spans="1:7" ht="15">
      <c r="A1893"/>
      <c r="B1893"/>
      <c r="C1893"/>
      <c r="D1893"/>
      <c r="E1893" s="42"/>
      <c r="F1893" s="42"/>
      <c r="G1893"/>
    </row>
    <row r="1894" spans="1:7" ht="15">
      <c r="A1894"/>
      <c r="B1894"/>
      <c r="C1894"/>
      <c r="D1894"/>
      <c r="E1894" s="42"/>
      <c r="F1894" s="42"/>
      <c r="G1894"/>
    </row>
    <row r="1895" spans="1:7" ht="15">
      <c r="A1895"/>
      <c r="B1895"/>
      <c r="C1895"/>
      <c r="D1895"/>
      <c r="E1895" s="42"/>
      <c r="F1895" s="42"/>
      <c r="G1895"/>
    </row>
    <row r="1896" spans="1:7" ht="15">
      <c r="A1896"/>
      <c r="B1896"/>
      <c r="C1896"/>
      <c r="D1896"/>
      <c r="E1896" s="42"/>
      <c r="F1896" s="42"/>
      <c r="G1896"/>
    </row>
    <row r="1897" spans="1:7" ht="15">
      <c r="A1897"/>
      <c r="B1897"/>
      <c r="C1897"/>
      <c r="D1897"/>
      <c r="E1897" s="42"/>
      <c r="F1897" s="42"/>
      <c r="G1897"/>
    </row>
    <row r="1898" spans="1:7" ht="15">
      <c r="A1898"/>
      <c r="B1898"/>
      <c r="C1898"/>
      <c r="D1898"/>
      <c r="E1898" s="42"/>
      <c r="F1898" s="42"/>
      <c r="G1898"/>
    </row>
    <row r="1899" spans="1:7" ht="15">
      <c r="A1899"/>
      <c r="B1899"/>
      <c r="C1899"/>
      <c r="D1899"/>
      <c r="E1899" s="42"/>
      <c r="F1899" s="42"/>
      <c r="G1899"/>
    </row>
    <row r="1900" spans="1:7" ht="15">
      <c r="A1900"/>
      <c r="B1900"/>
      <c r="C1900"/>
      <c r="D1900"/>
      <c r="E1900" s="42"/>
      <c r="F1900" s="42"/>
      <c r="G1900"/>
    </row>
    <row r="1901" spans="1:7" ht="15">
      <c r="A1901"/>
      <c r="B1901"/>
      <c r="C1901"/>
      <c r="D1901"/>
      <c r="E1901" s="42"/>
      <c r="F1901" s="42"/>
      <c r="G1901"/>
    </row>
    <row r="1902" spans="1:7" ht="15">
      <c r="A1902"/>
      <c r="B1902"/>
      <c r="C1902"/>
      <c r="D1902"/>
      <c r="E1902" s="42"/>
      <c r="F1902" s="42"/>
      <c r="G1902"/>
    </row>
    <row r="1903" spans="1:7" ht="15">
      <c r="A1903"/>
      <c r="B1903"/>
      <c r="C1903"/>
      <c r="D1903"/>
      <c r="E1903" s="42"/>
      <c r="F1903" s="42"/>
      <c r="G1903"/>
    </row>
    <row r="1904" spans="1:7" ht="15">
      <c r="A1904"/>
      <c r="B1904"/>
      <c r="C1904"/>
      <c r="D1904"/>
      <c r="E1904" s="42"/>
      <c r="F1904" s="42"/>
      <c r="G1904"/>
    </row>
    <row r="1905" spans="1:7" ht="15">
      <c r="A1905"/>
      <c r="B1905"/>
      <c r="C1905"/>
      <c r="D1905"/>
      <c r="E1905" s="42"/>
      <c r="F1905" s="42"/>
      <c r="G1905"/>
    </row>
    <row r="1906" spans="1:7" ht="15">
      <c r="A1906"/>
      <c r="B1906"/>
      <c r="C1906"/>
      <c r="D1906"/>
      <c r="E1906" s="42"/>
      <c r="F1906" s="42"/>
      <c r="G1906"/>
    </row>
    <row r="1907" spans="1:7" ht="15">
      <c r="A1907"/>
      <c r="B1907"/>
      <c r="C1907"/>
      <c r="D1907"/>
      <c r="E1907" s="42"/>
      <c r="F1907" s="42"/>
      <c r="G1907"/>
    </row>
    <row r="1908" spans="1:7" ht="15">
      <c r="A1908"/>
      <c r="B1908"/>
      <c r="C1908"/>
      <c r="D1908"/>
      <c r="E1908" s="42"/>
      <c r="F1908" s="42"/>
      <c r="G1908"/>
    </row>
    <row r="1909" spans="1:7" ht="15">
      <c r="A1909"/>
      <c r="B1909"/>
      <c r="C1909"/>
      <c r="D1909"/>
      <c r="E1909" s="42"/>
      <c r="F1909" s="42"/>
      <c r="G1909"/>
    </row>
    <row r="1910" spans="1:7" ht="15">
      <c r="A1910"/>
      <c r="B1910"/>
      <c r="C1910"/>
      <c r="D1910"/>
      <c r="E1910" s="42"/>
      <c r="F1910" s="42"/>
      <c r="G1910"/>
    </row>
    <row r="1911" spans="1:7" ht="15">
      <c r="A1911"/>
      <c r="B1911"/>
      <c r="C1911"/>
      <c r="D1911"/>
      <c r="E1911" s="42"/>
      <c r="F1911" s="42"/>
      <c r="G1911"/>
    </row>
    <row r="1912" spans="1:7" ht="15">
      <c r="A1912"/>
      <c r="B1912"/>
      <c r="C1912"/>
      <c r="D1912"/>
      <c r="E1912" s="42"/>
      <c r="F1912" s="42"/>
      <c r="G1912"/>
    </row>
    <row r="1913" spans="1:7" ht="15">
      <c r="A1913"/>
      <c r="B1913"/>
      <c r="C1913"/>
      <c r="D1913"/>
      <c r="E1913" s="42"/>
      <c r="F1913" s="42"/>
      <c r="G1913"/>
    </row>
    <row r="1914" spans="1:7" ht="15">
      <c r="A1914"/>
      <c r="B1914"/>
      <c r="C1914"/>
      <c r="D1914"/>
      <c r="E1914" s="42"/>
      <c r="F1914" s="42"/>
      <c r="G1914"/>
    </row>
    <row r="1915" spans="1:7" ht="15">
      <c r="A1915"/>
      <c r="B1915"/>
      <c r="C1915"/>
      <c r="D1915"/>
      <c r="E1915" s="42"/>
      <c r="F1915" s="42"/>
      <c r="G1915"/>
    </row>
    <row r="1916" spans="1:7" ht="15">
      <c r="A1916"/>
      <c r="B1916"/>
      <c r="C1916"/>
      <c r="D1916"/>
      <c r="E1916" s="42"/>
      <c r="F1916" s="42"/>
      <c r="G1916"/>
    </row>
    <row r="1917" spans="1:7" ht="15">
      <c r="A1917"/>
      <c r="B1917"/>
      <c r="C1917"/>
      <c r="D1917"/>
      <c r="E1917" s="42"/>
      <c r="F1917" s="42"/>
      <c r="G1917"/>
    </row>
    <row r="1918" spans="1:7" ht="15">
      <c r="A1918"/>
      <c r="B1918"/>
      <c r="C1918"/>
      <c r="D1918"/>
      <c r="E1918" s="42"/>
      <c r="F1918" s="42"/>
      <c r="G1918"/>
    </row>
    <row r="1919" spans="1:7" ht="15">
      <c r="A1919"/>
      <c r="B1919"/>
      <c r="C1919"/>
      <c r="D1919"/>
      <c r="E1919" s="42"/>
      <c r="F1919" s="42"/>
      <c r="G1919"/>
    </row>
    <row r="1920" spans="1:7" ht="15">
      <c r="A1920"/>
      <c r="B1920"/>
      <c r="C1920"/>
      <c r="D1920"/>
      <c r="E1920" s="42"/>
      <c r="F1920" s="42"/>
      <c r="G1920"/>
    </row>
    <row r="1921" spans="1:7" ht="15">
      <c r="A1921"/>
      <c r="B1921"/>
      <c r="C1921"/>
      <c r="D1921"/>
      <c r="E1921" s="42"/>
      <c r="F1921" s="42"/>
      <c r="G1921"/>
    </row>
    <row r="1922" spans="1:7" ht="15">
      <c r="A1922"/>
      <c r="B1922"/>
      <c r="C1922"/>
      <c r="D1922"/>
      <c r="E1922" s="42"/>
      <c r="F1922" s="42"/>
      <c r="G1922"/>
    </row>
    <row r="1923" spans="1:7" ht="15">
      <c r="A1923"/>
      <c r="B1923"/>
      <c r="C1923"/>
      <c r="D1923"/>
      <c r="E1923" s="42"/>
      <c r="F1923" s="42"/>
      <c r="G1923"/>
    </row>
    <row r="1924" spans="1:7" ht="15">
      <c r="A1924"/>
      <c r="B1924"/>
      <c r="C1924"/>
      <c r="D1924"/>
      <c r="E1924" s="42"/>
      <c r="F1924" s="42"/>
      <c r="G1924"/>
    </row>
    <row r="1925" spans="1:7" ht="15">
      <c r="A1925"/>
      <c r="B1925"/>
      <c r="C1925"/>
      <c r="D1925"/>
      <c r="E1925" s="42"/>
      <c r="F1925" s="42"/>
      <c r="G1925"/>
    </row>
    <row r="1926" spans="1:7" ht="15">
      <c r="A1926"/>
      <c r="B1926"/>
      <c r="C1926"/>
      <c r="D1926"/>
      <c r="E1926" s="42"/>
      <c r="F1926" s="42"/>
      <c r="G1926"/>
    </row>
    <row r="1927" spans="1:7" ht="15">
      <c r="A1927"/>
      <c r="B1927"/>
      <c r="C1927"/>
      <c r="D1927"/>
      <c r="E1927" s="42"/>
      <c r="F1927" s="42"/>
      <c r="G1927"/>
    </row>
    <row r="1928" spans="1:7" ht="15">
      <c r="A1928"/>
      <c r="B1928"/>
      <c r="C1928"/>
      <c r="D1928"/>
      <c r="E1928" s="42"/>
      <c r="F1928" s="42"/>
      <c r="G1928"/>
    </row>
    <row r="1929" spans="1:7" ht="15">
      <c r="A1929"/>
      <c r="B1929"/>
      <c r="C1929"/>
      <c r="D1929"/>
      <c r="E1929" s="42"/>
      <c r="F1929" s="42"/>
      <c r="G1929"/>
    </row>
    <row r="1930" spans="1:7" ht="15">
      <c r="A1930"/>
      <c r="B1930"/>
      <c r="C1930"/>
      <c r="D1930"/>
      <c r="E1930" s="42"/>
      <c r="F1930" s="42"/>
      <c r="G1930"/>
    </row>
    <row r="1931" spans="1:7" ht="15">
      <c r="A1931"/>
      <c r="B1931"/>
      <c r="C1931"/>
      <c r="D1931"/>
      <c r="E1931" s="42"/>
      <c r="F1931" s="42"/>
      <c r="G1931"/>
    </row>
    <row r="1932" spans="1:7" ht="15">
      <c r="A1932"/>
      <c r="B1932"/>
      <c r="C1932"/>
      <c r="D1932"/>
      <c r="E1932" s="42"/>
      <c r="F1932" s="42"/>
      <c r="G1932"/>
    </row>
    <row r="1933" spans="1:7" ht="15">
      <c r="A1933"/>
      <c r="B1933"/>
      <c r="C1933"/>
      <c r="D1933"/>
      <c r="E1933" s="42"/>
      <c r="F1933" s="42"/>
      <c r="G1933"/>
    </row>
    <row r="1934" spans="1:7" ht="15">
      <c r="A1934"/>
      <c r="B1934"/>
      <c r="C1934"/>
      <c r="D1934"/>
      <c r="E1934" s="42"/>
      <c r="F1934" s="42"/>
      <c r="G1934"/>
    </row>
    <row r="1935" spans="1:7" ht="15">
      <c r="A1935"/>
      <c r="B1935"/>
      <c r="C1935"/>
      <c r="D1935"/>
      <c r="E1935" s="42"/>
      <c r="F1935" s="42"/>
      <c r="G1935"/>
    </row>
    <row r="1936" spans="1:7" ht="15">
      <c r="A1936"/>
      <c r="B1936"/>
      <c r="C1936"/>
      <c r="D1936"/>
      <c r="E1936" s="42"/>
      <c r="F1936" s="42"/>
      <c r="G1936"/>
    </row>
    <row r="1937" spans="1:7" ht="15">
      <c r="A1937"/>
      <c r="B1937"/>
      <c r="C1937"/>
      <c r="D1937"/>
      <c r="E1937" s="42"/>
      <c r="F1937" s="42"/>
      <c r="G1937"/>
    </row>
    <row r="1938" spans="1:7" ht="15">
      <c r="A1938"/>
      <c r="B1938"/>
      <c r="C1938"/>
      <c r="D1938"/>
      <c r="E1938" s="42"/>
      <c r="F1938" s="42"/>
      <c r="G1938"/>
    </row>
    <row r="1939" spans="1:7" ht="15">
      <c r="A1939"/>
      <c r="B1939"/>
      <c r="C1939"/>
      <c r="D1939"/>
      <c r="E1939" s="42"/>
      <c r="F1939" s="42"/>
      <c r="G1939"/>
    </row>
    <row r="1940" spans="1:7" ht="15">
      <c r="A1940"/>
      <c r="B1940"/>
      <c r="C1940"/>
      <c r="D1940"/>
      <c r="E1940" s="42"/>
      <c r="F1940" s="42"/>
      <c r="G1940"/>
    </row>
    <row r="1941" spans="1:7" ht="15">
      <c r="A1941"/>
      <c r="B1941"/>
      <c r="C1941"/>
      <c r="D1941"/>
      <c r="E1941" s="42"/>
      <c r="F1941" s="42"/>
      <c r="G1941"/>
    </row>
    <row r="1942" spans="1:7" ht="15">
      <c r="A1942"/>
      <c r="B1942"/>
      <c r="C1942"/>
      <c r="D1942"/>
      <c r="E1942" s="42"/>
      <c r="F1942" s="42"/>
      <c r="G1942"/>
    </row>
    <row r="1943" spans="1:7" ht="15">
      <c r="A1943"/>
      <c r="B1943"/>
      <c r="C1943"/>
      <c r="D1943"/>
      <c r="E1943" s="42"/>
      <c r="F1943" s="42"/>
      <c r="G1943"/>
    </row>
    <row r="1944" spans="1:7" ht="15">
      <c r="A1944"/>
      <c r="B1944"/>
      <c r="C1944"/>
      <c r="D1944"/>
      <c r="E1944" s="42"/>
      <c r="F1944" s="42"/>
      <c r="G1944"/>
    </row>
    <row r="1945" spans="1:7" ht="15">
      <c r="A1945"/>
      <c r="B1945"/>
      <c r="C1945"/>
      <c r="D1945"/>
      <c r="E1945" s="42"/>
      <c r="F1945" s="42"/>
      <c r="G1945"/>
    </row>
    <row r="1946" spans="1:7" ht="15">
      <c r="A1946"/>
      <c r="B1946"/>
      <c r="C1946"/>
      <c r="D1946"/>
      <c r="E1946" s="42"/>
      <c r="F1946" s="42"/>
      <c r="G1946"/>
    </row>
    <row r="1947" spans="1:7" ht="15">
      <c r="A1947"/>
      <c r="B1947"/>
      <c r="C1947"/>
      <c r="D1947"/>
      <c r="E1947" s="42"/>
      <c r="F1947" s="42"/>
      <c r="G1947"/>
    </row>
    <row r="1948" spans="1:7" ht="15">
      <c r="A1948"/>
      <c r="B1948"/>
      <c r="C1948"/>
      <c r="D1948"/>
      <c r="E1948" s="42"/>
      <c r="F1948" s="42"/>
      <c r="G1948"/>
    </row>
    <row r="1949" spans="1:7" ht="15">
      <c r="A1949"/>
      <c r="B1949"/>
      <c r="C1949"/>
      <c r="D1949"/>
      <c r="E1949" s="42"/>
      <c r="F1949" s="42"/>
      <c r="G1949"/>
    </row>
    <row r="1950" spans="1:7" ht="15">
      <c r="A1950"/>
      <c r="B1950"/>
      <c r="C1950"/>
      <c r="D1950"/>
      <c r="E1950" s="42"/>
      <c r="F1950" s="42"/>
      <c r="G1950"/>
    </row>
    <row r="1951" spans="1:7" ht="15">
      <c r="A1951"/>
      <c r="B1951"/>
      <c r="C1951"/>
      <c r="D1951"/>
      <c r="E1951" s="42"/>
      <c r="F1951" s="42"/>
      <c r="G1951"/>
    </row>
    <row r="1952" spans="1:7" ht="15">
      <c r="A1952"/>
      <c r="B1952"/>
      <c r="C1952"/>
      <c r="D1952"/>
      <c r="E1952" s="42"/>
      <c r="F1952" s="42"/>
      <c r="G1952"/>
    </row>
    <row r="1953" spans="1:7" ht="15">
      <c r="A1953"/>
      <c r="B1953"/>
      <c r="C1953"/>
      <c r="D1953"/>
      <c r="E1953" s="42"/>
      <c r="F1953" s="42"/>
      <c r="G1953"/>
    </row>
    <row r="1954" spans="1:7" ht="15">
      <c r="A1954"/>
      <c r="B1954"/>
      <c r="C1954"/>
      <c r="D1954"/>
      <c r="E1954" s="42"/>
      <c r="F1954" s="42"/>
      <c r="G1954"/>
    </row>
    <row r="1955" spans="1:7" ht="15">
      <c r="A1955"/>
      <c r="B1955"/>
      <c r="C1955"/>
      <c r="D1955"/>
      <c r="E1955" s="42"/>
      <c r="F1955" s="42"/>
      <c r="G1955"/>
    </row>
    <row r="1956" spans="1:7" ht="15">
      <c r="A1956"/>
      <c r="B1956"/>
      <c r="C1956"/>
      <c r="D1956"/>
      <c r="E1956" s="42"/>
      <c r="F1956" s="42"/>
      <c r="G1956"/>
    </row>
    <row r="1957" spans="1:7" ht="15">
      <c r="A1957"/>
      <c r="B1957"/>
      <c r="C1957"/>
      <c r="D1957"/>
      <c r="E1957" s="42"/>
      <c r="F1957" s="42"/>
      <c r="G1957"/>
    </row>
    <row r="1958" spans="1:7" ht="15">
      <c r="A1958"/>
      <c r="B1958"/>
      <c r="C1958"/>
      <c r="D1958"/>
      <c r="E1958" s="42"/>
      <c r="F1958" s="42"/>
      <c r="G1958"/>
    </row>
    <row r="1959" spans="1:7" ht="15">
      <c r="A1959"/>
      <c r="B1959"/>
      <c r="C1959"/>
      <c r="D1959"/>
      <c r="E1959" s="42"/>
      <c r="F1959" s="42"/>
      <c r="G1959"/>
    </row>
    <row r="1960" spans="1:7" ht="15">
      <c r="A1960"/>
      <c r="B1960"/>
      <c r="C1960"/>
      <c r="D1960"/>
      <c r="E1960" s="42"/>
      <c r="F1960" s="42"/>
      <c r="G1960"/>
    </row>
    <row r="1961" spans="1:7" ht="15">
      <c r="A1961"/>
      <c r="B1961"/>
      <c r="C1961"/>
      <c r="D1961"/>
      <c r="E1961" s="42"/>
      <c r="F1961" s="42"/>
      <c r="G1961"/>
    </row>
    <row r="1962" spans="1:7" ht="15">
      <c r="A1962"/>
      <c r="B1962"/>
      <c r="C1962"/>
      <c r="D1962"/>
      <c r="E1962" s="42"/>
      <c r="F1962" s="42"/>
      <c r="G1962"/>
    </row>
    <row r="1963" spans="1:7" ht="15">
      <c r="A1963"/>
      <c r="B1963"/>
      <c r="C1963"/>
      <c r="D1963"/>
      <c r="E1963" s="42"/>
      <c r="F1963" s="42"/>
      <c r="G1963"/>
    </row>
    <row r="1964" spans="1:7" ht="15">
      <c r="A1964"/>
      <c r="B1964"/>
      <c r="C1964"/>
      <c r="D1964"/>
      <c r="E1964" s="42"/>
      <c r="F1964" s="42"/>
      <c r="G1964"/>
    </row>
    <row r="1965" spans="1:7" ht="15">
      <c r="A1965"/>
      <c r="B1965"/>
      <c r="C1965"/>
      <c r="D1965"/>
      <c r="E1965" s="42"/>
      <c r="F1965" s="42"/>
      <c r="G1965"/>
    </row>
    <row r="1966" spans="1:7" ht="15">
      <c r="A1966"/>
      <c r="B1966"/>
      <c r="C1966"/>
      <c r="D1966"/>
      <c r="E1966" s="42"/>
      <c r="F1966" s="42"/>
      <c r="G1966"/>
    </row>
    <row r="1967" spans="1:7" ht="15">
      <c r="A1967"/>
      <c r="B1967"/>
      <c r="C1967"/>
      <c r="D1967"/>
      <c r="E1967" s="42"/>
      <c r="F1967" s="42"/>
      <c r="G1967"/>
    </row>
    <row r="1968" spans="1:7" ht="15">
      <c r="A1968"/>
      <c r="B1968"/>
      <c r="C1968"/>
      <c r="D1968"/>
      <c r="E1968" s="42"/>
      <c r="F1968" s="42"/>
      <c r="G1968"/>
    </row>
    <row r="1969" spans="1:7" ht="15">
      <c r="A1969"/>
      <c r="B1969"/>
      <c r="C1969"/>
      <c r="D1969"/>
      <c r="E1969" s="42"/>
      <c r="F1969" s="42"/>
      <c r="G1969"/>
    </row>
    <row r="1970" spans="1:7" ht="15">
      <c r="A1970"/>
      <c r="B1970"/>
      <c r="C1970"/>
      <c r="D1970"/>
      <c r="E1970" s="42"/>
      <c r="F1970" s="42"/>
      <c r="G1970"/>
    </row>
    <row r="1971" spans="1:7" ht="15">
      <c r="A1971"/>
      <c r="B1971"/>
      <c r="C1971"/>
      <c r="D1971"/>
      <c r="E1971" s="42"/>
      <c r="F1971" s="42"/>
      <c r="G1971"/>
    </row>
    <row r="1972" spans="1:7" ht="15">
      <c r="A1972"/>
      <c r="B1972"/>
      <c r="C1972"/>
      <c r="D1972"/>
      <c r="E1972" s="42"/>
      <c r="F1972" s="42"/>
      <c r="G1972"/>
    </row>
    <row r="1973" spans="1:7" ht="15">
      <c r="A1973"/>
      <c r="B1973"/>
      <c r="C1973"/>
      <c r="D1973"/>
      <c r="E1973" s="42"/>
      <c r="F1973" s="42"/>
      <c r="G1973"/>
    </row>
    <row r="1974" spans="1:7" ht="15">
      <c r="A1974"/>
      <c r="B1974"/>
      <c r="C1974"/>
      <c r="D1974"/>
      <c r="E1974" s="42"/>
      <c r="F1974" s="42"/>
      <c r="G1974"/>
    </row>
    <row r="1975" spans="1:7" ht="15">
      <c r="A1975"/>
      <c r="B1975"/>
      <c r="C1975"/>
      <c r="D1975"/>
      <c r="E1975" s="42"/>
      <c r="F1975" s="42"/>
      <c r="G1975"/>
    </row>
    <row r="1976" spans="1:7" ht="15">
      <c r="A1976"/>
      <c r="B1976"/>
      <c r="C1976"/>
      <c r="D1976"/>
      <c r="E1976" s="42"/>
      <c r="F1976" s="42"/>
      <c r="G1976"/>
    </row>
    <row r="1977" spans="1:7" ht="15">
      <c r="A1977"/>
      <c r="B1977"/>
      <c r="C1977"/>
      <c r="D1977"/>
      <c r="E1977" s="42"/>
      <c r="F1977" s="42"/>
      <c r="G1977"/>
    </row>
    <row r="1978" spans="1:7" ht="15">
      <c r="A1978"/>
      <c r="B1978"/>
      <c r="C1978"/>
      <c r="D1978"/>
      <c r="E1978" s="42"/>
      <c r="F1978" s="42"/>
      <c r="G1978"/>
    </row>
    <row r="1979" spans="1:7" ht="15">
      <c r="A1979"/>
      <c r="B1979"/>
      <c r="C1979"/>
      <c r="D1979"/>
      <c r="E1979" s="42"/>
      <c r="F1979" s="42"/>
      <c r="G1979"/>
    </row>
    <row r="1980" spans="1:7" ht="15">
      <c r="A1980"/>
      <c r="B1980"/>
      <c r="C1980"/>
      <c r="D1980"/>
      <c r="E1980" s="42"/>
      <c r="F1980" s="42"/>
      <c r="G1980"/>
    </row>
    <row r="1981" spans="1:7" ht="15">
      <c r="A1981"/>
      <c r="B1981"/>
      <c r="C1981"/>
      <c r="D1981"/>
      <c r="E1981" s="42"/>
      <c r="F1981" s="42"/>
      <c r="G1981"/>
    </row>
    <row r="1982" spans="1:7" ht="15">
      <c r="A1982"/>
      <c r="B1982"/>
      <c r="C1982"/>
      <c r="D1982"/>
      <c r="E1982" s="42"/>
      <c r="F1982" s="42"/>
      <c r="G1982"/>
    </row>
    <row r="1983" spans="1:7" ht="15">
      <c r="A1983"/>
      <c r="B1983"/>
      <c r="C1983"/>
      <c r="D1983"/>
      <c r="E1983" s="42"/>
      <c r="F1983" s="42"/>
      <c r="G1983"/>
    </row>
    <row r="1984" spans="1:7" ht="15">
      <c r="A1984"/>
      <c r="B1984"/>
      <c r="C1984"/>
      <c r="D1984"/>
      <c r="E1984" s="42"/>
      <c r="F1984" s="42"/>
      <c r="G1984"/>
    </row>
    <row r="1985" spans="1:7" ht="15">
      <c r="A1985"/>
      <c r="B1985"/>
      <c r="C1985"/>
      <c r="D1985"/>
      <c r="E1985" s="42"/>
      <c r="F1985" s="42"/>
      <c r="G1985"/>
    </row>
    <row r="1986" spans="1:7" ht="15">
      <c r="A1986"/>
      <c r="B1986"/>
      <c r="C1986"/>
      <c r="D1986"/>
      <c r="E1986" s="42"/>
      <c r="F1986" s="42"/>
      <c r="G1986"/>
    </row>
    <row r="1987" spans="1:7" ht="15">
      <c r="A1987"/>
      <c r="B1987"/>
      <c r="C1987"/>
      <c r="D1987"/>
      <c r="E1987" s="42"/>
      <c r="F1987" s="42"/>
      <c r="G1987"/>
    </row>
    <row r="1988" spans="1:7" ht="15">
      <c r="A1988"/>
      <c r="B1988"/>
      <c r="C1988"/>
      <c r="D1988"/>
      <c r="E1988" s="42"/>
      <c r="F1988" s="42"/>
      <c r="G1988"/>
    </row>
    <row r="1989" spans="1:7" ht="15">
      <c r="A1989"/>
      <c r="B1989"/>
      <c r="C1989"/>
      <c r="D1989"/>
      <c r="E1989" s="42"/>
      <c r="F1989" s="42"/>
      <c r="G1989"/>
    </row>
    <row r="1990" spans="1:7" ht="15">
      <c r="A1990"/>
      <c r="B1990"/>
      <c r="C1990"/>
      <c r="D1990"/>
      <c r="E1990" s="42"/>
      <c r="F1990" s="42"/>
      <c r="G1990"/>
    </row>
    <row r="1991" spans="1:7" ht="15">
      <c r="A1991"/>
      <c r="B1991"/>
      <c r="C1991"/>
      <c r="D1991"/>
      <c r="E1991" s="42"/>
      <c r="F1991" s="42"/>
      <c r="G1991"/>
    </row>
    <row r="1992" spans="1:7" ht="15">
      <c r="A1992"/>
      <c r="B1992"/>
      <c r="C1992"/>
      <c r="D1992"/>
      <c r="E1992" s="42"/>
      <c r="F1992" s="42"/>
      <c r="G1992"/>
    </row>
    <row r="1993" spans="1:7" ht="15">
      <c r="A1993"/>
      <c r="B1993"/>
      <c r="C1993"/>
      <c r="D1993"/>
      <c r="E1993" s="42"/>
      <c r="F1993" s="42"/>
      <c r="G1993"/>
    </row>
    <row r="1994" spans="1:7" ht="15">
      <c r="A1994"/>
      <c r="B1994"/>
      <c r="C1994"/>
      <c r="D1994"/>
      <c r="E1994" s="42"/>
      <c r="F1994" s="42"/>
      <c r="G1994"/>
    </row>
    <row r="1995" spans="1:7" ht="15">
      <c r="A1995"/>
      <c r="B1995"/>
      <c r="C1995"/>
      <c r="D1995"/>
      <c r="E1995" s="42"/>
      <c r="F1995" s="42"/>
      <c r="G1995"/>
    </row>
    <row r="1996" spans="1:7" ht="15">
      <c r="A1996"/>
      <c r="B1996"/>
      <c r="C1996"/>
      <c r="D1996"/>
      <c r="E1996" s="42"/>
      <c r="F1996" s="42"/>
      <c r="G1996"/>
    </row>
    <row r="1997" spans="1:7" ht="15">
      <c r="A1997"/>
      <c r="B1997"/>
      <c r="C1997"/>
      <c r="D1997"/>
      <c r="E1997" s="42"/>
      <c r="F1997" s="42"/>
      <c r="G1997"/>
    </row>
    <row r="1998" spans="1:7" ht="15">
      <c r="A1998"/>
      <c r="B1998"/>
      <c r="C1998"/>
      <c r="D1998"/>
      <c r="E1998" s="42"/>
      <c r="F1998" s="42"/>
      <c r="G1998"/>
    </row>
    <row r="1999" spans="1:7" ht="15">
      <c r="A1999"/>
      <c r="B1999"/>
      <c r="C1999"/>
      <c r="D1999"/>
      <c r="E1999" s="42"/>
      <c r="F1999" s="42"/>
      <c r="G1999"/>
    </row>
    <row r="2000" spans="1:7" ht="15">
      <c r="A2000"/>
      <c r="B2000"/>
      <c r="C2000"/>
      <c r="D2000"/>
      <c r="E2000" s="42"/>
      <c r="F2000" s="42"/>
      <c r="G2000"/>
    </row>
    <row r="2001" spans="1:7" ht="15">
      <c r="A2001"/>
      <c r="B2001"/>
      <c r="C2001"/>
      <c r="D2001"/>
      <c r="E2001" s="42"/>
      <c r="F2001" s="42"/>
      <c r="G2001"/>
    </row>
    <row r="2002" spans="1:7" ht="15">
      <c r="A2002"/>
      <c r="B2002"/>
      <c r="C2002"/>
      <c r="D2002"/>
      <c r="E2002" s="42"/>
      <c r="F2002" s="42"/>
      <c r="G2002"/>
    </row>
    <row r="2003" spans="1:7" ht="15">
      <c r="A2003"/>
      <c r="B2003"/>
      <c r="C2003"/>
      <c r="D2003"/>
      <c r="E2003" s="42"/>
      <c r="F2003" s="42"/>
      <c r="G2003"/>
    </row>
    <row r="2004" spans="1:7" ht="15">
      <c r="A2004"/>
      <c r="B2004"/>
      <c r="C2004"/>
      <c r="D2004"/>
      <c r="E2004" s="42"/>
      <c r="F2004" s="42"/>
      <c r="G2004"/>
    </row>
    <row r="2005" spans="1:7" ht="15">
      <c r="A2005"/>
      <c r="B2005"/>
      <c r="C2005"/>
      <c r="D2005"/>
      <c r="E2005" s="42"/>
      <c r="F2005" s="42"/>
      <c r="G2005"/>
    </row>
    <row r="2006" spans="1:7" ht="15">
      <c r="A2006"/>
      <c r="B2006"/>
      <c r="C2006"/>
      <c r="D2006"/>
      <c r="E2006" s="42"/>
      <c r="F2006" s="42"/>
      <c r="G2006"/>
    </row>
    <row r="2007" spans="1:7" ht="15">
      <c r="A2007"/>
      <c r="B2007"/>
      <c r="C2007"/>
      <c r="D2007"/>
      <c r="E2007" s="42"/>
      <c r="F2007" s="42"/>
      <c r="G2007"/>
    </row>
    <row r="2008" spans="1:7" ht="15">
      <c r="A2008"/>
      <c r="B2008"/>
      <c r="C2008"/>
      <c r="D2008"/>
      <c r="E2008" s="42"/>
      <c r="F2008" s="42"/>
      <c r="G2008"/>
    </row>
    <row r="2009" spans="1:7" ht="15">
      <c r="A2009"/>
      <c r="B2009"/>
      <c r="C2009"/>
      <c r="D2009"/>
      <c r="E2009" s="42"/>
      <c r="F2009" s="42"/>
      <c r="G2009"/>
    </row>
    <row r="2010" spans="1:7" ht="15">
      <c r="A2010"/>
      <c r="B2010"/>
      <c r="C2010"/>
      <c r="D2010"/>
      <c r="E2010" s="42"/>
      <c r="F2010" s="42"/>
      <c r="G2010"/>
    </row>
    <row r="2011" spans="1:7" ht="15">
      <c r="A2011"/>
      <c r="B2011"/>
      <c r="C2011"/>
      <c r="D2011"/>
      <c r="E2011" s="42"/>
      <c r="F2011" s="42"/>
      <c r="G2011"/>
    </row>
    <row r="2012" spans="1:7" ht="15">
      <c r="A2012"/>
      <c r="B2012"/>
      <c r="C2012"/>
      <c r="D2012"/>
      <c r="E2012" s="42"/>
      <c r="F2012" s="42"/>
      <c r="G2012"/>
    </row>
    <row r="2013" spans="1:7" ht="15">
      <c r="A2013"/>
      <c r="B2013"/>
      <c r="C2013"/>
      <c r="D2013"/>
      <c r="E2013" s="42"/>
      <c r="F2013" s="42"/>
      <c r="G2013"/>
    </row>
    <row r="2014" spans="1:7" ht="15">
      <c r="A2014"/>
      <c r="B2014"/>
      <c r="C2014"/>
      <c r="D2014"/>
      <c r="E2014" s="42"/>
      <c r="F2014" s="42"/>
      <c r="G2014"/>
    </row>
    <row r="2015" spans="1:7" ht="15">
      <c r="A2015"/>
      <c r="B2015"/>
      <c r="C2015"/>
      <c r="D2015"/>
      <c r="E2015" s="42"/>
      <c r="F2015" s="42"/>
      <c r="G2015"/>
    </row>
    <row r="2016" spans="1:7" ht="15">
      <c r="A2016"/>
      <c r="B2016"/>
      <c r="C2016"/>
      <c r="D2016"/>
      <c r="E2016" s="42"/>
      <c r="F2016" s="42"/>
      <c r="G2016"/>
    </row>
    <row r="2017" spans="1:7" ht="15">
      <c r="A2017"/>
      <c r="B2017"/>
      <c r="C2017"/>
      <c r="D2017"/>
      <c r="E2017" s="42"/>
      <c r="F2017" s="42"/>
      <c r="G2017"/>
    </row>
    <row r="2018" spans="1:7" ht="15">
      <c r="A2018"/>
      <c r="B2018"/>
      <c r="C2018"/>
      <c r="D2018"/>
      <c r="E2018" s="42"/>
      <c r="F2018" s="42"/>
      <c r="G2018"/>
    </row>
    <row r="2019" spans="1:7" ht="15">
      <c r="A2019"/>
      <c r="B2019"/>
      <c r="C2019"/>
      <c r="D2019"/>
      <c r="E2019" s="42"/>
      <c r="F2019" s="42"/>
      <c r="G2019"/>
    </row>
    <row r="2020" spans="1:7" ht="15">
      <c r="A2020"/>
      <c r="B2020"/>
      <c r="C2020"/>
      <c r="D2020"/>
      <c r="E2020" s="42"/>
      <c r="F2020" s="42"/>
      <c r="G2020"/>
    </row>
    <row r="2021" spans="1:7" ht="15">
      <c r="A2021"/>
      <c r="B2021"/>
      <c r="C2021"/>
      <c r="D2021"/>
      <c r="E2021" s="42"/>
      <c r="F2021" s="42"/>
      <c r="G2021"/>
    </row>
    <row r="2022" spans="1:7" ht="15">
      <c r="A2022"/>
      <c r="B2022"/>
      <c r="C2022"/>
      <c r="D2022"/>
      <c r="E2022" s="42"/>
      <c r="F2022" s="42"/>
      <c r="G2022"/>
    </row>
    <row r="2023" spans="1:7" ht="15">
      <c r="A2023"/>
      <c r="B2023"/>
      <c r="C2023"/>
      <c r="D2023"/>
      <c r="E2023" s="42"/>
      <c r="F2023" s="42"/>
      <c r="G2023"/>
    </row>
    <row r="2024" spans="1:7" ht="15">
      <c r="A2024"/>
      <c r="B2024"/>
      <c r="C2024"/>
      <c r="D2024"/>
      <c r="E2024" s="42"/>
      <c r="F2024" s="42"/>
      <c r="G2024"/>
    </row>
    <row r="2025" spans="1:7" ht="15">
      <c r="A2025"/>
      <c r="B2025"/>
      <c r="C2025"/>
      <c r="D2025"/>
      <c r="E2025" s="42"/>
      <c r="F2025" s="42"/>
      <c r="G2025"/>
    </row>
    <row r="2026" spans="1:7" ht="15">
      <c r="A2026"/>
      <c r="B2026"/>
      <c r="C2026"/>
      <c r="D2026"/>
      <c r="E2026" s="42"/>
      <c r="F2026" s="42"/>
      <c r="G2026"/>
    </row>
    <row r="2027" spans="1:7" ht="15">
      <c r="A2027"/>
      <c r="B2027"/>
      <c r="C2027"/>
      <c r="D2027"/>
      <c r="E2027" s="42"/>
      <c r="F2027" s="42"/>
      <c r="G2027"/>
    </row>
    <row r="2028" spans="1:7" ht="15">
      <c r="A2028"/>
      <c r="B2028"/>
      <c r="C2028"/>
      <c r="D2028"/>
      <c r="E2028" s="42"/>
      <c r="F2028" s="42"/>
      <c r="G2028"/>
    </row>
    <row r="2029" spans="1:7" ht="15">
      <c r="A2029"/>
      <c r="B2029"/>
      <c r="C2029"/>
      <c r="D2029"/>
      <c r="E2029" s="42"/>
      <c r="F2029" s="42"/>
      <c r="G2029"/>
    </row>
    <row r="2030" spans="1:7" ht="15">
      <c r="A2030"/>
      <c r="B2030"/>
      <c r="C2030"/>
      <c r="D2030"/>
      <c r="E2030" s="42"/>
      <c r="F2030" s="42"/>
      <c r="G2030"/>
    </row>
    <row r="2031" spans="1:7" ht="15">
      <c r="A2031"/>
      <c r="B2031"/>
      <c r="C2031"/>
      <c r="D2031"/>
      <c r="E2031" s="42"/>
      <c r="F2031" s="42"/>
      <c r="G2031"/>
    </row>
    <row r="2032" spans="1:7" ht="15">
      <c r="A2032"/>
      <c r="B2032"/>
      <c r="C2032"/>
      <c r="D2032"/>
      <c r="E2032" s="42"/>
      <c r="F2032" s="42"/>
      <c r="G2032"/>
    </row>
    <row r="2033" spans="1:7" ht="15">
      <c r="A2033"/>
      <c r="B2033"/>
      <c r="C2033"/>
      <c r="D2033"/>
      <c r="E2033" s="42"/>
      <c r="F2033" s="42"/>
      <c r="G2033"/>
    </row>
    <row r="2034" spans="1:7" ht="15">
      <c r="A2034"/>
      <c r="B2034"/>
      <c r="C2034"/>
      <c r="D2034"/>
      <c r="E2034" s="42"/>
      <c r="F2034" s="42"/>
      <c r="G2034"/>
    </row>
    <row r="2035" spans="1:7" ht="15">
      <c r="A2035"/>
      <c r="B2035"/>
      <c r="C2035"/>
      <c r="D2035"/>
      <c r="E2035" s="42"/>
      <c r="F2035" s="42"/>
      <c r="G2035"/>
    </row>
    <row r="2036" spans="1:7" ht="15">
      <c r="A2036"/>
      <c r="B2036"/>
      <c r="C2036"/>
      <c r="D2036"/>
      <c r="E2036" s="42"/>
      <c r="F2036" s="42"/>
      <c r="G2036"/>
    </row>
    <row r="2037" spans="1:7" ht="15">
      <c r="A2037"/>
      <c r="B2037"/>
      <c r="C2037"/>
      <c r="D2037"/>
      <c r="E2037" s="42"/>
      <c r="F2037" s="42"/>
      <c r="G2037"/>
    </row>
    <row r="2038" spans="1:7" ht="15">
      <c r="A2038"/>
      <c r="B2038"/>
      <c r="C2038"/>
      <c r="D2038"/>
      <c r="E2038" s="42"/>
      <c r="F2038" s="42"/>
      <c r="G2038"/>
    </row>
    <row r="2039" spans="1:7" ht="15">
      <c r="A2039"/>
      <c r="B2039"/>
      <c r="C2039"/>
      <c r="D2039"/>
      <c r="E2039" s="42"/>
      <c r="F2039" s="42"/>
      <c r="G2039"/>
    </row>
    <row r="2040" spans="1:7" ht="15">
      <c r="A2040"/>
      <c r="B2040"/>
      <c r="C2040"/>
      <c r="D2040"/>
      <c r="E2040" s="42"/>
      <c r="F2040" s="42"/>
      <c r="G2040"/>
    </row>
    <row r="2041" spans="1:7" ht="15">
      <c r="A2041"/>
      <c r="B2041"/>
      <c r="C2041"/>
      <c r="D2041"/>
      <c r="E2041" s="42"/>
      <c r="F2041" s="42"/>
      <c r="G2041"/>
    </row>
    <row r="2042" spans="1:7" ht="15">
      <c r="A2042"/>
      <c r="B2042"/>
      <c r="C2042"/>
      <c r="D2042"/>
      <c r="E2042" s="42"/>
      <c r="F2042" s="42"/>
      <c r="G2042"/>
    </row>
    <row r="2043" spans="1:7" ht="15">
      <c r="A2043"/>
      <c r="B2043"/>
      <c r="C2043"/>
      <c r="D2043"/>
      <c r="E2043" s="42"/>
      <c r="F2043" s="42"/>
      <c r="G2043"/>
    </row>
    <row r="2044" spans="1:7" ht="15">
      <c r="A2044"/>
      <c r="B2044"/>
      <c r="C2044"/>
      <c r="D2044"/>
      <c r="E2044" s="42"/>
      <c r="F2044" s="42"/>
      <c r="G2044"/>
    </row>
    <row r="2045" spans="1:7" ht="15">
      <c r="A2045"/>
      <c r="B2045"/>
      <c r="C2045"/>
      <c r="D2045"/>
      <c r="E2045" s="42"/>
      <c r="F2045" s="42"/>
      <c r="G2045"/>
    </row>
    <row r="2046" spans="1:7" ht="15">
      <c r="A2046"/>
      <c r="B2046"/>
      <c r="C2046"/>
      <c r="D2046"/>
      <c r="E2046" s="42"/>
      <c r="F2046" s="42"/>
      <c r="G2046"/>
    </row>
    <row r="2047" spans="1:7" ht="15">
      <c r="A2047"/>
      <c r="B2047"/>
      <c r="C2047"/>
      <c r="D2047"/>
      <c r="E2047" s="42"/>
      <c r="F2047" s="42"/>
      <c r="G2047"/>
    </row>
    <row r="2048" spans="1:7" ht="15">
      <c r="A2048"/>
      <c r="B2048"/>
      <c r="C2048"/>
      <c r="D2048"/>
      <c r="E2048" s="42"/>
      <c r="F2048" s="42"/>
      <c r="G2048"/>
    </row>
  </sheetData>
  <pageMargins left="0.70866141732283472" right="0.23622047244094491" top="0.74803149606299213" bottom="0.74803149606299213" header="0.31496062992125984" footer="0.31496062992125984"/>
  <pageSetup paperSize="9" scale="95" orientation="portrait" r:id="rId2"/>
  <headerFooter>
    <oddHeader>&amp;L&amp;"-,Bold"&amp;12บัญชีแยกประเภททั่วไป&amp;R&amp;"-,Bold"&amp;10หน้าที่ &amp;P/&amp;N</oddHeader>
    <oddFooter>&amp;L&amp;10ผู้บันทึก........................&amp;R&amp;10ผู้ตรวจสอบ........................</oddFooter>
  </headerFooter>
  <drawing r:id="rId3"/>
  <legacyDrawing r:id="rId4"/>
  <controls>
    <mc:AlternateContent xmlns:mc="http://schemas.openxmlformats.org/markup-compatibility/2006">
      <mc:Choice Requires="x14">
        <control shapeId="8194" r:id="rId5" name="Label1">
          <controlPr defaultSize="0" print="0" autoLine="0" autoPict="0" r:id="rId6">
            <anchor moveWithCells="1">
              <from>
                <xdr:col>6</xdr:col>
                <xdr:colOff>47625</xdr:colOff>
                <xdr:row>2</xdr:row>
                <xdr:rowOff>38100</xdr:rowOff>
              </from>
              <to>
                <xdr:col>8</xdr:col>
                <xdr:colOff>619125</xdr:colOff>
                <xdr:row>3</xdr:row>
                <xdr:rowOff>123825</xdr:rowOff>
              </to>
            </anchor>
          </controlPr>
        </control>
      </mc:Choice>
      <mc:Fallback>
        <control shapeId="8194" r:id="rId5" name="Label1"/>
      </mc:Fallback>
    </mc:AlternateContent>
    <mc:AlternateContent xmlns:mc="http://schemas.openxmlformats.org/markup-compatibility/2006">
      <mc:Choice Requires="x14">
        <control shapeId="8193" r:id="rId7" name="Button 1">
          <controlPr defaultSize="0" print="0" autoFill="0" autoPict="0" macro="[0]!Button1_Click">
            <anchor moveWithCells="1" siz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600075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T53"/>
  <sheetViews>
    <sheetView tabSelected="1" zoomScale="145" zoomScaleNormal="145" workbookViewId="0">
      <pane xSplit="2" ySplit="4" topLeftCell="C5" activePane="bottomRight" state="frozen"/>
      <selection pane="topRight" activeCell="B21" activeCellId="1" sqref="B21 B21"/>
      <selection pane="bottomLeft" activeCell="B21" activeCellId="1" sqref="B21 B21"/>
      <selection pane="bottomRight" activeCell="G33" sqref="G33"/>
    </sheetView>
  </sheetViews>
  <sheetFormatPr defaultColWidth="9" defaultRowHeight="12"/>
  <cols>
    <col min="1" max="1" width="10" style="33" bestFit="1" customWidth="1"/>
    <col min="2" max="2" width="47" style="30" customWidth="1"/>
    <col min="3" max="4" width="12.28515625" style="30" bestFit="1" customWidth="1"/>
    <col min="5" max="5" width="14.28515625" style="31" customWidth="1"/>
    <col min="6" max="7" width="14.7109375" style="13" bestFit="1" customWidth="1"/>
    <col min="8" max="8" width="14" style="13" bestFit="1" customWidth="1"/>
    <col min="9" max="16384" width="9" style="13"/>
  </cols>
  <sheetData>
    <row r="1" spans="1:20">
      <c r="A1" s="14" t="s">
        <v>152</v>
      </c>
      <c r="B1" s="16">
        <v>1</v>
      </c>
    </row>
    <row r="3" spans="1:20" ht="15">
      <c r="A3" s="13"/>
      <c r="B3" s="13"/>
      <c r="C3" s="14" t="s">
        <v>147</v>
      </c>
      <c r="D3" s="13"/>
      <c r="E3" s="1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1:20" ht="15">
      <c r="A4" s="14" t="s">
        <v>40</v>
      </c>
      <c r="B4" s="14" t="s">
        <v>41</v>
      </c>
      <c r="C4" s="31" t="s">
        <v>44</v>
      </c>
      <c r="D4" s="31" t="s">
        <v>45</v>
      </c>
      <c r="E4" s="31" t="s">
        <v>153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</row>
    <row r="5" spans="1:20" ht="15">
      <c r="A5" s="13">
        <v>101001</v>
      </c>
      <c r="B5" s="13" t="s">
        <v>47</v>
      </c>
      <c r="C5" s="32">
        <v>130470</v>
      </c>
      <c r="D5" s="32">
        <v>130470</v>
      </c>
      <c r="E5" s="34">
        <v>0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</row>
    <row r="6" spans="1:20" ht="15">
      <c r="A6" s="13">
        <v>101002</v>
      </c>
      <c r="B6" s="13" t="s">
        <v>48</v>
      </c>
      <c r="C6" s="32">
        <v>3389336.9499999997</v>
      </c>
      <c r="D6" s="32">
        <v>480781.69999999995</v>
      </c>
      <c r="E6" s="34">
        <v>2908555.25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</row>
    <row r="7" spans="1:20" ht="15">
      <c r="A7" s="13">
        <v>101003</v>
      </c>
      <c r="B7" s="13" t="s">
        <v>49</v>
      </c>
      <c r="C7" s="32">
        <v>133027.51</v>
      </c>
      <c r="D7" s="32"/>
      <c r="E7" s="34">
        <v>133027.51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</row>
    <row r="8" spans="1:20" ht="15">
      <c r="A8" s="13">
        <v>101005</v>
      </c>
      <c r="B8" s="13" t="s">
        <v>51</v>
      </c>
      <c r="C8" s="32">
        <v>1</v>
      </c>
      <c r="D8" s="32"/>
      <c r="E8" s="34">
        <v>1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</row>
    <row r="9" spans="1:20" ht="15">
      <c r="A9" s="13">
        <v>101007</v>
      </c>
      <c r="B9" s="13" t="s">
        <v>53</v>
      </c>
      <c r="C9" s="32">
        <v>1</v>
      </c>
      <c r="D9" s="32"/>
      <c r="E9" s="34">
        <v>1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  <row r="10" spans="1:20" ht="15">
      <c r="A10" s="13">
        <v>101009</v>
      </c>
      <c r="B10" s="13" t="s">
        <v>55</v>
      </c>
      <c r="C10" s="32">
        <v>4878.6499999999996</v>
      </c>
      <c r="D10" s="32"/>
      <c r="E10" s="34">
        <v>4878.6499999999996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15">
      <c r="A11" s="13">
        <v>101011</v>
      </c>
      <c r="B11" s="13" t="s">
        <v>57</v>
      </c>
      <c r="C11" s="32">
        <v>1</v>
      </c>
      <c r="D11" s="32"/>
      <c r="E11" s="34">
        <v>1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15">
      <c r="A12" s="13">
        <v>101013</v>
      </c>
      <c r="B12" s="13" t="s">
        <v>59</v>
      </c>
      <c r="C12" s="32">
        <v>1</v>
      </c>
      <c r="D12" s="32"/>
      <c r="E12" s="34">
        <v>1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15">
      <c r="A13" s="13">
        <v>101015</v>
      </c>
      <c r="B13" s="13" t="s">
        <v>61</v>
      </c>
      <c r="C13" s="32">
        <v>1</v>
      </c>
      <c r="D13" s="32"/>
      <c r="E13" s="34">
        <v>1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15">
      <c r="A14" s="13">
        <v>101017</v>
      </c>
      <c r="B14" s="13" t="s">
        <v>63</v>
      </c>
      <c r="C14" s="32">
        <v>1</v>
      </c>
      <c r="D14" s="32"/>
      <c r="E14" s="34">
        <v>1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15">
      <c r="A15" s="13">
        <v>101019</v>
      </c>
      <c r="B15" s="13" t="s">
        <v>65</v>
      </c>
      <c r="C15" s="32">
        <v>6180.95</v>
      </c>
      <c r="D15" s="32"/>
      <c r="E15" s="34">
        <v>6180.95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15">
      <c r="A16" s="13">
        <v>101021</v>
      </c>
      <c r="B16" s="13" t="s">
        <v>67</v>
      </c>
      <c r="C16" s="32">
        <v>14704.62</v>
      </c>
      <c r="D16" s="32"/>
      <c r="E16" s="34">
        <v>14704.62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15">
      <c r="A17" s="13">
        <v>201002</v>
      </c>
      <c r="B17" s="13" t="s">
        <v>71</v>
      </c>
      <c r="C17" s="32"/>
      <c r="D17" s="32">
        <v>208710</v>
      </c>
      <c r="E17" s="34">
        <v>-208710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15">
      <c r="A18" s="13">
        <v>201004</v>
      </c>
      <c r="B18" s="13" t="s">
        <v>73</v>
      </c>
      <c r="C18" s="32"/>
      <c r="D18" s="32">
        <v>134640</v>
      </c>
      <c r="E18" s="34">
        <v>-134640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15">
      <c r="A19" s="13">
        <v>201008</v>
      </c>
      <c r="B19" s="13" t="s">
        <v>77</v>
      </c>
      <c r="C19" s="32"/>
      <c r="D19" s="32">
        <v>12285.9</v>
      </c>
      <c r="E19" s="34">
        <v>-12285.9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15">
      <c r="A20" s="13">
        <v>301001</v>
      </c>
      <c r="B20" s="13" t="s">
        <v>78</v>
      </c>
      <c r="C20" s="32"/>
      <c r="D20" s="32">
        <v>544281.59</v>
      </c>
      <c r="E20" s="34">
        <v>-544281.59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5">
      <c r="A21" s="13">
        <v>301002</v>
      </c>
      <c r="B21" s="13" t="s">
        <v>79</v>
      </c>
      <c r="C21" s="32"/>
      <c r="D21" s="32">
        <v>2432040.7400000002</v>
      </c>
      <c r="E21" s="34">
        <v>-2432040.7400000002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>
      <c r="A22" s="13">
        <v>301003</v>
      </c>
      <c r="B22" s="13" t="s">
        <v>80</v>
      </c>
      <c r="C22" s="32"/>
      <c r="D22" s="32">
        <v>53438.14</v>
      </c>
      <c r="E22" s="34">
        <v>-53438.14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>
      <c r="A23" s="13">
        <v>401003</v>
      </c>
      <c r="B23" s="13" t="s">
        <v>83</v>
      </c>
      <c r="C23" s="32"/>
      <c r="D23" s="32">
        <v>235700</v>
      </c>
      <c r="E23" s="34">
        <v>-235700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>
      <c r="A24" s="13">
        <v>401004</v>
      </c>
      <c r="B24" s="13" t="s">
        <v>84</v>
      </c>
      <c r="C24" s="32"/>
      <c r="D24" s="32">
        <v>28800</v>
      </c>
      <c r="E24" s="34">
        <v>-28800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>
      <c r="A25" s="13">
        <v>401005</v>
      </c>
      <c r="B25" s="13" t="s">
        <v>85</v>
      </c>
      <c r="C25" s="32"/>
      <c r="D25" s="32">
        <v>18720</v>
      </c>
      <c r="E25" s="34">
        <v>-18720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>
      <c r="A26" s="13">
        <v>401007</v>
      </c>
      <c r="B26" s="13" t="s">
        <v>87</v>
      </c>
      <c r="C26" s="32"/>
      <c r="D26" s="32">
        <v>2150</v>
      </c>
      <c r="E26" s="34">
        <v>-2150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>
      <c r="A27" s="13">
        <v>401008</v>
      </c>
      <c r="B27" s="13" t="s">
        <v>88</v>
      </c>
      <c r="C27" s="32"/>
      <c r="D27" s="32">
        <v>15000</v>
      </c>
      <c r="E27" s="34">
        <v>-15000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>
      <c r="A28" s="13">
        <v>401009</v>
      </c>
      <c r="B28" s="13" t="s">
        <v>89</v>
      </c>
      <c r="C28" s="32"/>
      <c r="D28" s="32">
        <v>4000</v>
      </c>
      <c r="E28" s="34">
        <v>-4000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>
      <c r="A29" s="13">
        <v>401010</v>
      </c>
      <c r="B29" s="13" t="s">
        <v>90</v>
      </c>
      <c r="C29" s="32"/>
      <c r="D29" s="32">
        <v>2640</v>
      </c>
      <c r="E29" s="34">
        <v>-2640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>
      <c r="A30" s="13">
        <v>401012</v>
      </c>
      <c r="B30" s="13" t="s">
        <v>92</v>
      </c>
      <c r="C30" s="32"/>
      <c r="D30" s="32">
        <v>29790</v>
      </c>
      <c r="E30" s="34">
        <v>-29790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>
      <c r="A31" s="13">
        <v>401013</v>
      </c>
      <c r="B31" s="13" t="s">
        <v>93</v>
      </c>
      <c r="C31" s="32"/>
      <c r="D31" s="32">
        <v>110160</v>
      </c>
      <c r="E31" s="34">
        <v>-110160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>
      <c r="A32" s="13">
        <v>401014</v>
      </c>
      <c r="B32" s="13" t="s">
        <v>94</v>
      </c>
      <c r="C32" s="32"/>
      <c r="D32" s="32">
        <v>6000</v>
      </c>
      <c r="E32" s="34">
        <v>-6000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>
      <c r="A33" s="13">
        <v>401016</v>
      </c>
      <c r="B33" s="13" t="s">
        <v>96</v>
      </c>
      <c r="C33" s="32"/>
      <c r="D33" s="32">
        <v>700</v>
      </c>
      <c r="E33" s="34">
        <v>-700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>
      <c r="A34" s="13">
        <v>401017</v>
      </c>
      <c r="B34" s="13" t="s">
        <v>97</v>
      </c>
      <c r="C34" s="32"/>
      <c r="D34" s="32">
        <v>6479.13</v>
      </c>
      <c r="E34" s="34">
        <v>-6479.13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>
      <c r="A35" s="13">
        <v>401018</v>
      </c>
      <c r="B35" s="13" t="s">
        <v>98</v>
      </c>
      <c r="C35" s="32"/>
      <c r="D35" s="32">
        <v>2300</v>
      </c>
      <c r="E35" s="34">
        <v>-2300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>
      <c r="A36" s="13">
        <v>501001</v>
      </c>
      <c r="B36" s="13" t="s">
        <v>100</v>
      </c>
      <c r="C36" s="32">
        <v>123200</v>
      </c>
      <c r="D36" s="32"/>
      <c r="E36" s="34">
        <v>123200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>
      <c r="A37" s="13">
        <v>501003</v>
      </c>
      <c r="B37" s="13" t="s">
        <v>102</v>
      </c>
      <c r="C37" s="32">
        <v>38143.599999999999</v>
      </c>
      <c r="D37" s="32"/>
      <c r="E37" s="34">
        <v>38143.599999999999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>
      <c r="A38" s="13">
        <v>501022</v>
      </c>
      <c r="B38" s="13" t="s">
        <v>121</v>
      </c>
      <c r="C38" s="32">
        <v>106058.31</v>
      </c>
      <c r="D38" s="32"/>
      <c r="E38" s="34">
        <v>106058.31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>
      <c r="A39" s="13">
        <v>501023</v>
      </c>
      <c r="B39" s="13" t="s">
        <v>122</v>
      </c>
      <c r="C39" s="32">
        <v>106058.31</v>
      </c>
      <c r="D39" s="32"/>
      <c r="E39" s="34">
        <v>106058.31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>
      <c r="A40" s="13">
        <v>501025</v>
      </c>
      <c r="B40" s="13" t="s">
        <v>186</v>
      </c>
      <c r="C40" s="32">
        <v>407022.3</v>
      </c>
      <c r="D40" s="32"/>
      <c r="E40" s="34">
        <v>407022.3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>
      <c r="A41" s="33" t="s">
        <v>154</v>
      </c>
      <c r="B41" s="33"/>
      <c r="C41" s="32">
        <v>4459087.2</v>
      </c>
      <c r="D41" s="32">
        <v>4459087.2</v>
      </c>
      <c r="E41" s="34">
        <v>0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</sheetData>
  <pageMargins left="0.70866141732283472" right="0.31496062992125984" top="0.74803149606299213" bottom="0.74803149606299213" header="0.31496062992125984" footer="0.31496062992125984"/>
  <pageSetup paperSize="9" scale="95" orientation="portrait" r:id="rId2"/>
  <headerFooter>
    <oddHeader>&amp;L&amp;"-,Bold"&amp;12งบทดลองก่อนปิดบัญชี&amp;Rหน้าที่ &amp;P/&amp;N</oddHeader>
    <firstHeader>&amp;L&amp;"-,Bold"&amp;12งบทดลองก่อนปิดบัญชี</firstHeader>
  </headerFooter>
  <drawing r:id="rId3"/>
  <legacyDrawing r:id="rId4"/>
  <controls>
    <mc:AlternateContent xmlns:mc="http://schemas.openxmlformats.org/markup-compatibility/2006">
      <mc:Choice Requires="x14">
        <control shapeId="12290" r:id="rId5" name="Label1">
          <controlPr defaultSize="0" print="0" autoLine="0" autoPict="0" r:id="rId6">
            <anchor moveWithCells="1">
              <from>
                <xdr:col>5</xdr:col>
                <xdr:colOff>38100</xdr:colOff>
                <xdr:row>2</xdr:row>
                <xdr:rowOff>47625</xdr:rowOff>
              </from>
              <to>
                <xdr:col>7</xdr:col>
                <xdr:colOff>28575</xdr:colOff>
                <xdr:row>3</xdr:row>
                <xdr:rowOff>133350</xdr:rowOff>
              </to>
            </anchor>
          </controlPr>
        </control>
      </mc:Choice>
      <mc:Fallback>
        <control shapeId="12290" r:id="rId5" name="Label1"/>
      </mc:Fallback>
    </mc:AlternateContent>
    <mc:AlternateContent xmlns:mc="http://schemas.openxmlformats.org/markup-compatibility/2006">
      <mc:Choice Requires="x14">
        <control shapeId="12289" r:id="rId7" name="Button 1">
          <controlPr defaultSize="0" print="0" autoFill="0" autoPict="0" macro="[0]!Button1_Click">
            <anchor moveWithCells="1" sizeWithCells="1">
              <from>
                <xdr:col>7</xdr:col>
                <xdr:colOff>114300</xdr:colOff>
                <xdr:row>2</xdr:row>
                <xdr:rowOff>9525</xdr:rowOff>
              </from>
              <to>
                <xdr:col>8</xdr:col>
                <xdr:colOff>276225</xdr:colOff>
                <xdr:row>3</xdr:row>
                <xdr:rowOff>133350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T149"/>
  <sheetViews>
    <sheetView topLeftCell="A2" zoomScale="95" zoomScaleNormal="95" workbookViewId="0">
      <pane xSplit="2" ySplit="5" topLeftCell="C7" activePane="bottomRight" state="frozen"/>
      <selection pane="topRight" activeCell="C5" sqref="C5"/>
      <selection pane="bottomLeft" activeCell="A7" sqref="A7"/>
      <selection pane="bottomRight" activeCell="E26" sqref="E26"/>
    </sheetView>
  </sheetViews>
  <sheetFormatPr defaultColWidth="9" defaultRowHeight="12"/>
  <cols>
    <col min="1" max="1" width="9.28515625" style="18" customWidth="1"/>
    <col min="2" max="2" width="47.28515625" style="13" bestFit="1" customWidth="1"/>
    <col min="3" max="3" width="16.28515625" style="13" bestFit="1" customWidth="1"/>
    <col min="4" max="4" width="15.85546875" style="13" bestFit="1" customWidth="1"/>
    <col min="5" max="5" width="14.7109375" style="13" bestFit="1" customWidth="1"/>
    <col min="6" max="6" width="15.7109375" style="13" bestFit="1" customWidth="1"/>
    <col min="7" max="7" width="14.7109375" style="13" bestFit="1" customWidth="1"/>
    <col min="8" max="8" width="14" style="13" bestFit="1" customWidth="1"/>
    <col min="9" max="16384" width="9" style="13"/>
  </cols>
  <sheetData>
    <row r="1" spans="1:20" ht="15" hidden="1">
      <c r="A1"/>
      <c r="B1"/>
    </row>
    <row r="2" spans="1:20">
      <c r="A2" s="14" t="s">
        <v>152</v>
      </c>
      <c r="B2" s="16">
        <v>1</v>
      </c>
    </row>
    <row r="3" spans="1:20" ht="15">
      <c r="A3" s="14" t="s">
        <v>42</v>
      </c>
      <c r="B3" s="13" t="s">
        <v>160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1:20" ht="1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</row>
    <row r="5" spans="1:20" ht="15">
      <c r="A5" s="14" t="s">
        <v>153</v>
      </c>
      <c r="C5" s="14" t="s">
        <v>125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</row>
    <row r="6" spans="1:20" ht="15">
      <c r="A6" s="14" t="s">
        <v>40</v>
      </c>
      <c r="B6" s="14" t="s">
        <v>41</v>
      </c>
      <c r="C6" s="18" t="s">
        <v>130</v>
      </c>
      <c r="D6" s="18" t="s">
        <v>154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</row>
    <row r="7" spans="1:20" ht="15">
      <c r="A7" s="13">
        <v>101001</v>
      </c>
      <c r="B7" s="13" t="s">
        <v>47</v>
      </c>
      <c r="C7" s="20">
        <v>0</v>
      </c>
      <c r="D7" s="20">
        <v>0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</row>
    <row r="8" spans="1:20" ht="15">
      <c r="A8" s="13">
        <v>101002</v>
      </c>
      <c r="B8" s="13" t="s">
        <v>48</v>
      </c>
      <c r="C8" s="20">
        <v>2908555.25</v>
      </c>
      <c r="D8" s="20">
        <v>2908555.25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</row>
    <row r="9" spans="1:20" ht="15">
      <c r="A9" s="13">
        <v>301001</v>
      </c>
      <c r="B9" s="13" t="s">
        <v>78</v>
      </c>
      <c r="C9" s="20">
        <v>-544281.59</v>
      </c>
      <c r="D9" s="20">
        <v>-544281.59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  <row r="10" spans="1:20" ht="15">
      <c r="A10" s="13">
        <v>301002</v>
      </c>
      <c r="B10" s="13" t="s">
        <v>79</v>
      </c>
      <c r="C10" s="20">
        <v>-2432040.7400000002</v>
      </c>
      <c r="D10" s="20">
        <v>-2432040.7400000002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15">
      <c r="A11" s="13">
        <v>501001</v>
      </c>
      <c r="B11" s="13" t="s">
        <v>100</v>
      </c>
      <c r="C11" s="20">
        <v>123200</v>
      </c>
      <c r="D11" s="20">
        <v>123200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15">
      <c r="A12" s="13">
        <v>501003</v>
      </c>
      <c r="B12" s="13" t="s">
        <v>102</v>
      </c>
      <c r="C12" s="20">
        <v>38143.599999999999</v>
      </c>
      <c r="D12" s="20">
        <v>38143.599999999999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15">
      <c r="A13" s="13">
        <v>401008</v>
      </c>
      <c r="B13" s="13" t="s">
        <v>88</v>
      </c>
      <c r="C13" s="20">
        <v>-15000</v>
      </c>
      <c r="D13" s="20">
        <v>-15000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15">
      <c r="A14" s="13">
        <v>401003</v>
      </c>
      <c r="B14" s="13" t="s">
        <v>83</v>
      </c>
      <c r="C14" s="20">
        <v>-235700</v>
      </c>
      <c r="D14" s="20">
        <v>-235700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15">
      <c r="A15" s="13">
        <v>401004</v>
      </c>
      <c r="B15" s="13" t="s">
        <v>84</v>
      </c>
      <c r="C15" s="20">
        <v>-28800</v>
      </c>
      <c r="D15" s="20">
        <v>-28800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15">
      <c r="A16" s="13">
        <v>401012</v>
      </c>
      <c r="B16" s="13" t="s">
        <v>92</v>
      </c>
      <c r="C16" s="20">
        <v>-29790</v>
      </c>
      <c r="D16" s="20">
        <v>-29790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15">
      <c r="A17" s="13">
        <v>401005</v>
      </c>
      <c r="B17" s="13" t="s">
        <v>85</v>
      </c>
      <c r="C17" s="20">
        <v>-18720</v>
      </c>
      <c r="D17" s="20">
        <v>-18720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15">
      <c r="A18" s="13">
        <v>401007</v>
      </c>
      <c r="B18" s="13" t="s">
        <v>87</v>
      </c>
      <c r="C18" s="20">
        <v>-2150</v>
      </c>
      <c r="D18" s="20">
        <v>-2150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15">
      <c r="A19" s="13">
        <v>401013</v>
      </c>
      <c r="B19" s="13" t="s">
        <v>93</v>
      </c>
      <c r="C19" s="20">
        <v>-110160</v>
      </c>
      <c r="D19" s="20">
        <v>-110160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15">
      <c r="A20" s="13">
        <v>401010</v>
      </c>
      <c r="B20" s="13" t="s">
        <v>90</v>
      </c>
      <c r="C20" s="20">
        <v>-2640</v>
      </c>
      <c r="D20" s="20">
        <v>-2640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5">
      <c r="A21" s="13">
        <v>401009</v>
      </c>
      <c r="B21" s="13" t="s">
        <v>89</v>
      </c>
      <c r="C21" s="20">
        <v>-4000</v>
      </c>
      <c r="D21" s="20">
        <v>-4000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>
      <c r="A22" s="13">
        <v>401016</v>
      </c>
      <c r="B22" s="13" t="s">
        <v>96</v>
      </c>
      <c r="C22" s="20">
        <v>-700</v>
      </c>
      <c r="D22" s="20">
        <v>-700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>
      <c r="A23" s="13">
        <v>401017</v>
      </c>
      <c r="B23" s="13" t="s">
        <v>97</v>
      </c>
      <c r="C23" s="20">
        <v>-6479.13</v>
      </c>
      <c r="D23" s="20">
        <v>-6479.13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>
      <c r="A24" s="13">
        <v>401014</v>
      </c>
      <c r="B24" s="13" t="s">
        <v>94</v>
      </c>
      <c r="C24" s="20">
        <v>-6000</v>
      </c>
      <c r="D24" s="20">
        <v>-6000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>
      <c r="A25" s="13">
        <v>201002</v>
      </c>
      <c r="B25" s="13" t="s">
        <v>71</v>
      </c>
      <c r="C25" s="20">
        <v>-208710</v>
      </c>
      <c r="D25" s="20">
        <v>-208710</v>
      </c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>
      <c r="A26" s="13">
        <v>401018</v>
      </c>
      <c r="B26" s="13" t="s">
        <v>98</v>
      </c>
      <c r="C26" s="20">
        <v>-2300</v>
      </c>
      <c r="D26" s="20">
        <v>-2300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>
      <c r="A27" s="13">
        <v>201004</v>
      </c>
      <c r="B27" s="13" t="s">
        <v>73</v>
      </c>
      <c r="C27" s="20">
        <v>-134640</v>
      </c>
      <c r="D27" s="20">
        <v>-134640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>
      <c r="A28" s="13">
        <v>101003</v>
      </c>
      <c r="B28" s="13" t="s">
        <v>49</v>
      </c>
      <c r="C28" s="20">
        <v>133027.51</v>
      </c>
      <c r="D28" s="20">
        <v>133027.51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>
      <c r="A29" s="13">
        <v>201008</v>
      </c>
      <c r="B29" s="13" t="s">
        <v>77</v>
      </c>
      <c r="C29" s="20">
        <v>-12285.9</v>
      </c>
      <c r="D29" s="20">
        <v>-12285.9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>
      <c r="A30" s="13">
        <v>101005</v>
      </c>
      <c r="B30" s="13" t="s">
        <v>51</v>
      </c>
      <c r="C30" s="20">
        <v>1</v>
      </c>
      <c r="D30" s="20">
        <v>1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>
      <c r="A31" s="13">
        <v>101007</v>
      </c>
      <c r="B31" s="13" t="s">
        <v>53</v>
      </c>
      <c r="C31" s="20">
        <v>1</v>
      </c>
      <c r="D31" s="20">
        <v>1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>
      <c r="A32" s="13">
        <v>101009</v>
      </c>
      <c r="B32" s="13" t="s">
        <v>55</v>
      </c>
      <c r="C32" s="20">
        <v>4878.6499999999996</v>
      </c>
      <c r="D32" s="20">
        <v>4878.6499999999996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>
      <c r="A33" s="13">
        <v>101013</v>
      </c>
      <c r="B33" s="13" t="s">
        <v>59</v>
      </c>
      <c r="C33" s="20">
        <v>1</v>
      </c>
      <c r="D33" s="20">
        <v>1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>
      <c r="A34" s="13">
        <v>101015</v>
      </c>
      <c r="B34" s="13" t="s">
        <v>61</v>
      </c>
      <c r="C34" s="20">
        <v>1</v>
      </c>
      <c r="D34" s="20">
        <v>1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>
      <c r="A35" s="13">
        <v>101017</v>
      </c>
      <c r="B35" s="13" t="s">
        <v>63</v>
      </c>
      <c r="C35" s="20">
        <v>1</v>
      </c>
      <c r="D35" s="20">
        <v>1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>
      <c r="A36" s="13">
        <v>101019</v>
      </c>
      <c r="B36" s="13" t="s">
        <v>65</v>
      </c>
      <c r="C36" s="20">
        <v>6180.95</v>
      </c>
      <c r="D36" s="20">
        <v>6180.95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>
      <c r="A37" s="13">
        <v>101021</v>
      </c>
      <c r="B37" s="13" t="s">
        <v>67</v>
      </c>
      <c r="C37" s="20">
        <v>14704.62</v>
      </c>
      <c r="D37" s="20">
        <v>14704.62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>
      <c r="A38" s="13">
        <v>101011</v>
      </c>
      <c r="B38" s="13" t="s">
        <v>57</v>
      </c>
      <c r="C38" s="20">
        <v>1</v>
      </c>
      <c r="D38" s="20">
        <v>1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>
      <c r="A39" s="13">
        <v>301003</v>
      </c>
      <c r="B39" s="13" t="s">
        <v>80</v>
      </c>
      <c r="C39" s="20">
        <v>-53438.14</v>
      </c>
      <c r="D39" s="20">
        <v>-53438.14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>
      <c r="A40" s="13">
        <v>501022</v>
      </c>
      <c r="B40" s="13" t="s">
        <v>121</v>
      </c>
      <c r="C40" s="20">
        <v>106058.31</v>
      </c>
      <c r="D40" s="20">
        <v>106058.31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>
      <c r="A41" s="13">
        <v>501023</v>
      </c>
      <c r="B41" s="13" t="s">
        <v>122</v>
      </c>
      <c r="C41" s="20">
        <v>106058.31</v>
      </c>
      <c r="D41" s="20">
        <v>106058.31</v>
      </c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>
      <c r="A42" s="13">
        <v>501025</v>
      </c>
      <c r="B42" s="13" t="s">
        <v>186</v>
      </c>
      <c r="C42" s="20">
        <v>407022.3</v>
      </c>
      <c r="D42" s="20">
        <v>407022.3</v>
      </c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>
      <c r="A43" s="18" t="s">
        <v>154</v>
      </c>
      <c r="B43" s="18"/>
      <c r="C43" s="20">
        <v>0</v>
      </c>
      <c r="D43" s="20">
        <v>0</v>
      </c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15">
      <c r="A54"/>
      <c r="B54"/>
      <c r="C54"/>
      <c r="D54"/>
      <c r="E54"/>
      <c r="F54"/>
      <c r="G54"/>
      <c r="H54"/>
    </row>
    <row r="55" spans="1:20" ht="15">
      <c r="A55"/>
      <c r="B55"/>
      <c r="C55"/>
      <c r="D55"/>
      <c r="E55"/>
      <c r="F55"/>
      <c r="G55"/>
      <c r="H55"/>
    </row>
    <row r="56" spans="1:20" ht="15">
      <c r="A56"/>
      <c r="B56"/>
      <c r="C56"/>
      <c r="D56"/>
      <c r="E56"/>
      <c r="F56"/>
      <c r="G56"/>
      <c r="H56"/>
    </row>
    <row r="57" spans="1:20" ht="15">
      <c r="A57"/>
      <c r="B57"/>
      <c r="C57"/>
      <c r="D57"/>
      <c r="E57"/>
      <c r="F57"/>
      <c r="G57"/>
      <c r="H57"/>
    </row>
    <row r="58" spans="1:20" ht="15">
      <c r="A58"/>
      <c r="B58"/>
      <c r="C58"/>
      <c r="D58"/>
      <c r="E58"/>
      <c r="F58"/>
      <c r="G58"/>
      <c r="H58"/>
    </row>
    <row r="59" spans="1:20" ht="15">
      <c r="A59"/>
      <c r="B59"/>
      <c r="C59"/>
      <c r="D59"/>
      <c r="E59"/>
      <c r="F59"/>
      <c r="G59"/>
      <c r="H59"/>
    </row>
    <row r="60" spans="1:20" ht="15">
      <c r="A60"/>
      <c r="B60"/>
      <c r="C60"/>
      <c r="D60"/>
      <c r="E60"/>
      <c r="F60"/>
      <c r="G60"/>
      <c r="H60"/>
    </row>
    <row r="61" spans="1:20" ht="15">
      <c r="A61"/>
      <c r="B61"/>
      <c r="C61"/>
      <c r="D61"/>
      <c r="E61"/>
      <c r="F61"/>
      <c r="G61"/>
      <c r="H61"/>
    </row>
    <row r="62" spans="1:20" ht="15">
      <c r="A62"/>
      <c r="B62"/>
      <c r="C62"/>
      <c r="D62"/>
      <c r="E62"/>
      <c r="F62"/>
      <c r="G62"/>
      <c r="H62"/>
    </row>
    <row r="63" spans="1:20" ht="15">
      <c r="A63"/>
      <c r="B63"/>
      <c r="C63"/>
      <c r="D63"/>
      <c r="E63"/>
      <c r="F63"/>
      <c r="G63"/>
      <c r="H63"/>
    </row>
    <row r="64" spans="1:20" ht="15">
      <c r="A64"/>
      <c r="B64"/>
      <c r="C64"/>
      <c r="D64"/>
      <c r="E64"/>
      <c r="F64"/>
      <c r="G64"/>
      <c r="H64"/>
    </row>
    <row r="65" spans="1:8" ht="15">
      <c r="A65"/>
      <c r="B65"/>
      <c r="C65"/>
      <c r="D65"/>
      <c r="E65"/>
      <c r="F65"/>
      <c r="G65"/>
      <c r="H65"/>
    </row>
    <row r="66" spans="1:8" ht="15">
      <c r="A66"/>
      <c r="B66"/>
      <c r="C66"/>
      <c r="D66"/>
      <c r="E66"/>
      <c r="F66"/>
      <c r="G66"/>
      <c r="H66"/>
    </row>
    <row r="67" spans="1:8" ht="15">
      <c r="A67"/>
      <c r="B67"/>
      <c r="C67"/>
      <c r="D67"/>
      <c r="E67"/>
      <c r="F67"/>
      <c r="G67"/>
      <c r="H67"/>
    </row>
    <row r="68" spans="1:8" ht="15">
      <c r="A68"/>
      <c r="B68"/>
      <c r="C68"/>
      <c r="D68"/>
      <c r="E68"/>
      <c r="F68"/>
      <c r="G68"/>
      <c r="H68"/>
    </row>
    <row r="69" spans="1:8" ht="15">
      <c r="A69"/>
      <c r="B69"/>
      <c r="C69"/>
      <c r="D69"/>
      <c r="E69"/>
      <c r="F69"/>
      <c r="G69"/>
      <c r="H69"/>
    </row>
    <row r="70" spans="1:8" ht="15">
      <c r="A70"/>
      <c r="B70"/>
      <c r="C70"/>
      <c r="D70"/>
      <c r="E70"/>
      <c r="F70"/>
      <c r="G70"/>
      <c r="H70"/>
    </row>
    <row r="71" spans="1:8" ht="15">
      <c r="A71"/>
      <c r="B71"/>
      <c r="C71"/>
      <c r="D71"/>
      <c r="E71"/>
      <c r="F71"/>
      <c r="G71"/>
      <c r="H71"/>
    </row>
    <row r="72" spans="1:8" ht="15">
      <c r="A72"/>
      <c r="B72"/>
      <c r="C72"/>
      <c r="D72"/>
      <c r="E72"/>
      <c r="F72"/>
      <c r="G72"/>
      <c r="H72"/>
    </row>
    <row r="73" spans="1:8" ht="15">
      <c r="A73"/>
      <c r="B73"/>
      <c r="C73"/>
      <c r="D73"/>
      <c r="E73"/>
      <c r="F73"/>
      <c r="G73"/>
      <c r="H73"/>
    </row>
    <row r="74" spans="1:8" ht="15">
      <c r="A74"/>
      <c r="B74"/>
      <c r="C74"/>
      <c r="D74"/>
      <c r="E74"/>
      <c r="F74"/>
      <c r="G74"/>
      <c r="H74"/>
    </row>
    <row r="75" spans="1:8" ht="15">
      <c r="A75"/>
      <c r="B75"/>
      <c r="C75"/>
      <c r="D75"/>
      <c r="E75"/>
      <c r="F75"/>
      <c r="G75"/>
      <c r="H75"/>
    </row>
    <row r="76" spans="1:8" ht="15">
      <c r="A76"/>
      <c r="B76"/>
      <c r="C76"/>
      <c r="D76"/>
      <c r="E76"/>
      <c r="F76"/>
      <c r="G76"/>
      <c r="H76"/>
    </row>
    <row r="77" spans="1:8" ht="15">
      <c r="A77"/>
      <c r="B77"/>
      <c r="C77"/>
      <c r="D77"/>
      <c r="E77"/>
      <c r="F77"/>
      <c r="G77"/>
      <c r="H77"/>
    </row>
    <row r="78" spans="1:8" ht="15">
      <c r="A78"/>
      <c r="B78"/>
      <c r="C78"/>
      <c r="D78"/>
      <c r="E78"/>
      <c r="F78"/>
      <c r="G78"/>
      <c r="H78"/>
    </row>
    <row r="79" spans="1:8" ht="15">
      <c r="A79"/>
      <c r="B79"/>
      <c r="C79"/>
      <c r="D79"/>
      <c r="E79"/>
      <c r="F79"/>
      <c r="G79"/>
      <c r="H79"/>
    </row>
    <row r="80" spans="1:8" ht="15">
      <c r="A80"/>
      <c r="B80"/>
      <c r="C80"/>
      <c r="D80"/>
      <c r="E80"/>
      <c r="F80"/>
      <c r="G80"/>
      <c r="H80"/>
    </row>
    <row r="81" spans="1:8" ht="15">
      <c r="A81"/>
      <c r="B81"/>
      <c r="C81"/>
      <c r="D81"/>
      <c r="E81"/>
      <c r="F81"/>
      <c r="G81"/>
      <c r="H81"/>
    </row>
    <row r="82" spans="1:8" ht="15">
      <c r="A82"/>
      <c r="B82"/>
      <c r="C82"/>
      <c r="D82"/>
      <c r="E82"/>
      <c r="F82"/>
      <c r="G82"/>
      <c r="H82"/>
    </row>
    <row r="83" spans="1:8" ht="15">
      <c r="A83"/>
      <c r="B83"/>
      <c r="C83"/>
      <c r="D83"/>
      <c r="E83"/>
      <c r="F83"/>
      <c r="G83"/>
      <c r="H83"/>
    </row>
    <row r="84" spans="1:8" ht="15">
      <c r="A84"/>
      <c r="B84"/>
      <c r="C84"/>
      <c r="D84"/>
      <c r="E84"/>
      <c r="F84"/>
      <c r="G84"/>
      <c r="H84"/>
    </row>
    <row r="85" spans="1:8" ht="15">
      <c r="A85"/>
      <c r="B85"/>
      <c r="C85"/>
      <c r="D85"/>
      <c r="E85"/>
      <c r="F85"/>
      <c r="G85"/>
      <c r="H85"/>
    </row>
    <row r="86" spans="1:8" ht="15">
      <c r="A86"/>
      <c r="B86"/>
      <c r="C86"/>
      <c r="D86"/>
      <c r="E86"/>
      <c r="F86"/>
      <c r="G86"/>
      <c r="H86"/>
    </row>
    <row r="87" spans="1:8" ht="15">
      <c r="A87"/>
      <c r="B87"/>
      <c r="C87"/>
      <c r="D87"/>
      <c r="E87"/>
      <c r="F87"/>
      <c r="G87"/>
      <c r="H87"/>
    </row>
    <row r="88" spans="1:8" ht="15">
      <c r="A88"/>
      <c r="B88"/>
      <c r="C88"/>
      <c r="D88"/>
      <c r="E88"/>
      <c r="F88"/>
      <c r="G88"/>
      <c r="H88"/>
    </row>
    <row r="89" spans="1:8" ht="15">
      <c r="A89"/>
      <c r="B89"/>
      <c r="C89"/>
      <c r="D89"/>
      <c r="E89"/>
      <c r="F89"/>
      <c r="G89"/>
      <c r="H89"/>
    </row>
    <row r="90" spans="1:8" ht="15">
      <c r="A90"/>
      <c r="B90"/>
      <c r="C90"/>
      <c r="D90"/>
      <c r="E90"/>
      <c r="F90"/>
      <c r="G90"/>
      <c r="H90"/>
    </row>
    <row r="91" spans="1:8" ht="15">
      <c r="A91"/>
      <c r="B91"/>
      <c r="C91"/>
      <c r="D91"/>
      <c r="E91"/>
      <c r="F91"/>
      <c r="G91"/>
      <c r="H91"/>
    </row>
    <row r="92" spans="1:8" ht="15">
      <c r="A92"/>
      <c r="B92"/>
      <c r="C92"/>
      <c r="D92"/>
      <c r="E92"/>
      <c r="F92"/>
      <c r="G92"/>
      <c r="H92"/>
    </row>
    <row r="93" spans="1:8" ht="15">
      <c r="A93"/>
      <c r="B93"/>
      <c r="C93"/>
      <c r="D93"/>
      <c r="E93"/>
      <c r="F93"/>
      <c r="G93"/>
      <c r="H93"/>
    </row>
    <row r="94" spans="1:8" ht="15">
      <c r="A94"/>
      <c r="B94"/>
      <c r="C94"/>
      <c r="D94"/>
      <c r="E94"/>
      <c r="F94"/>
      <c r="G94"/>
      <c r="H94"/>
    </row>
    <row r="95" spans="1:8" ht="15">
      <c r="A95"/>
      <c r="B95"/>
      <c r="C95"/>
      <c r="D95"/>
      <c r="E95"/>
      <c r="F95"/>
      <c r="G95"/>
      <c r="H95"/>
    </row>
    <row r="96" spans="1:8" ht="15">
      <c r="A96"/>
      <c r="B96"/>
      <c r="C96"/>
      <c r="D96"/>
      <c r="E96"/>
      <c r="F96"/>
      <c r="G96"/>
      <c r="H96"/>
    </row>
    <row r="97" spans="1:8" ht="15">
      <c r="A97"/>
      <c r="B97"/>
      <c r="C97"/>
      <c r="D97"/>
      <c r="E97"/>
      <c r="F97"/>
      <c r="G97"/>
      <c r="H97"/>
    </row>
    <row r="98" spans="1:8" ht="15">
      <c r="A98"/>
      <c r="B98"/>
      <c r="C98"/>
      <c r="D98"/>
      <c r="E98"/>
      <c r="F98"/>
      <c r="G98"/>
      <c r="H98"/>
    </row>
    <row r="99" spans="1:8" ht="15">
      <c r="A99"/>
      <c r="B99"/>
      <c r="C99"/>
      <c r="D99"/>
      <c r="E99"/>
      <c r="F99"/>
      <c r="G99"/>
      <c r="H99"/>
    </row>
    <row r="100" spans="1:8" ht="15">
      <c r="A100"/>
      <c r="B100"/>
      <c r="C100"/>
      <c r="D100"/>
      <c r="E100"/>
      <c r="F100"/>
      <c r="G100"/>
      <c r="H100"/>
    </row>
    <row r="101" spans="1:8" ht="15">
      <c r="A101"/>
      <c r="B101"/>
      <c r="C101"/>
      <c r="D101"/>
      <c r="E101"/>
      <c r="F101"/>
      <c r="G101"/>
      <c r="H101"/>
    </row>
    <row r="102" spans="1:8" ht="15">
      <c r="A102"/>
      <c r="B102"/>
      <c r="C102"/>
      <c r="D102"/>
      <c r="E102"/>
      <c r="F102"/>
      <c r="G102"/>
      <c r="H102"/>
    </row>
    <row r="103" spans="1:8" ht="15">
      <c r="A103"/>
      <c r="B103"/>
      <c r="C103"/>
      <c r="D103"/>
      <c r="E103"/>
      <c r="F103"/>
      <c r="G103"/>
      <c r="H103"/>
    </row>
    <row r="104" spans="1:8" ht="15">
      <c r="A104"/>
      <c r="B104"/>
      <c r="C104"/>
      <c r="D104"/>
      <c r="E104"/>
      <c r="F104"/>
      <c r="G104"/>
      <c r="H104"/>
    </row>
    <row r="105" spans="1:8" ht="15">
      <c r="A105"/>
      <c r="B105"/>
      <c r="C105"/>
      <c r="D105"/>
      <c r="E105"/>
      <c r="F105"/>
      <c r="G105"/>
      <c r="H105"/>
    </row>
    <row r="106" spans="1:8" ht="15">
      <c r="A106"/>
      <c r="B106"/>
      <c r="C106"/>
      <c r="D106"/>
      <c r="E106"/>
      <c r="F106"/>
      <c r="G106"/>
      <c r="H106"/>
    </row>
    <row r="107" spans="1:8" ht="15">
      <c r="A107"/>
      <c r="B107"/>
      <c r="C107"/>
      <c r="D107"/>
      <c r="E107"/>
      <c r="F107"/>
      <c r="G107"/>
      <c r="H107"/>
    </row>
    <row r="108" spans="1:8" ht="15">
      <c r="A108"/>
      <c r="B108"/>
      <c r="C108"/>
      <c r="D108"/>
      <c r="E108"/>
      <c r="F108"/>
      <c r="G108"/>
      <c r="H108"/>
    </row>
    <row r="109" spans="1:8" ht="15">
      <c r="A109"/>
      <c r="B109"/>
      <c r="C109"/>
      <c r="D109"/>
      <c r="E109"/>
      <c r="F109"/>
      <c r="G109"/>
      <c r="H109"/>
    </row>
    <row r="110" spans="1:8" ht="15">
      <c r="A110"/>
      <c r="B110"/>
      <c r="C110"/>
      <c r="D110"/>
      <c r="E110"/>
      <c r="F110"/>
      <c r="G110"/>
      <c r="H110"/>
    </row>
    <row r="111" spans="1:8" ht="15">
      <c r="A111"/>
      <c r="B111"/>
      <c r="C111"/>
      <c r="D111"/>
      <c r="E111"/>
      <c r="F111"/>
      <c r="G111"/>
      <c r="H111"/>
    </row>
    <row r="112" spans="1:8" ht="15">
      <c r="A112"/>
      <c r="B112"/>
      <c r="C112"/>
      <c r="D112"/>
      <c r="E112"/>
      <c r="F112"/>
      <c r="G112"/>
      <c r="H112"/>
    </row>
    <row r="113" spans="1:8" ht="15">
      <c r="A113"/>
      <c r="B113"/>
      <c r="C113"/>
      <c r="D113"/>
      <c r="E113"/>
      <c r="F113"/>
      <c r="G113"/>
      <c r="H113"/>
    </row>
    <row r="114" spans="1:8" ht="15">
      <c r="A114"/>
      <c r="B114"/>
      <c r="C114"/>
      <c r="D114"/>
      <c r="E114"/>
      <c r="F114"/>
      <c r="G114"/>
      <c r="H114"/>
    </row>
    <row r="115" spans="1:8" ht="15">
      <c r="A115"/>
      <c r="B115"/>
      <c r="C115"/>
      <c r="D115"/>
      <c r="E115"/>
      <c r="F115"/>
      <c r="G115"/>
      <c r="H115"/>
    </row>
    <row r="116" spans="1:8" ht="15">
      <c r="A116"/>
      <c r="B116"/>
      <c r="C116"/>
      <c r="D116"/>
      <c r="E116"/>
      <c r="F116"/>
      <c r="G116"/>
      <c r="H116"/>
    </row>
    <row r="117" spans="1:8" ht="15">
      <c r="A117"/>
      <c r="B117"/>
      <c r="C117"/>
      <c r="D117"/>
      <c r="E117"/>
      <c r="F117"/>
      <c r="G117"/>
      <c r="H117"/>
    </row>
    <row r="118" spans="1:8" ht="15">
      <c r="A118"/>
      <c r="B118"/>
      <c r="C118"/>
      <c r="D118"/>
      <c r="E118"/>
      <c r="F118"/>
      <c r="G118"/>
      <c r="H118"/>
    </row>
    <row r="119" spans="1:8" ht="15">
      <c r="A119"/>
      <c r="B119"/>
      <c r="C119"/>
      <c r="D119"/>
      <c r="E119"/>
      <c r="F119"/>
      <c r="G119"/>
      <c r="H119"/>
    </row>
    <row r="120" spans="1:8" ht="15">
      <c r="A120"/>
      <c r="B120"/>
      <c r="C120"/>
      <c r="D120"/>
      <c r="E120"/>
      <c r="F120"/>
      <c r="G120"/>
      <c r="H120"/>
    </row>
    <row r="121" spans="1:8" ht="15">
      <c r="A121"/>
      <c r="B121"/>
      <c r="C121"/>
      <c r="D121"/>
      <c r="E121"/>
      <c r="F121"/>
      <c r="G121"/>
      <c r="H121"/>
    </row>
    <row r="122" spans="1:8" ht="15">
      <c r="A122"/>
      <c r="B122"/>
      <c r="C122"/>
      <c r="D122"/>
      <c r="E122"/>
      <c r="F122"/>
      <c r="G122"/>
      <c r="H122"/>
    </row>
    <row r="123" spans="1:8" ht="15">
      <c r="A123"/>
      <c r="B123"/>
      <c r="C123"/>
      <c r="D123"/>
      <c r="E123"/>
      <c r="F123"/>
      <c r="G123"/>
      <c r="H123"/>
    </row>
    <row r="124" spans="1:8" ht="15">
      <c r="A124"/>
      <c r="B124"/>
      <c r="C124"/>
      <c r="D124"/>
      <c r="E124"/>
      <c r="F124"/>
      <c r="G124"/>
      <c r="H124"/>
    </row>
    <row r="125" spans="1:8" ht="15">
      <c r="A125"/>
      <c r="B125"/>
      <c r="C125"/>
      <c r="D125"/>
      <c r="E125"/>
      <c r="F125"/>
      <c r="G125"/>
      <c r="H125"/>
    </row>
    <row r="126" spans="1:8" ht="15">
      <c r="A126"/>
      <c r="B126"/>
      <c r="C126"/>
      <c r="D126"/>
      <c r="E126"/>
      <c r="F126"/>
      <c r="G126"/>
      <c r="H126"/>
    </row>
    <row r="127" spans="1:8" ht="15">
      <c r="A127"/>
      <c r="B127"/>
      <c r="C127"/>
      <c r="D127"/>
      <c r="E127"/>
      <c r="F127"/>
      <c r="G127"/>
      <c r="H127"/>
    </row>
    <row r="128" spans="1:8" ht="15">
      <c r="A128"/>
      <c r="B128"/>
      <c r="C128"/>
      <c r="D128"/>
      <c r="E128"/>
      <c r="F128"/>
      <c r="G128"/>
      <c r="H128"/>
    </row>
    <row r="129" spans="1:8" ht="15">
      <c r="A129"/>
      <c r="B129"/>
      <c r="C129"/>
      <c r="D129"/>
      <c r="E129"/>
      <c r="F129"/>
      <c r="G129"/>
      <c r="H129"/>
    </row>
    <row r="130" spans="1:8" ht="15">
      <c r="A130"/>
      <c r="B130"/>
      <c r="C130"/>
      <c r="D130"/>
      <c r="E130"/>
      <c r="F130"/>
      <c r="G130"/>
      <c r="H130"/>
    </row>
    <row r="131" spans="1:8" ht="15">
      <c r="A131"/>
      <c r="B131"/>
      <c r="C131"/>
      <c r="D131"/>
      <c r="E131"/>
      <c r="F131"/>
      <c r="G131"/>
      <c r="H131"/>
    </row>
    <row r="132" spans="1:8" ht="15">
      <c r="A132"/>
      <c r="B132"/>
      <c r="C132"/>
      <c r="D132"/>
      <c r="E132"/>
      <c r="F132"/>
      <c r="G132"/>
      <c r="H132"/>
    </row>
    <row r="133" spans="1:8" ht="15">
      <c r="A133"/>
      <c r="B133"/>
      <c r="C133"/>
      <c r="D133"/>
      <c r="E133"/>
      <c r="F133"/>
      <c r="G133"/>
      <c r="H133"/>
    </row>
    <row r="134" spans="1:8" ht="15">
      <c r="A134"/>
      <c r="B134"/>
      <c r="C134"/>
      <c r="D134"/>
      <c r="E134"/>
      <c r="F134"/>
      <c r="G134"/>
      <c r="H134"/>
    </row>
    <row r="135" spans="1:8" ht="15">
      <c r="A135"/>
      <c r="B135"/>
      <c r="C135"/>
      <c r="D135"/>
      <c r="E135"/>
      <c r="F135"/>
      <c r="G135"/>
      <c r="H135"/>
    </row>
    <row r="136" spans="1:8" ht="15">
      <c r="A136"/>
      <c r="B136"/>
      <c r="C136"/>
      <c r="D136"/>
      <c r="E136"/>
      <c r="F136"/>
      <c r="G136"/>
      <c r="H136"/>
    </row>
    <row r="137" spans="1:8" ht="15">
      <c r="A137"/>
      <c r="B137"/>
      <c r="C137"/>
      <c r="D137"/>
      <c r="E137"/>
      <c r="F137"/>
      <c r="G137"/>
      <c r="H137"/>
    </row>
    <row r="138" spans="1:8" ht="15">
      <c r="A138"/>
      <c r="B138"/>
      <c r="C138"/>
      <c r="D138"/>
      <c r="E138"/>
      <c r="F138"/>
      <c r="G138"/>
      <c r="H138"/>
    </row>
    <row r="139" spans="1:8" ht="15">
      <c r="A139"/>
      <c r="B139"/>
      <c r="C139"/>
      <c r="D139"/>
      <c r="E139"/>
      <c r="F139"/>
      <c r="G139"/>
      <c r="H139"/>
    </row>
    <row r="140" spans="1:8" ht="15">
      <c r="A140"/>
      <c r="B140"/>
      <c r="C140"/>
      <c r="D140"/>
      <c r="E140"/>
      <c r="F140"/>
      <c r="G140"/>
      <c r="H140"/>
    </row>
    <row r="141" spans="1:8" ht="15">
      <c r="A141"/>
      <c r="B141"/>
      <c r="C141"/>
      <c r="D141"/>
      <c r="E141"/>
      <c r="F141"/>
      <c r="G141"/>
      <c r="H141"/>
    </row>
    <row r="142" spans="1:8" ht="15">
      <c r="A142"/>
      <c r="B142"/>
      <c r="C142"/>
      <c r="D142"/>
      <c r="E142"/>
      <c r="F142"/>
      <c r="G142"/>
      <c r="H142"/>
    </row>
    <row r="143" spans="1:8" ht="15">
      <c r="A143"/>
      <c r="B143"/>
      <c r="C143"/>
      <c r="D143"/>
      <c r="E143"/>
      <c r="F143"/>
      <c r="G143"/>
      <c r="H143"/>
    </row>
    <row r="144" spans="1:8" ht="15">
      <c r="A144"/>
      <c r="B144"/>
      <c r="C144"/>
      <c r="D144"/>
      <c r="E144"/>
      <c r="F144"/>
      <c r="G144"/>
      <c r="H144"/>
    </row>
    <row r="145" spans="1:8" ht="15">
      <c r="A145"/>
      <c r="B145"/>
      <c r="C145"/>
      <c r="D145"/>
      <c r="E145"/>
      <c r="F145"/>
      <c r="G145"/>
      <c r="H145"/>
    </row>
    <row r="146" spans="1:8" ht="15">
      <c r="A146"/>
      <c r="B146"/>
      <c r="C146"/>
      <c r="D146"/>
      <c r="E146"/>
      <c r="F146"/>
      <c r="G146"/>
      <c r="H146"/>
    </row>
    <row r="147" spans="1:8" ht="15">
      <c r="A147"/>
      <c r="B147"/>
      <c r="C147"/>
      <c r="D147"/>
      <c r="E147"/>
      <c r="F147"/>
      <c r="G147"/>
      <c r="H147"/>
    </row>
    <row r="148" spans="1:8" ht="15">
      <c r="A148"/>
      <c r="B148"/>
      <c r="C148"/>
      <c r="D148"/>
      <c r="E148"/>
      <c r="F148"/>
      <c r="G148"/>
      <c r="H148"/>
    </row>
    <row r="149" spans="1:8" ht="15">
      <c r="A149"/>
      <c r="B149"/>
      <c r="C149"/>
      <c r="D149"/>
      <c r="E149"/>
      <c r="F149"/>
      <c r="G149"/>
      <c r="H149"/>
    </row>
  </sheetData>
  <pageMargins left="0.70866141732283472" right="0.31496062992125984" top="0.74803149606299213" bottom="0.74803149606299213" header="0.31496062992125984" footer="0.31496062992125984"/>
  <pageSetup paperSize="9" orientation="portrait" horizontalDpi="0" verticalDpi="0" r:id="rId2"/>
  <headerFooter differentFirst="1">
    <oddHeader>&amp;L&amp;"-,Bold"&amp;12งบทดลอง&amp;Rหน้าที่ &amp;P/&amp;N</oddHeader>
    <firstHeader>&amp;L&amp;"-,Bold"&amp;12งบกำไรของหน่วยงาน</firstHeader>
  </headerFooter>
  <drawing r:id="rId3"/>
  <legacyDrawing r:id="rId4"/>
  <controls>
    <mc:AlternateContent xmlns:mc="http://schemas.openxmlformats.org/markup-compatibility/2006">
      <mc:Choice Requires="x14">
        <control shapeId="9218" r:id="rId5" name="Label1">
          <controlPr defaultSize="0" print="0" autoLine="0" autoPict="0" r:id="rId6">
            <anchor moveWithCells="1">
              <from>
                <xdr:col>4</xdr:col>
                <xdr:colOff>323850</xdr:colOff>
                <xdr:row>1</xdr:row>
                <xdr:rowOff>85725</xdr:rowOff>
              </from>
              <to>
                <xdr:col>7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9218" r:id="rId5" name="Label1"/>
      </mc:Fallback>
    </mc:AlternateContent>
    <mc:AlternateContent xmlns:mc="http://schemas.openxmlformats.org/markup-compatibility/2006">
      <mc:Choice Requires="x14">
        <control shapeId="9217" r:id="rId7" name="Button 1">
          <controlPr defaultSize="0" print="0" autoFill="0" autoPict="0" macro="[0]!Button1_Click">
            <anchor moveWithCells="1" sizeWithCells="1">
              <from>
                <xdr:col>2</xdr:col>
                <xdr:colOff>209550</xdr:colOff>
                <xdr:row>1</xdr:row>
                <xdr:rowOff>28575</xdr:rowOff>
              </from>
              <to>
                <xdr:col>3</xdr:col>
                <xdr:colOff>180975</xdr:colOff>
                <xdr:row>2</xdr:row>
                <xdr:rowOff>161925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T54"/>
  <sheetViews>
    <sheetView zoomScale="130" zoomScaleNormal="130" workbookViewId="0">
      <pane xSplit="2" ySplit="4" topLeftCell="C5" activePane="bottomRight" state="frozen"/>
      <selection pane="topRight" activeCell="C3" sqref="C3"/>
      <selection pane="bottomLeft" activeCell="A5" sqref="A5"/>
      <selection pane="bottomRight" activeCell="G13" sqref="G13"/>
    </sheetView>
  </sheetViews>
  <sheetFormatPr defaultColWidth="9" defaultRowHeight="12"/>
  <cols>
    <col min="1" max="1" width="10" style="18" bestFit="1" customWidth="1"/>
    <col min="2" max="2" width="33" style="13" customWidth="1"/>
    <col min="3" max="4" width="13.28515625" style="13" bestFit="1" customWidth="1"/>
    <col min="5" max="7" width="14.7109375" style="13" bestFit="1" customWidth="1"/>
    <col min="8" max="8" width="14" style="13" bestFit="1" customWidth="1"/>
    <col min="9" max="16384" width="9" style="13"/>
  </cols>
  <sheetData>
    <row r="1" spans="1:20" ht="15">
      <c r="A1"/>
      <c r="B1"/>
      <c r="F1" s="43"/>
    </row>
    <row r="2" spans="1:20">
      <c r="F2" s="43"/>
    </row>
    <row r="3" spans="1:20" ht="15">
      <c r="A3" s="13"/>
      <c r="C3" s="14" t="s">
        <v>147</v>
      </c>
      <c r="F3" s="44"/>
      <c r="G3"/>
      <c r="H3"/>
      <c r="I3"/>
      <c r="J3"/>
      <c r="K3"/>
      <c r="L3"/>
      <c r="M3"/>
      <c r="N3"/>
      <c r="O3"/>
      <c r="P3"/>
      <c r="Q3"/>
      <c r="R3"/>
      <c r="S3"/>
      <c r="T3"/>
    </row>
    <row r="4" spans="1:20" ht="15">
      <c r="A4" s="14" t="s">
        <v>40</v>
      </c>
      <c r="B4" s="14" t="s">
        <v>41</v>
      </c>
      <c r="C4" s="19" t="s">
        <v>44</v>
      </c>
      <c r="D4" s="19" t="s">
        <v>45</v>
      </c>
      <c r="E4" s="19" t="s">
        <v>153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</row>
    <row r="5" spans="1:20" ht="15">
      <c r="A5" s="13">
        <v>101001</v>
      </c>
      <c r="B5" s="13" t="s">
        <v>47</v>
      </c>
      <c r="C5" s="15">
        <v>130470</v>
      </c>
      <c r="D5" s="15">
        <v>130470</v>
      </c>
      <c r="E5" s="20">
        <v>0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</row>
    <row r="6" spans="1:20" ht="15">
      <c r="A6" s="13">
        <v>101002</v>
      </c>
      <c r="B6" s="13" t="s">
        <v>48</v>
      </c>
      <c r="C6" s="15">
        <v>3389336.9499999997</v>
      </c>
      <c r="D6" s="15">
        <v>480781.69999999995</v>
      </c>
      <c r="E6" s="20">
        <v>2908555.25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</row>
    <row r="7" spans="1:20" ht="15">
      <c r="A7" s="13">
        <v>101003</v>
      </c>
      <c r="B7" s="13" t="s">
        <v>49</v>
      </c>
      <c r="C7" s="15">
        <v>133027.51</v>
      </c>
      <c r="D7" s="15"/>
      <c r="E7" s="20">
        <v>133027.51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</row>
    <row r="8" spans="1:20" ht="15">
      <c r="A8" s="13">
        <v>101005</v>
      </c>
      <c r="B8" s="13" t="s">
        <v>51</v>
      </c>
      <c r="C8" s="15">
        <v>1</v>
      </c>
      <c r="D8" s="15"/>
      <c r="E8" s="20">
        <v>1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</row>
    <row r="9" spans="1:20" ht="15">
      <c r="A9" s="13">
        <v>101007</v>
      </c>
      <c r="B9" s="13" t="s">
        <v>53</v>
      </c>
      <c r="C9" s="15">
        <v>1</v>
      </c>
      <c r="D9" s="15"/>
      <c r="E9" s="20">
        <v>1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</row>
    <row r="10" spans="1:20" ht="15">
      <c r="A10" s="13">
        <v>101009</v>
      </c>
      <c r="B10" s="13" t="s">
        <v>55</v>
      </c>
      <c r="C10" s="15">
        <v>4878.6499999999996</v>
      </c>
      <c r="D10" s="15"/>
      <c r="E10" s="20">
        <v>4878.6499999999996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15">
      <c r="A11" s="13">
        <v>101011</v>
      </c>
      <c r="B11" s="13" t="s">
        <v>57</v>
      </c>
      <c r="C11" s="15">
        <v>1</v>
      </c>
      <c r="D11" s="15"/>
      <c r="E11" s="20">
        <v>1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15">
      <c r="A12" s="13">
        <v>101013</v>
      </c>
      <c r="B12" s="13" t="s">
        <v>59</v>
      </c>
      <c r="C12" s="15">
        <v>1</v>
      </c>
      <c r="D12" s="15"/>
      <c r="E12" s="20">
        <v>1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15">
      <c r="A13" s="13">
        <v>101015</v>
      </c>
      <c r="B13" s="13" t="s">
        <v>61</v>
      </c>
      <c r="C13" s="15">
        <v>1</v>
      </c>
      <c r="D13" s="15"/>
      <c r="E13" s="20">
        <v>1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15">
      <c r="A14" s="13">
        <v>101017</v>
      </c>
      <c r="B14" s="13" t="s">
        <v>63</v>
      </c>
      <c r="C14" s="15">
        <v>1</v>
      </c>
      <c r="D14" s="15"/>
      <c r="E14" s="20">
        <v>1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15">
      <c r="A15" s="13">
        <v>101019</v>
      </c>
      <c r="B15" s="13" t="s">
        <v>65</v>
      </c>
      <c r="C15" s="15">
        <v>6180.95</v>
      </c>
      <c r="D15" s="15"/>
      <c r="E15" s="20">
        <v>6180.95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15">
      <c r="A16" s="13">
        <v>101021</v>
      </c>
      <c r="B16" s="13" t="s">
        <v>67</v>
      </c>
      <c r="C16" s="15">
        <v>14704.62</v>
      </c>
      <c r="D16" s="15"/>
      <c r="E16" s="20">
        <v>14704.62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15">
      <c r="A17" s="13">
        <v>201002</v>
      </c>
      <c r="B17" s="13" t="s">
        <v>71</v>
      </c>
      <c r="C17" s="15"/>
      <c r="D17" s="15">
        <v>208710</v>
      </c>
      <c r="E17" s="20">
        <v>-208710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15">
      <c r="A18" s="13">
        <v>201004</v>
      </c>
      <c r="B18" s="13" t="s">
        <v>73</v>
      </c>
      <c r="C18" s="15"/>
      <c r="D18" s="15">
        <v>134640</v>
      </c>
      <c r="E18" s="20">
        <v>-134640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15">
      <c r="A19" s="13">
        <v>201008</v>
      </c>
      <c r="B19" s="13" t="s">
        <v>77</v>
      </c>
      <c r="C19" s="15"/>
      <c r="D19" s="15">
        <v>12285.9</v>
      </c>
      <c r="E19" s="20">
        <v>-12285.9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15">
      <c r="A20" s="13">
        <v>301001</v>
      </c>
      <c r="B20" s="13" t="s">
        <v>78</v>
      </c>
      <c r="C20" s="15"/>
      <c r="D20" s="15">
        <v>544281.59</v>
      </c>
      <c r="E20" s="20">
        <v>-544281.59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5">
      <c r="A21" s="13">
        <v>301002</v>
      </c>
      <c r="B21" s="13" t="s">
        <v>79</v>
      </c>
      <c r="C21" s="15"/>
      <c r="D21" s="15">
        <v>2432040.7400000002</v>
      </c>
      <c r="E21" s="20">
        <v>-2432040.7400000002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>
      <c r="A22" s="13">
        <v>301003</v>
      </c>
      <c r="B22" s="13" t="s">
        <v>80</v>
      </c>
      <c r="C22" s="15"/>
      <c r="D22" s="15">
        <v>53438.14</v>
      </c>
      <c r="E22" s="20">
        <v>-53438.14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>
      <c r="A23" s="13">
        <v>401003</v>
      </c>
      <c r="B23" s="13" t="s">
        <v>83</v>
      </c>
      <c r="C23" s="15"/>
      <c r="D23" s="15">
        <v>235700</v>
      </c>
      <c r="E23" s="20">
        <v>-235700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>
      <c r="A24" s="13">
        <v>401004</v>
      </c>
      <c r="B24" s="13" t="s">
        <v>84</v>
      </c>
      <c r="C24" s="15"/>
      <c r="D24" s="15">
        <v>28800</v>
      </c>
      <c r="E24" s="20">
        <v>-28800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>
      <c r="A25" s="13">
        <v>401005</v>
      </c>
      <c r="B25" s="13" t="s">
        <v>85</v>
      </c>
      <c r="C25" s="15"/>
      <c r="D25" s="15">
        <v>18720</v>
      </c>
      <c r="E25" s="20">
        <v>-18720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>
      <c r="A26" s="13">
        <v>401007</v>
      </c>
      <c r="B26" s="13" t="s">
        <v>87</v>
      </c>
      <c r="C26" s="15"/>
      <c r="D26" s="15">
        <v>2150</v>
      </c>
      <c r="E26" s="20">
        <v>-2150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>
      <c r="A27" s="13">
        <v>401008</v>
      </c>
      <c r="B27" s="13" t="s">
        <v>88</v>
      </c>
      <c r="C27" s="15"/>
      <c r="D27" s="15">
        <v>15000</v>
      </c>
      <c r="E27" s="20">
        <v>-15000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>
      <c r="A28" s="13">
        <v>401009</v>
      </c>
      <c r="B28" s="13" t="s">
        <v>89</v>
      </c>
      <c r="C28" s="15"/>
      <c r="D28" s="15">
        <v>4000</v>
      </c>
      <c r="E28" s="20">
        <v>-4000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>
      <c r="A29" s="13">
        <v>401010</v>
      </c>
      <c r="B29" s="13" t="s">
        <v>90</v>
      </c>
      <c r="C29" s="15"/>
      <c r="D29" s="15">
        <v>2640</v>
      </c>
      <c r="E29" s="20">
        <v>-2640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>
      <c r="A30" s="13">
        <v>401012</v>
      </c>
      <c r="B30" s="13" t="s">
        <v>92</v>
      </c>
      <c r="C30" s="15"/>
      <c r="D30" s="15">
        <v>29790</v>
      </c>
      <c r="E30" s="20">
        <v>-29790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>
      <c r="A31" s="13">
        <v>401013</v>
      </c>
      <c r="B31" s="13" t="s">
        <v>93</v>
      </c>
      <c r="C31" s="15"/>
      <c r="D31" s="15">
        <v>110160</v>
      </c>
      <c r="E31" s="20">
        <v>-110160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>
      <c r="A32" s="13">
        <v>401014</v>
      </c>
      <c r="B32" s="13" t="s">
        <v>94</v>
      </c>
      <c r="C32" s="15"/>
      <c r="D32" s="15">
        <v>6000</v>
      </c>
      <c r="E32" s="20">
        <v>-6000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>
      <c r="A33" s="13">
        <v>401016</v>
      </c>
      <c r="B33" s="13" t="s">
        <v>96</v>
      </c>
      <c r="C33" s="15"/>
      <c r="D33" s="15">
        <v>700</v>
      </c>
      <c r="E33" s="20">
        <v>-700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>
      <c r="A34" s="13">
        <v>401017</v>
      </c>
      <c r="B34" s="13" t="s">
        <v>97</v>
      </c>
      <c r="C34" s="15"/>
      <c r="D34" s="15">
        <v>6479.13</v>
      </c>
      <c r="E34" s="20">
        <v>-6479.13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>
      <c r="A35" s="13">
        <v>401018</v>
      </c>
      <c r="B35" s="13" t="s">
        <v>98</v>
      </c>
      <c r="C35" s="15"/>
      <c r="D35" s="15">
        <v>2300</v>
      </c>
      <c r="E35" s="20">
        <v>-2300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>
      <c r="A36" s="13">
        <v>501001</v>
      </c>
      <c r="B36" s="13" t="s">
        <v>100</v>
      </c>
      <c r="C36" s="15">
        <v>123200</v>
      </c>
      <c r="D36" s="15"/>
      <c r="E36" s="20">
        <v>123200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>
      <c r="A37" s="13">
        <v>501003</v>
      </c>
      <c r="B37" s="13" t="s">
        <v>102</v>
      </c>
      <c r="C37" s="15">
        <v>38143.599999999999</v>
      </c>
      <c r="D37" s="15"/>
      <c r="E37" s="20">
        <v>38143.599999999999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>
      <c r="A38" s="13">
        <v>501022</v>
      </c>
      <c r="B38" s="13" t="s">
        <v>121</v>
      </c>
      <c r="C38" s="15">
        <v>106058.31</v>
      </c>
      <c r="D38" s="15"/>
      <c r="E38" s="20">
        <v>106058.31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>
      <c r="A39" s="13">
        <v>501023</v>
      </c>
      <c r="B39" s="13" t="s">
        <v>122</v>
      </c>
      <c r="C39" s="15">
        <v>106058.31</v>
      </c>
      <c r="D39" s="15"/>
      <c r="E39" s="20">
        <v>106058.31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>
      <c r="A40" s="13">
        <v>501025</v>
      </c>
      <c r="B40" s="13" t="s">
        <v>186</v>
      </c>
      <c r="C40" s="15">
        <v>407022.3</v>
      </c>
      <c r="D40" s="15"/>
      <c r="E40" s="20">
        <v>407022.3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>
      <c r="A41" s="18" t="s">
        <v>154</v>
      </c>
      <c r="B41" s="18"/>
      <c r="C41" s="15">
        <v>4459087.2</v>
      </c>
      <c r="D41" s="15">
        <v>4459087.2</v>
      </c>
      <c r="E41" s="20">
        <v>0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15">
      <c r="A54"/>
      <c r="B54"/>
      <c r="C54"/>
      <c r="D54"/>
      <c r="E54"/>
    </row>
  </sheetData>
  <pageMargins left="0.70866141732283472" right="0.31496062992125984" top="0.74803149606299213" bottom="0.74803149606299213" header="0.31496062992125984" footer="0.31496062992125984"/>
  <pageSetup paperSize="9" orientation="portrait" horizontalDpi="4294967293" verticalDpi="0" r:id="rId2"/>
  <headerFooter>
    <oddHeader>&amp;L&amp;"-,Bold"&amp;12งบทดลองหลังปิดบัญชี&amp;Rหน้าที่ &amp;P/&amp;N</oddHeader>
    <firstHeader>&amp;L&amp;"-,Bold"&amp;12งบทดลองก่อนปิดบัญชี</firstHeader>
  </headerFooter>
  <drawing r:id="rId3"/>
  <legacyDrawing r:id="rId4"/>
  <controls>
    <mc:AlternateContent xmlns:mc="http://schemas.openxmlformats.org/markup-compatibility/2006">
      <mc:Choice Requires="x14">
        <control shapeId="13315" r:id="rId5" name="Label1">
          <controlPr defaultSize="0" print="0" autoLine="0" autoPict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247650</xdr:colOff>
                <xdr:row>3</xdr:row>
                <xdr:rowOff>133350</xdr:rowOff>
              </to>
            </anchor>
          </controlPr>
        </control>
      </mc:Choice>
      <mc:Fallback>
        <control shapeId="13315" r:id="rId5" name="Label1"/>
      </mc:Fallback>
    </mc:AlternateContent>
    <mc:AlternateContent xmlns:mc="http://schemas.openxmlformats.org/markup-compatibility/2006">
      <mc:Choice Requires="x14">
        <control shapeId="13313" r:id="rId7" name="Button 1">
          <controlPr defaultSize="0" print="0" autoFill="0" autoPict="0" macro="[0]!Button1_Click">
            <anchor moveWithCells="1" sizeWithCells="1">
              <from>
                <xdr:col>7</xdr:col>
                <xdr:colOff>600075</xdr:colOff>
                <xdr:row>2</xdr:row>
                <xdr:rowOff>47625</xdr:rowOff>
              </from>
              <to>
                <xdr:col>8</xdr:col>
                <xdr:colOff>590550</xdr:colOff>
                <xdr:row>3</xdr:row>
                <xdr:rowOff>123825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db"/>
  <dimension ref="A1:L497"/>
  <sheetViews>
    <sheetView zoomScale="110" zoomScaleNormal="110" zoomScaleSheetLayoutView="130" workbookViewId="0">
      <pane xSplit="1" ySplit="1" topLeftCell="E483" activePane="bottomRight" state="frozen"/>
      <selection pane="topRight" activeCell="B1" sqref="B1"/>
      <selection pane="bottomLeft" activeCell="A2" sqref="A2"/>
      <selection pane="bottomRight" activeCell="A354" sqref="A354:XFD354"/>
    </sheetView>
  </sheetViews>
  <sheetFormatPr defaultColWidth="9" defaultRowHeight="11.25"/>
  <cols>
    <col min="1" max="1" width="7.7109375" style="49" bestFit="1" customWidth="1"/>
    <col min="2" max="2" width="9.140625" style="50" bestFit="1" customWidth="1"/>
    <col min="3" max="3" width="13.140625" style="51" bestFit="1" customWidth="1"/>
    <col min="4" max="4" width="19.85546875" style="55" customWidth="1"/>
    <col min="5" max="5" width="12" style="52" bestFit="1" customWidth="1"/>
    <col min="6" max="6" width="21" style="49" customWidth="1"/>
    <col min="7" max="8" width="12.140625" style="53" bestFit="1" customWidth="1"/>
    <col min="9" max="9" width="8.7109375" style="52" bestFit="1" customWidth="1"/>
    <col min="10" max="11" width="14.28515625" style="52" bestFit="1" customWidth="1"/>
    <col min="12" max="12" width="10" style="52" bestFit="1" customWidth="1"/>
    <col min="13" max="16384" width="9" style="49"/>
  </cols>
  <sheetData>
    <row r="1" spans="1:12" s="45" customFormat="1">
      <c r="A1" s="45" t="s">
        <v>155</v>
      </c>
      <c r="B1" s="46" t="s">
        <v>136</v>
      </c>
      <c r="C1" s="47" t="s">
        <v>156</v>
      </c>
      <c r="D1" s="54" t="s">
        <v>139</v>
      </c>
      <c r="E1" s="45" t="s">
        <v>40</v>
      </c>
      <c r="F1" s="45" t="s">
        <v>41</v>
      </c>
      <c r="G1" s="48" t="s">
        <v>149</v>
      </c>
      <c r="H1" s="48" t="s">
        <v>157</v>
      </c>
      <c r="I1" s="45" t="s">
        <v>42</v>
      </c>
      <c r="J1" s="45" t="s">
        <v>124</v>
      </c>
      <c r="K1" s="45" t="s">
        <v>125</v>
      </c>
      <c r="L1" s="45" t="s">
        <v>152</v>
      </c>
    </row>
    <row r="2" spans="1:12">
      <c r="A2" s="49">
        <v>1</v>
      </c>
      <c r="B2" s="109">
        <v>243995</v>
      </c>
      <c r="C2" s="51" t="s">
        <v>163</v>
      </c>
      <c r="D2" s="55" t="s">
        <v>163</v>
      </c>
      <c r="E2" s="52">
        <v>101002</v>
      </c>
      <c r="F2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" s="53">
        <v>3252387.82</v>
      </c>
      <c r="I2" s="52" t="str">
        <f>VLOOKUP(Database[[#This Row],[เลขที่บัญชี]],COA[],3,FALSE)</f>
        <v>1</v>
      </c>
      <c r="J2" s="52" t="s">
        <v>129</v>
      </c>
      <c r="K2" s="52" t="str">
        <f>VLOOKUP(Database[[#This Row],[รหัสหน่วยงาน]],Center[],2,FALSE)</f>
        <v>สำนักงานใหญ่</v>
      </c>
      <c r="L2" s="52">
        <v>1</v>
      </c>
    </row>
    <row r="3" spans="1:12">
      <c r="A3" s="49">
        <v>1</v>
      </c>
      <c r="B3" s="109">
        <v>243995</v>
      </c>
      <c r="C3" s="51" t="s">
        <v>163</v>
      </c>
      <c r="D3" s="55" t="s">
        <v>163</v>
      </c>
      <c r="E3" s="52">
        <v>101003</v>
      </c>
      <c r="F3" s="49" t="str">
        <f>VLOOKUP(Database[[#This Row],[เลขที่บัญชี]],COA[],2,FALSE)</f>
        <v>ครุภัณฑ์การเกษตร-เครื่องตัดหญ้าแบบนั่งขับ</v>
      </c>
      <c r="G3" s="53">
        <v>133027.51</v>
      </c>
      <c r="I3" s="52" t="str">
        <f>VLOOKUP(Database[[#This Row],[เลขที่บัญชี]],COA[],3,FALSE)</f>
        <v>1</v>
      </c>
      <c r="J3" s="52" t="s">
        <v>129</v>
      </c>
      <c r="K3" s="52" t="str">
        <f>VLOOKUP(Database[[#This Row],[รหัสหน่วยงาน]],Center[],2,FALSE)</f>
        <v>สำนักงานใหญ่</v>
      </c>
      <c r="L3" s="52">
        <v>1</v>
      </c>
    </row>
    <row r="4" spans="1:12">
      <c r="A4" s="49">
        <v>1</v>
      </c>
      <c r="B4" s="109">
        <v>243995</v>
      </c>
      <c r="C4" s="51" t="s">
        <v>163</v>
      </c>
      <c r="D4" s="55" t="s">
        <v>163</v>
      </c>
      <c r="E4" s="52">
        <v>101005</v>
      </c>
      <c r="F4" s="49" t="str">
        <f>VLOOKUP(Database[[#This Row],[เลขที่บัญชี]],COA[],2,FALSE)</f>
        <v>ครุภัณฑ์การเกษตร-เครื่องสูบน้ำ 1</v>
      </c>
      <c r="G4" s="53">
        <v>1</v>
      </c>
      <c r="I4" s="52" t="str">
        <f>VLOOKUP(Database[[#This Row],[เลขที่บัญชี]],COA[],3,FALSE)</f>
        <v>1</v>
      </c>
      <c r="J4" s="52" t="s">
        <v>129</v>
      </c>
      <c r="K4" s="52" t="str">
        <f>VLOOKUP(Database[[#This Row],[รหัสหน่วยงาน]],Center[],2,FALSE)</f>
        <v>สำนักงานใหญ่</v>
      </c>
      <c r="L4" s="52">
        <v>1</v>
      </c>
    </row>
    <row r="5" spans="1:12">
      <c r="A5" s="49">
        <v>1</v>
      </c>
      <c r="B5" s="109">
        <v>243995</v>
      </c>
      <c r="C5" s="51" t="s">
        <v>163</v>
      </c>
      <c r="D5" s="55" t="s">
        <v>163</v>
      </c>
      <c r="E5" s="52">
        <v>101007</v>
      </c>
      <c r="F5" s="49" t="str">
        <f>VLOOKUP(Database[[#This Row],[เลขที่บัญชี]],COA[],2,FALSE)</f>
        <v>ครุภัณฑ์การเกษตร-เครื่องสูบน้ำ 2</v>
      </c>
      <c r="G5" s="53">
        <v>1</v>
      </c>
      <c r="I5" s="52" t="str">
        <f>VLOOKUP(Database[[#This Row],[เลขที่บัญชี]],COA[],3,FALSE)</f>
        <v>1</v>
      </c>
      <c r="J5" s="52" t="s">
        <v>129</v>
      </c>
      <c r="K5" s="52" t="str">
        <f>VLOOKUP(Database[[#This Row],[รหัสหน่วยงาน]],Center[],2,FALSE)</f>
        <v>สำนักงานใหญ่</v>
      </c>
      <c r="L5" s="52">
        <v>1</v>
      </c>
    </row>
    <row r="6" spans="1:12">
      <c r="A6" s="49">
        <v>1</v>
      </c>
      <c r="B6" s="109">
        <v>243995</v>
      </c>
      <c r="C6" s="51" t="s">
        <v>163</v>
      </c>
      <c r="D6" s="55" t="s">
        <v>163</v>
      </c>
      <c r="E6" s="52">
        <v>101009</v>
      </c>
      <c r="F6" s="49" t="str">
        <f>VLOOKUP(Database[[#This Row],[เลขที่บัญชี]],COA[],2,FALSE)</f>
        <v>ครุภัณฑ์การเกษตร-รถตัดหญ้า 2 ล้อตันจักรยาน</v>
      </c>
      <c r="G6" s="53">
        <v>4878.6499999999996</v>
      </c>
      <c r="I6" s="52" t="str">
        <f>VLOOKUP(Database[[#This Row],[เลขที่บัญชี]],COA[],3,FALSE)</f>
        <v>1</v>
      </c>
      <c r="J6" s="52" t="s">
        <v>129</v>
      </c>
      <c r="K6" s="52" t="str">
        <f>VLOOKUP(Database[[#This Row],[รหัสหน่วยงาน]],Center[],2,FALSE)</f>
        <v>สำนักงานใหญ่</v>
      </c>
      <c r="L6" s="52">
        <v>1</v>
      </c>
    </row>
    <row r="7" spans="1:12">
      <c r="A7" s="49">
        <v>1</v>
      </c>
      <c r="B7" s="109">
        <v>243995</v>
      </c>
      <c r="C7" s="51" t="s">
        <v>163</v>
      </c>
      <c r="D7" s="55" t="s">
        <v>163</v>
      </c>
      <c r="E7" s="52">
        <v>101011</v>
      </c>
      <c r="F7" s="49" t="str">
        <f>VLOOKUP(Database[[#This Row],[เลขที่บัญชี]],COA[],2,FALSE)</f>
        <v>ครุภัณฑ์คอมพิวเตอร์-คอมพิวเตอร์โน๊ตบุ๊ก</v>
      </c>
      <c r="G7" s="53">
        <v>1</v>
      </c>
      <c r="I7" s="52" t="str">
        <f>VLOOKUP(Database[[#This Row],[เลขที่บัญชี]],COA[],3,FALSE)</f>
        <v>1</v>
      </c>
      <c r="J7" s="52" t="s">
        <v>129</v>
      </c>
      <c r="K7" s="52" t="str">
        <f>VLOOKUP(Database[[#This Row],[รหัสหน่วยงาน]],Center[],2,FALSE)</f>
        <v>สำนักงานใหญ่</v>
      </c>
      <c r="L7" s="52">
        <v>1</v>
      </c>
    </row>
    <row r="8" spans="1:12">
      <c r="A8" s="49">
        <v>1</v>
      </c>
      <c r="B8" s="109">
        <v>243995</v>
      </c>
      <c r="C8" s="51" t="s">
        <v>163</v>
      </c>
      <c r="D8" s="55" t="s">
        <v>163</v>
      </c>
      <c r="E8" s="52">
        <v>101013</v>
      </c>
      <c r="F8" s="49" t="str">
        <f>VLOOKUP(Database[[#This Row],[เลขที่บัญชี]],COA[],2,FALSE)</f>
        <v>ครุภัณฑ์การเกษตร-ปั๊มน้ำ 1</v>
      </c>
      <c r="G8" s="53">
        <v>1</v>
      </c>
      <c r="I8" s="52" t="str">
        <f>VLOOKUP(Database[[#This Row],[เลขที่บัญชี]],COA[],3,FALSE)</f>
        <v>1</v>
      </c>
      <c r="J8" s="52" t="s">
        <v>129</v>
      </c>
      <c r="K8" s="52" t="str">
        <f>VLOOKUP(Database[[#This Row],[รหัสหน่วยงาน]],Center[],2,FALSE)</f>
        <v>สำนักงานใหญ่</v>
      </c>
      <c r="L8" s="52">
        <v>1</v>
      </c>
    </row>
    <row r="9" spans="1:12">
      <c r="A9" s="49">
        <v>1</v>
      </c>
      <c r="B9" s="109">
        <v>243995</v>
      </c>
      <c r="C9" s="51" t="s">
        <v>163</v>
      </c>
      <c r="D9" s="55" t="s">
        <v>163</v>
      </c>
      <c r="E9" s="52">
        <v>101015</v>
      </c>
      <c r="F9" s="49" t="str">
        <f>VLOOKUP(Database[[#This Row],[เลขที่บัญชี]],COA[],2,FALSE)</f>
        <v>ครุภัณฑ์การเกษตร-ปั๊มน้ำ 2</v>
      </c>
      <c r="G9" s="53">
        <v>1</v>
      </c>
      <c r="I9" s="52" t="str">
        <f>VLOOKUP(Database[[#This Row],[เลขที่บัญชี]],COA[],3,FALSE)</f>
        <v>1</v>
      </c>
      <c r="J9" s="52" t="s">
        <v>129</v>
      </c>
      <c r="K9" s="52" t="str">
        <f>VLOOKUP(Database[[#This Row],[รหัสหน่วยงาน]],Center[],2,FALSE)</f>
        <v>สำนักงานใหญ่</v>
      </c>
      <c r="L9" s="52">
        <v>1</v>
      </c>
    </row>
    <row r="10" spans="1:12">
      <c r="A10" s="49">
        <v>1</v>
      </c>
      <c r="B10" s="109">
        <v>243995</v>
      </c>
      <c r="C10" s="51" t="s">
        <v>163</v>
      </c>
      <c r="D10" s="55" t="s">
        <v>163</v>
      </c>
      <c r="E10" s="52">
        <v>101017</v>
      </c>
      <c r="F10" s="49" t="str">
        <f>VLOOKUP(Database[[#This Row],[เลขที่บัญชี]],COA[],2,FALSE)</f>
        <v>ครุภัณฑ์การเกษตร-ปั๊มน้ำ 3</v>
      </c>
      <c r="G10" s="53">
        <v>1</v>
      </c>
      <c r="I10" s="52" t="str">
        <f>VLOOKUP(Database[[#This Row],[เลขที่บัญชี]],COA[],3,FALSE)</f>
        <v>1</v>
      </c>
      <c r="J10" s="52" t="s">
        <v>129</v>
      </c>
      <c r="K10" s="52" t="str">
        <f>VLOOKUP(Database[[#This Row],[รหัสหน่วยงาน]],Center[],2,FALSE)</f>
        <v>สำนักงานใหญ่</v>
      </c>
      <c r="L10" s="52">
        <v>1</v>
      </c>
    </row>
    <row r="11" spans="1:12">
      <c r="A11" s="49">
        <v>1</v>
      </c>
      <c r="B11" s="109">
        <v>243995</v>
      </c>
      <c r="C11" s="51" t="s">
        <v>163</v>
      </c>
      <c r="D11" s="55" t="s">
        <v>163</v>
      </c>
      <c r="E11" s="52">
        <v>101019</v>
      </c>
      <c r="F11" s="49" t="str">
        <f>VLOOKUP(Database[[#This Row],[เลขที่บัญชี]],COA[],2,FALSE)</f>
        <v>ครุภัณฑ์การเกษตร-เครื่องตัดหญ้าเดินตาม</v>
      </c>
      <c r="G11" s="53">
        <v>6180.95</v>
      </c>
      <c r="I11" s="52" t="str">
        <f>VLOOKUP(Database[[#This Row],[เลขที่บัญชี]],COA[],3,FALSE)</f>
        <v>1</v>
      </c>
      <c r="J11" s="52" t="s">
        <v>129</v>
      </c>
      <c r="K11" s="52" t="str">
        <f>VLOOKUP(Database[[#This Row],[รหัสหน่วยงาน]],Center[],2,FALSE)</f>
        <v>สำนักงานใหญ่</v>
      </c>
      <c r="L11" s="52">
        <v>1</v>
      </c>
    </row>
    <row r="12" spans="1:12">
      <c r="A12" s="49">
        <v>1</v>
      </c>
      <c r="B12" s="109">
        <v>243995</v>
      </c>
      <c r="C12" s="51" t="s">
        <v>163</v>
      </c>
      <c r="D12" s="55" t="s">
        <v>163</v>
      </c>
      <c r="E12" s="52">
        <v>101021</v>
      </c>
      <c r="F12" s="49" t="str">
        <f>VLOOKUP(Database[[#This Row],[เลขที่บัญชี]],COA[],2,FALSE)</f>
        <v>ครุภัณฑ์การเกษตร-เครื่องตัดหญ้าติดท้ายรถไถ</v>
      </c>
      <c r="G12" s="53">
        <v>14704.62</v>
      </c>
      <c r="I12" s="52" t="str">
        <f>VLOOKUP(Database[[#This Row],[เลขที่บัญชี]],COA[],3,FALSE)</f>
        <v>1</v>
      </c>
      <c r="J12" s="52" t="s">
        <v>129</v>
      </c>
      <c r="K12" s="52" t="str">
        <f>VLOOKUP(Database[[#This Row],[รหัสหน่วยงาน]],Center[],2,FALSE)</f>
        <v>สำนักงานใหญ่</v>
      </c>
      <c r="L12" s="52">
        <v>1</v>
      </c>
    </row>
    <row r="13" spans="1:12">
      <c r="A13" s="49">
        <v>1</v>
      </c>
      <c r="B13" s="109">
        <v>243995</v>
      </c>
      <c r="C13" s="51" t="s">
        <v>163</v>
      </c>
      <c r="D13" s="55" t="s">
        <v>163</v>
      </c>
      <c r="E13" s="52">
        <v>201002</v>
      </c>
      <c r="F13" s="49" t="str">
        <f>VLOOKUP(Database[[#This Row],[เลขที่บัญชี]],COA[],2,FALSE)</f>
        <v>เงินรับฝาก-สนามไดร์ฟ</v>
      </c>
      <c r="H13" s="53">
        <v>203310</v>
      </c>
      <c r="I13" s="52" t="str">
        <f>VLOOKUP(Database[[#This Row],[เลขที่บัญชี]],COA[],3,FALSE)</f>
        <v>2</v>
      </c>
      <c r="J13" s="52" t="s">
        <v>129</v>
      </c>
      <c r="K13" s="52" t="str">
        <f>VLOOKUP(Database[[#This Row],[รหัสหน่วยงาน]],Center[],2,FALSE)</f>
        <v>สำนักงานใหญ่</v>
      </c>
      <c r="L13" s="52">
        <v>1</v>
      </c>
    </row>
    <row r="14" spans="1:12">
      <c r="A14" s="49">
        <v>1</v>
      </c>
      <c r="B14" s="109">
        <v>243995</v>
      </c>
      <c r="C14" s="51" t="s">
        <v>163</v>
      </c>
      <c r="D14" s="55" t="s">
        <v>163</v>
      </c>
      <c r="E14" s="52">
        <v>201004</v>
      </c>
      <c r="F14" s="49" t="str">
        <f>VLOOKUP(Database[[#This Row],[เลขที่บัญชี]],COA[],2,FALSE)</f>
        <v>เงินรับฝาก-ค่าเช่ารถกอล์ฟ 55%</v>
      </c>
      <c r="H14" s="53">
        <v>126280</v>
      </c>
      <c r="I14" s="52" t="str">
        <f>VLOOKUP(Database[[#This Row],[เลขที่บัญชี]],COA[],3,FALSE)</f>
        <v>2</v>
      </c>
      <c r="J14" s="52" t="s">
        <v>129</v>
      </c>
      <c r="K14" s="52" t="str">
        <f>VLOOKUP(Database[[#This Row],[รหัสหน่วยงาน]],Center[],2,FALSE)</f>
        <v>สำนักงานใหญ่</v>
      </c>
      <c r="L14" s="52">
        <v>1</v>
      </c>
    </row>
    <row r="15" spans="1:12">
      <c r="A15" s="49">
        <v>1</v>
      </c>
      <c r="B15" s="109">
        <v>243995</v>
      </c>
      <c r="C15" s="51" t="s">
        <v>163</v>
      </c>
      <c r="D15" s="55" t="s">
        <v>163</v>
      </c>
      <c r="E15" s="52">
        <v>201008</v>
      </c>
      <c r="F15" s="49" t="str">
        <f>VLOOKUP(Database[[#This Row],[เลขที่บัญชี]],COA[],2,FALSE)</f>
        <v>ค่าภาษีสรรพสามิตค้างจ่าย</v>
      </c>
      <c r="H15" s="53">
        <v>12285.9</v>
      </c>
      <c r="I15" s="52" t="str">
        <f>VLOOKUP(Database[[#This Row],[เลขที่บัญชี]],COA[],3,FALSE)</f>
        <v>2</v>
      </c>
      <c r="J15" s="52" t="s">
        <v>129</v>
      </c>
      <c r="K15" s="52" t="str">
        <f>VLOOKUP(Database[[#This Row],[รหัสหน่วยงาน]],Center[],2,FALSE)</f>
        <v>สำนักงานใหญ่</v>
      </c>
      <c r="L15" s="52">
        <v>1</v>
      </c>
    </row>
    <row r="16" spans="1:12">
      <c r="A16" s="49">
        <v>1</v>
      </c>
      <c r="B16" s="109">
        <v>243995</v>
      </c>
      <c r="C16" s="51" t="s">
        <v>163</v>
      </c>
      <c r="D16" s="55" t="s">
        <v>163</v>
      </c>
      <c r="E16" s="52">
        <v>301001</v>
      </c>
      <c r="F16" s="49" t="str">
        <f>VLOOKUP(Database[[#This Row],[เลขที่บัญชี]],COA[],2,FALSE)</f>
        <v xml:space="preserve">ทุน </v>
      </c>
      <c r="H16" s="53">
        <v>544281.59</v>
      </c>
      <c r="I16" s="52" t="str">
        <f>VLOOKUP(Database[[#This Row],[เลขที่บัญชี]],COA[],3,FALSE)</f>
        <v>3</v>
      </c>
      <c r="J16" s="52" t="s">
        <v>129</v>
      </c>
      <c r="K16" s="52" t="str">
        <f>VLOOKUP(Database[[#This Row],[รหัสหน่วยงาน]],Center[],2,FALSE)</f>
        <v>สำนักงานใหญ่</v>
      </c>
      <c r="L16" s="52">
        <v>1</v>
      </c>
    </row>
    <row r="17" spans="1:12">
      <c r="A17" s="49">
        <v>1</v>
      </c>
      <c r="B17" s="109">
        <v>243995</v>
      </c>
      <c r="C17" s="51" t="s">
        <v>163</v>
      </c>
      <c r="D17" s="55" t="s">
        <v>163</v>
      </c>
      <c r="E17" s="52">
        <v>301002</v>
      </c>
      <c r="F17" s="49" t="str">
        <f>VLOOKUP(Database[[#This Row],[เลขที่บัญชี]],COA[],2,FALSE)</f>
        <v>รายได้สูง/(ต่ำ) กว่าค่าใช้จ่ายสะสมยกมา</v>
      </c>
      <c r="H17" s="53">
        <v>2432040.7400000002</v>
      </c>
      <c r="I17" s="52" t="str">
        <f>VLOOKUP(Database[[#This Row],[เลขที่บัญชี]],COA[],3,FALSE)</f>
        <v>3</v>
      </c>
      <c r="J17" s="52" t="s">
        <v>129</v>
      </c>
      <c r="K17" s="52" t="str">
        <f>VLOOKUP(Database[[#This Row],[รหัสหน่วยงาน]],Center[],2,FALSE)</f>
        <v>สำนักงานใหญ่</v>
      </c>
      <c r="L17" s="52">
        <v>1</v>
      </c>
    </row>
    <row r="18" spans="1:12">
      <c r="A18" s="49">
        <v>1</v>
      </c>
      <c r="B18" s="109">
        <v>243995</v>
      </c>
      <c r="C18" s="51" t="s">
        <v>163</v>
      </c>
      <c r="D18" s="55" t="s">
        <v>163</v>
      </c>
      <c r="E18" s="52">
        <v>301003</v>
      </c>
      <c r="F18" s="49" t="str">
        <f>VLOOKUP(Database[[#This Row],[เลขที่บัญชี]],COA[],2,FALSE)</f>
        <v>ผลสะสมจากการแก้ไขข้อผิดพลาด</v>
      </c>
      <c r="H18" s="53">
        <v>53438.14</v>
      </c>
      <c r="I18" s="52" t="str">
        <f>VLOOKUP(Database[[#This Row],[เลขที่บัญชี]],COA[],3,FALSE)</f>
        <v>3</v>
      </c>
      <c r="J18" s="52" t="s">
        <v>129</v>
      </c>
      <c r="K18" s="52" t="str">
        <f>VLOOKUP(Database[[#This Row],[รหัสหน่วยงาน]],Center[],2,FALSE)</f>
        <v>สำนักงานใหญ่</v>
      </c>
      <c r="L18" s="52">
        <v>1</v>
      </c>
    </row>
    <row r="19" spans="1:12">
      <c r="A19" s="49">
        <v>1</v>
      </c>
      <c r="B19" s="109">
        <v>243995</v>
      </c>
      <c r="C19" s="51" t="s">
        <v>163</v>
      </c>
      <c r="D19" s="55" t="s">
        <v>163</v>
      </c>
      <c r="E19" s="52">
        <v>401003</v>
      </c>
      <c r="F19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19" s="53">
        <v>39549.18</v>
      </c>
      <c r="I19" s="52" t="str">
        <f>VLOOKUP(Database[[#This Row],[เลขที่บัญชี]],COA[],3,FALSE)</f>
        <v>4</v>
      </c>
      <c r="J19" s="52" t="s">
        <v>129</v>
      </c>
      <c r="K19" s="52" t="str">
        <f>VLOOKUP(Database[[#This Row],[รหัสหน่วยงาน]],Center[],2,FALSE)</f>
        <v>สำนักงานใหญ่</v>
      </c>
      <c r="L19" s="52">
        <v>1</v>
      </c>
    </row>
    <row r="20" spans="1:12">
      <c r="A20" s="49">
        <v>2</v>
      </c>
      <c r="B20" s="109">
        <v>243995</v>
      </c>
      <c r="C20" s="51" t="s">
        <v>163</v>
      </c>
      <c r="D20" s="55" t="s">
        <v>163</v>
      </c>
      <c r="E20" s="52">
        <v>401003</v>
      </c>
      <c r="F20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0" s="53">
        <v>120250.82</v>
      </c>
      <c r="I20" s="52" t="str">
        <f>VLOOKUP(Database[[#This Row],[เลขที่บัญชี]],COA[],3,FALSE)</f>
        <v>4</v>
      </c>
      <c r="J20" s="52" t="s">
        <v>129</v>
      </c>
      <c r="K20" s="52" t="str">
        <f>VLOOKUP(Database[[#This Row],[รหัสหน่วยงาน]],Center[],2,FALSE)</f>
        <v>สำนักงานใหญ่</v>
      </c>
      <c r="L20" s="52">
        <v>1</v>
      </c>
    </row>
    <row r="21" spans="1:12">
      <c r="A21" s="49">
        <v>2</v>
      </c>
      <c r="B21" s="109">
        <v>243995</v>
      </c>
      <c r="C21" s="51" t="s">
        <v>163</v>
      </c>
      <c r="D21" s="55" t="s">
        <v>163</v>
      </c>
      <c r="E21" s="52">
        <v>401004</v>
      </c>
      <c r="F21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21" s="53">
        <v>20340</v>
      </c>
      <c r="I21" s="52" t="str">
        <f>VLOOKUP(Database[[#This Row],[เลขที่บัญชี]],COA[],3,FALSE)</f>
        <v>4</v>
      </c>
      <c r="J21" s="52" t="s">
        <v>129</v>
      </c>
      <c r="K21" s="52" t="str">
        <f>VLOOKUP(Database[[#This Row],[รหัสหน่วยงาน]],Center[],2,FALSE)</f>
        <v>สำนักงานใหญ่</v>
      </c>
      <c r="L21" s="52">
        <v>1</v>
      </c>
    </row>
    <row r="22" spans="1:12">
      <c r="A22" s="49">
        <v>2</v>
      </c>
      <c r="B22" s="109">
        <v>243995</v>
      </c>
      <c r="C22" s="51" t="s">
        <v>163</v>
      </c>
      <c r="D22" s="55" t="s">
        <v>163</v>
      </c>
      <c r="E22" s="52">
        <v>401005</v>
      </c>
      <c r="F22" s="49" t="str">
        <f>VLOOKUP(Database[[#This Row],[เลขที่บัญชี]],COA[],2,FALSE)</f>
        <v>รายได้ค่าบริการสนามกอล์ฟ รหัส 05 (บุคคลทั่วไป-วันหยุดราชการ)</v>
      </c>
      <c r="H22" s="53">
        <v>11280</v>
      </c>
      <c r="I22" s="52" t="str">
        <f>VLOOKUP(Database[[#This Row],[เลขที่บัญชี]],COA[],3,FALSE)</f>
        <v>4</v>
      </c>
      <c r="J22" s="52" t="s">
        <v>129</v>
      </c>
      <c r="K22" s="52" t="str">
        <f>VLOOKUP(Database[[#This Row],[รหัสหน่วยงาน]],Center[],2,FALSE)</f>
        <v>สำนักงานใหญ่</v>
      </c>
      <c r="L22" s="52">
        <v>1</v>
      </c>
    </row>
    <row r="23" spans="1:12">
      <c r="A23" s="49">
        <v>2</v>
      </c>
      <c r="B23" s="109">
        <v>243995</v>
      </c>
      <c r="C23" s="51" t="s">
        <v>163</v>
      </c>
      <c r="D23" s="55" t="s">
        <v>163</v>
      </c>
      <c r="E23" s="52">
        <v>401007</v>
      </c>
      <c r="F23" s="49" t="str">
        <f>VLOOKUP(Database[[#This Row],[เลขที่บัญชี]],COA[],2,FALSE)</f>
        <v>รายได้ค่าบริการสนามกอล์ฟ รหัส 07 (ค่าบริการสนาม-เพิ่มรอบที่ 3)</v>
      </c>
      <c r="H23" s="53">
        <v>1150</v>
      </c>
      <c r="I23" s="52" t="str">
        <f>VLOOKUP(Database[[#This Row],[เลขที่บัญชี]],COA[],3,FALSE)</f>
        <v>4</v>
      </c>
      <c r="J23" s="52" t="s">
        <v>129</v>
      </c>
      <c r="K23" s="52" t="str">
        <f>VLOOKUP(Database[[#This Row],[รหัสหน่วยงาน]],Center[],2,FALSE)</f>
        <v>สำนักงานใหญ่</v>
      </c>
      <c r="L23" s="52">
        <v>1</v>
      </c>
    </row>
    <row r="24" spans="1:12">
      <c r="A24" s="49">
        <v>2</v>
      </c>
      <c r="B24" s="109">
        <v>243995</v>
      </c>
      <c r="C24" s="51" t="s">
        <v>163</v>
      </c>
      <c r="D24" s="55" t="s">
        <v>163</v>
      </c>
      <c r="E24" s="52">
        <v>401008</v>
      </c>
      <c r="F24" s="49" t="str">
        <f>VLOOKUP(Database[[#This Row],[เลขที่บัญชี]],COA[],2,FALSE)</f>
        <v>รายได้ค่าสมัครสมาชิกเก่า</v>
      </c>
      <c r="H24" s="53">
        <v>13000</v>
      </c>
      <c r="I24" s="52" t="str">
        <f>VLOOKUP(Database[[#This Row],[เลขที่บัญชี]],COA[],3,FALSE)</f>
        <v>4</v>
      </c>
      <c r="J24" s="52" t="s">
        <v>129</v>
      </c>
      <c r="K24" s="52" t="str">
        <f>VLOOKUP(Database[[#This Row],[รหัสหน่วยงาน]],Center[],2,FALSE)</f>
        <v>สำนักงานใหญ่</v>
      </c>
      <c r="L24" s="52">
        <v>1</v>
      </c>
    </row>
    <row r="25" spans="1:12">
      <c r="A25" s="49">
        <v>2</v>
      </c>
      <c r="B25" s="109">
        <v>243995</v>
      </c>
      <c r="C25" s="51" t="s">
        <v>163</v>
      </c>
      <c r="D25" s="55" t="s">
        <v>163</v>
      </c>
      <c r="E25" s="52">
        <v>401009</v>
      </c>
      <c r="F25" s="49" t="str">
        <f>VLOOKUP(Database[[#This Row],[เลขที่บัญชี]],COA[],2,FALSE)</f>
        <v>รายได้ค่าสมัครสมาชิกใหม่</v>
      </c>
      <c r="H25" s="53">
        <v>4000</v>
      </c>
      <c r="I25" s="52" t="str">
        <f>VLOOKUP(Database[[#This Row],[เลขที่บัญชี]],COA[],3,FALSE)</f>
        <v>4</v>
      </c>
      <c r="J25" s="52" t="s">
        <v>129</v>
      </c>
      <c r="K25" s="52" t="str">
        <f>VLOOKUP(Database[[#This Row],[รหัสหน่วยงาน]],Center[],2,FALSE)</f>
        <v>สำนักงานใหญ่</v>
      </c>
      <c r="L25" s="52">
        <v>1</v>
      </c>
    </row>
    <row r="26" spans="1:12">
      <c r="A26" s="49">
        <v>2</v>
      </c>
      <c r="B26" s="109">
        <v>243995</v>
      </c>
      <c r="C26" s="51" t="s">
        <v>163</v>
      </c>
      <c r="D26" s="55" t="s">
        <v>163</v>
      </c>
      <c r="E26" s="52">
        <v>401010</v>
      </c>
      <c r="F26" s="49" t="str">
        <f>VLOOKUP(Database[[#This Row],[เลขที่บัญชี]],COA[],2,FALSE)</f>
        <v>ค่าปิดสนาม วันธรรมดา/วันหยุด</v>
      </c>
      <c r="H26" s="53">
        <v>2640</v>
      </c>
      <c r="I26" s="52" t="str">
        <f>VLOOKUP(Database[[#This Row],[เลขที่บัญชี]],COA[],3,FALSE)</f>
        <v>4</v>
      </c>
      <c r="J26" s="52" t="s">
        <v>129</v>
      </c>
      <c r="K26" s="52" t="str">
        <f>VLOOKUP(Database[[#This Row],[รหัสหน่วยงาน]],Center[],2,FALSE)</f>
        <v>สำนักงานใหญ่</v>
      </c>
      <c r="L26" s="52">
        <v>1</v>
      </c>
    </row>
    <row r="27" spans="1:12">
      <c r="A27" s="49">
        <v>2</v>
      </c>
      <c r="B27" s="109">
        <v>243995</v>
      </c>
      <c r="C27" s="51" t="s">
        <v>163</v>
      </c>
      <c r="D27" s="55" t="s">
        <v>163</v>
      </c>
      <c r="E27" s="52">
        <v>401012</v>
      </c>
      <c r="F27" s="49" t="str">
        <f>VLOOKUP(Database[[#This Row],[เลขที่บัญชี]],COA[],2,FALSE)</f>
        <v>รายได้ค่าแคดดี้</v>
      </c>
      <c r="H27" s="53">
        <v>19620</v>
      </c>
      <c r="I27" s="52" t="str">
        <f>VLOOKUP(Database[[#This Row],[เลขที่บัญชี]],COA[],3,FALSE)</f>
        <v>4</v>
      </c>
      <c r="J27" s="52" t="s">
        <v>129</v>
      </c>
      <c r="K27" s="52" t="str">
        <f>VLOOKUP(Database[[#This Row],[รหัสหน่วยงาน]],Center[],2,FALSE)</f>
        <v>สำนักงานใหญ่</v>
      </c>
      <c r="L27" s="52">
        <v>1</v>
      </c>
    </row>
    <row r="28" spans="1:12">
      <c r="A28" s="49">
        <v>2</v>
      </c>
      <c r="B28" s="109">
        <v>243995</v>
      </c>
      <c r="C28" s="51" t="s">
        <v>163</v>
      </c>
      <c r="D28" s="55" t="s">
        <v>163</v>
      </c>
      <c r="E28" s="52">
        <v>401013</v>
      </c>
      <c r="F28" s="49" t="str">
        <f>VLOOKUP(Database[[#This Row],[เลขที่บัญชี]],COA[],2,FALSE)</f>
        <v>รายได้ค่าเช่ารถกอล์ฟ 45%</v>
      </c>
      <c r="H28" s="53">
        <v>103320</v>
      </c>
      <c r="I28" s="52" t="str">
        <f>VLOOKUP(Database[[#This Row],[เลขที่บัญชี]],COA[],3,FALSE)</f>
        <v>4</v>
      </c>
      <c r="J28" s="52" t="s">
        <v>129</v>
      </c>
      <c r="K28" s="52" t="str">
        <f>VLOOKUP(Database[[#This Row],[รหัสหน่วยงาน]],Center[],2,FALSE)</f>
        <v>สำนักงานใหญ่</v>
      </c>
      <c r="L28" s="52">
        <v>1</v>
      </c>
    </row>
    <row r="29" spans="1:12">
      <c r="A29" s="49">
        <v>2</v>
      </c>
      <c r="B29" s="109">
        <v>243995</v>
      </c>
      <c r="C29" s="51" t="s">
        <v>163</v>
      </c>
      <c r="D29" s="55" t="s">
        <v>163</v>
      </c>
      <c r="E29" s="52">
        <v>401014</v>
      </c>
      <c r="F29" s="49" t="str">
        <f>VLOOKUP(Database[[#This Row],[เลขที่บัญชี]],COA[],2,FALSE)</f>
        <v>รายได้ค่าเช่าพื้นที่คลับเฮ้าส์</v>
      </c>
      <c r="H29" s="53">
        <v>2000</v>
      </c>
      <c r="I29" s="52" t="str">
        <f>VLOOKUP(Database[[#This Row],[เลขที่บัญชี]],COA[],3,FALSE)</f>
        <v>4</v>
      </c>
      <c r="J29" s="52" t="s">
        <v>129</v>
      </c>
      <c r="K29" s="52" t="str">
        <f>VLOOKUP(Database[[#This Row],[รหัสหน่วยงาน]],Center[],2,FALSE)</f>
        <v>สำนักงานใหญ่</v>
      </c>
      <c r="L29" s="52">
        <v>1</v>
      </c>
    </row>
    <row r="30" spans="1:12">
      <c r="A30" s="49">
        <v>2</v>
      </c>
      <c r="B30" s="109">
        <v>243995</v>
      </c>
      <c r="C30" s="51" t="s">
        <v>163</v>
      </c>
      <c r="D30" s="55" t="s">
        <v>163</v>
      </c>
      <c r="E30" s="52">
        <v>401016</v>
      </c>
      <c r="F30" s="49" t="str">
        <f>VLOOKUP(Database[[#This Row],[เลขที่บัญชี]],COA[],2,FALSE)</f>
        <v>รายได้อื่น ๆ</v>
      </c>
      <c r="H30" s="53">
        <v>600</v>
      </c>
      <c r="I30" s="52">
        <f>VLOOKUP(Database[[#This Row],[เลขที่บัญชี]],COA[],3,FALSE)</f>
        <v>0</v>
      </c>
      <c r="J30" s="52" t="s">
        <v>129</v>
      </c>
      <c r="K30" s="52" t="str">
        <f>VLOOKUP(Database[[#This Row],[รหัสหน่วยงาน]],Center[],2,FALSE)</f>
        <v>สำนักงานใหญ่</v>
      </c>
      <c r="L30" s="52">
        <v>1</v>
      </c>
    </row>
    <row r="31" spans="1:12">
      <c r="A31" s="49">
        <v>2</v>
      </c>
      <c r="B31" s="109">
        <v>243995</v>
      </c>
      <c r="C31" s="51" t="s">
        <v>163</v>
      </c>
      <c r="D31" s="55" t="s">
        <v>163</v>
      </c>
      <c r="E31" s="52">
        <v>401018</v>
      </c>
      <c r="F31" s="49" t="str">
        <f>VLOOKUP(Database[[#This Row],[เลขที่บัญชี]],COA[],2,FALSE)</f>
        <v>ค่าบริการสนามผู้ติดตาม</v>
      </c>
      <c r="H31" s="53">
        <v>1500</v>
      </c>
      <c r="I31" s="52" t="str">
        <f>VLOOKUP(Database[[#This Row],[เลขที่บัญชี]],COA[],3,FALSE)</f>
        <v>4</v>
      </c>
      <c r="J31" s="52" t="s">
        <v>129</v>
      </c>
      <c r="K31" s="52" t="str">
        <f>VLOOKUP(Database[[#This Row],[รหัสหน่วยงาน]],Center[],2,FALSE)</f>
        <v>สำนักงานใหญ่</v>
      </c>
      <c r="L31" s="52">
        <v>1</v>
      </c>
    </row>
    <row r="32" spans="1:12">
      <c r="A32" s="49">
        <v>2</v>
      </c>
      <c r="B32" s="109">
        <v>243995</v>
      </c>
      <c r="C32" s="51" t="s">
        <v>163</v>
      </c>
      <c r="D32" s="55" t="s">
        <v>163</v>
      </c>
      <c r="E32" s="52">
        <v>501001</v>
      </c>
      <c r="F32" s="49" t="str">
        <f>VLOOKUP(Database[[#This Row],[เลขที่บัญชี]],COA[],2,FALSE)</f>
        <v>ค่าจ้าง</v>
      </c>
      <c r="G32" s="53">
        <v>61600</v>
      </c>
      <c r="I32" s="52" t="str">
        <f>VLOOKUP(Database[[#This Row],[เลขที่บัญชี]],COA[],3,FALSE)</f>
        <v>5</v>
      </c>
      <c r="J32" s="52" t="s">
        <v>129</v>
      </c>
      <c r="K32" s="52" t="str">
        <f>VLOOKUP(Database[[#This Row],[รหัสหน่วยงาน]],Center[],2,FALSE)</f>
        <v>สำนักงานใหญ่</v>
      </c>
      <c r="L32" s="52">
        <v>1</v>
      </c>
    </row>
    <row r="33" spans="1:12">
      <c r="A33" s="49">
        <v>2</v>
      </c>
      <c r="B33" s="109">
        <v>243995</v>
      </c>
      <c r="C33" s="51" t="s">
        <v>163</v>
      </c>
      <c r="D33" s="55" t="s">
        <v>163</v>
      </c>
      <c r="E33" s="52">
        <v>501003</v>
      </c>
      <c r="F33" s="49" t="str">
        <f>VLOOKUP(Database[[#This Row],[เลขที่บัญชี]],COA[],2,FALSE)</f>
        <v>ค่าภาษีสรรพสามิต</v>
      </c>
      <c r="G33" s="53">
        <v>25984.2</v>
      </c>
      <c r="I33" s="52" t="str">
        <f>VLOOKUP(Database[[#This Row],[เลขที่บัญชี]],COA[],3,FALSE)</f>
        <v>5</v>
      </c>
      <c r="J33" s="52" t="s">
        <v>129</v>
      </c>
      <c r="K33" s="52" t="str">
        <f>VLOOKUP(Database[[#This Row],[รหัสหน่วยงาน]],Center[],2,FALSE)</f>
        <v>สำนักงานใหญ่</v>
      </c>
      <c r="L33" s="52">
        <v>1</v>
      </c>
    </row>
    <row r="34" spans="1:12">
      <c r="A34" s="49">
        <v>2</v>
      </c>
      <c r="B34" s="109">
        <v>243995</v>
      </c>
      <c r="C34" s="51" t="s">
        <v>163</v>
      </c>
      <c r="D34" s="55" t="s">
        <v>163</v>
      </c>
      <c r="E34" s="52">
        <v>501022</v>
      </c>
      <c r="F34" s="49" t="str">
        <f>VLOOKUP(Database[[#This Row],[เลขที่บัญชี]],COA[],2,FALSE)</f>
        <v>ค่าสนับสนุนมหาวิทยาลัยนครพนม 5%</v>
      </c>
      <c r="G34" s="53">
        <v>106058.31</v>
      </c>
      <c r="I34" s="52" t="str">
        <f>VLOOKUP(Database[[#This Row],[เลขที่บัญชี]],COA[],3,FALSE)</f>
        <v>5</v>
      </c>
      <c r="J34" s="52" t="s">
        <v>129</v>
      </c>
      <c r="K34" s="52" t="str">
        <f>VLOOKUP(Database[[#This Row],[รหัสหน่วยงาน]],Center[],2,FALSE)</f>
        <v>สำนักงานใหญ่</v>
      </c>
      <c r="L34" s="52">
        <v>1</v>
      </c>
    </row>
    <row r="35" spans="1:12">
      <c r="A35" s="49">
        <v>2</v>
      </c>
      <c r="B35" s="109">
        <v>243995</v>
      </c>
      <c r="C35" s="51" t="s">
        <v>163</v>
      </c>
      <c r="D35" s="55" t="s">
        <v>163</v>
      </c>
      <c r="E35" s="52">
        <v>501023</v>
      </c>
      <c r="F35" s="49" t="str">
        <f>VLOOKUP(Database[[#This Row],[เลขที่บัญชี]],COA[],2,FALSE)</f>
        <v>ค่าสนับสนุนคณะเทคโนโลยีอุตสาหกรรม มหาวิทยาลัยนครพนม 5%</v>
      </c>
      <c r="G35" s="53">
        <v>106058.31</v>
      </c>
      <c r="I35" s="52" t="str">
        <f>VLOOKUP(Database[[#This Row],[เลขที่บัญชี]],COA[],3,FALSE)</f>
        <v>5</v>
      </c>
      <c r="J35" s="52" t="s">
        <v>129</v>
      </c>
      <c r="K35" s="52" t="str">
        <f>VLOOKUP(Database[[#This Row],[รหัสหน่วยงาน]],Center[],2,FALSE)</f>
        <v>สำนักงานใหญ่</v>
      </c>
      <c r="L35" s="52">
        <v>1</v>
      </c>
    </row>
    <row r="36" spans="1:12">
      <c r="A36" s="49">
        <v>3</v>
      </c>
      <c r="B36" s="109">
        <v>243995</v>
      </c>
      <c r="C36" s="51" t="s">
        <v>48</v>
      </c>
      <c r="D36" s="55" t="s">
        <v>161</v>
      </c>
      <c r="E36" s="52">
        <v>101001</v>
      </c>
      <c r="F36" s="49" t="str">
        <f>VLOOKUP(Database[[#This Row],[เลขที่บัญชี]],COA[],2,FALSE)</f>
        <v>เงินสด</v>
      </c>
      <c r="G36" s="53">
        <v>900</v>
      </c>
      <c r="I36" s="52" t="str">
        <f>VLOOKUP(Database[[#This Row],[เลขที่บัญชี]],COA[],3,FALSE)</f>
        <v>1</v>
      </c>
      <c r="J36" s="52" t="s">
        <v>129</v>
      </c>
      <c r="K36" s="52" t="str">
        <f>VLOOKUP(Database[[#This Row],[รหัสหน่วยงาน]],Center[],2,FALSE)</f>
        <v>สำนักงานใหญ่</v>
      </c>
      <c r="L36" s="52">
        <v>1</v>
      </c>
    </row>
    <row r="37" spans="1:12">
      <c r="A37" s="49">
        <v>3</v>
      </c>
      <c r="B37" s="109">
        <v>243995</v>
      </c>
      <c r="C37" s="51" t="s">
        <v>48</v>
      </c>
      <c r="D37" s="55" t="s">
        <v>161</v>
      </c>
      <c r="E37" s="52">
        <v>401003</v>
      </c>
      <c r="F37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37" s="53">
        <v>900</v>
      </c>
      <c r="I37" s="52" t="str">
        <f>VLOOKUP(Database[[#This Row],[เลขที่บัญชี]],COA[],3,FALSE)</f>
        <v>4</v>
      </c>
      <c r="J37" s="52" t="s">
        <v>129</v>
      </c>
      <c r="K37" s="52" t="str">
        <f>VLOOKUP(Database[[#This Row],[รหัสหน่วยงาน]],Center[],2,FALSE)</f>
        <v>สำนักงานใหญ่</v>
      </c>
      <c r="L37" s="52">
        <v>1</v>
      </c>
    </row>
    <row r="38" spans="1:12">
      <c r="A38" s="49">
        <v>3</v>
      </c>
      <c r="B38" s="109">
        <v>243995</v>
      </c>
      <c r="C38" s="51" t="s">
        <v>48</v>
      </c>
      <c r="D38" s="55" t="s">
        <v>161</v>
      </c>
      <c r="E38" s="52">
        <v>101001</v>
      </c>
      <c r="F38" s="49" t="str">
        <f>VLOOKUP(Database[[#This Row],[เลขที่บัญชี]],COA[],2,FALSE)</f>
        <v>เงินสด</v>
      </c>
      <c r="G38" s="53">
        <v>50</v>
      </c>
      <c r="I38" s="52" t="str">
        <f>VLOOKUP(Database[[#This Row],[เลขที่บัญชี]],COA[],3,FALSE)</f>
        <v>1</v>
      </c>
      <c r="J38" s="52" t="s">
        <v>129</v>
      </c>
      <c r="K38" s="52" t="str">
        <f>VLOOKUP(Database[[#This Row],[รหัสหน่วยงาน]],Center[],2,FALSE)</f>
        <v>สำนักงานใหญ่</v>
      </c>
      <c r="L38" s="52">
        <v>1</v>
      </c>
    </row>
    <row r="39" spans="1:12">
      <c r="A39" s="49">
        <v>3</v>
      </c>
      <c r="B39" s="109">
        <v>243995</v>
      </c>
      <c r="C39" s="51" t="s">
        <v>48</v>
      </c>
      <c r="D39" s="55" t="s">
        <v>161</v>
      </c>
      <c r="E39" s="52">
        <v>401018</v>
      </c>
      <c r="F39" s="49" t="str">
        <f>VLOOKUP(Database[[#This Row],[เลขที่บัญชี]],COA[],2,FALSE)</f>
        <v>ค่าบริการสนามผู้ติดตาม</v>
      </c>
      <c r="H39" s="53">
        <v>50</v>
      </c>
      <c r="I39" s="52" t="str">
        <f>VLOOKUP(Database[[#This Row],[เลขที่บัญชี]],COA[],3,FALSE)</f>
        <v>4</v>
      </c>
      <c r="J39" s="52" t="s">
        <v>129</v>
      </c>
      <c r="K39" s="52" t="str">
        <f>VLOOKUP(Database[[#This Row],[รหัสหน่วยงาน]],Center[],2,FALSE)</f>
        <v>สำนักงานใหญ่</v>
      </c>
      <c r="L39" s="52">
        <v>1</v>
      </c>
    </row>
    <row r="40" spans="1:12">
      <c r="A40" s="49">
        <v>3</v>
      </c>
      <c r="B40" s="109">
        <v>243995</v>
      </c>
      <c r="C40" s="51" t="s">
        <v>48</v>
      </c>
      <c r="D40" s="55" t="s">
        <v>161</v>
      </c>
      <c r="E40" s="52">
        <v>101001</v>
      </c>
      <c r="F40" s="49" t="str">
        <f>VLOOKUP(Database[[#This Row],[เลขที่บัญชี]],COA[],2,FALSE)</f>
        <v>เงินสด</v>
      </c>
      <c r="G40" s="53">
        <v>80</v>
      </c>
      <c r="I40" s="52" t="str">
        <f>VLOOKUP(Database[[#This Row],[เลขที่บัญชี]],COA[],3,FALSE)</f>
        <v>1</v>
      </c>
      <c r="J40" s="52" t="s">
        <v>129</v>
      </c>
      <c r="K40" s="52" t="str">
        <f>VLOOKUP(Database[[#This Row],[รหัสหน่วยงาน]],Center[],2,FALSE)</f>
        <v>สำนักงานใหญ่</v>
      </c>
      <c r="L40" s="52">
        <v>1</v>
      </c>
    </row>
    <row r="41" spans="1:12">
      <c r="A41" s="49">
        <v>3</v>
      </c>
      <c r="B41" s="109">
        <v>243995</v>
      </c>
      <c r="C41" s="51" t="s">
        <v>48</v>
      </c>
      <c r="D41" s="55" t="s">
        <v>161</v>
      </c>
      <c r="E41" s="52">
        <v>401012</v>
      </c>
      <c r="F41" s="49" t="str">
        <f>VLOOKUP(Database[[#This Row],[เลขที่บัญชี]],COA[],2,FALSE)</f>
        <v>รายได้ค่าแคดดี้</v>
      </c>
      <c r="H41" s="53">
        <v>80</v>
      </c>
      <c r="I41" s="52" t="str">
        <f>VLOOKUP(Database[[#This Row],[เลขที่บัญชี]],COA[],3,FALSE)</f>
        <v>4</v>
      </c>
      <c r="J41" s="52" t="s">
        <v>129</v>
      </c>
      <c r="K41" s="52" t="str">
        <f>VLOOKUP(Database[[#This Row],[รหัสหน่วยงาน]],Center[],2,FALSE)</f>
        <v>สำนักงานใหญ่</v>
      </c>
      <c r="L41" s="52">
        <v>1</v>
      </c>
    </row>
    <row r="42" spans="1:12">
      <c r="A42" s="49">
        <v>3</v>
      </c>
      <c r="B42" s="109">
        <v>243995</v>
      </c>
      <c r="C42" s="51" t="s">
        <v>48</v>
      </c>
      <c r="D42" s="55" t="s">
        <v>161</v>
      </c>
      <c r="E42" s="52">
        <v>101002</v>
      </c>
      <c r="F42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2" s="53">
        <v>1030</v>
      </c>
      <c r="I42" s="52" t="str">
        <f>VLOOKUP(Database[[#This Row],[เลขที่บัญชี]],COA[],3,FALSE)</f>
        <v>1</v>
      </c>
      <c r="J42" s="52" t="s">
        <v>129</v>
      </c>
      <c r="K42" s="52" t="str">
        <f>VLOOKUP(Database[[#This Row],[รหัสหน่วยงาน]],Center[],2,FALSE)</f>
        <v>สำนักงานใหญ่</v>
      </c>
      <c r="L42" s="52">
        <v>1</v>
      </c>
    </row>
    <row r="43" spans="1:12">
      <c r="A43" s="49">
        <v>3</v>
      </c>
      <c r="B43" s="109">
        <v>243995</v>
      </c>
      <c r="C43" s="51" t="s">
        <v>48</v>
      </c>
      <c r="D43" s="55" t="s">
        <v>161</v>
      </c>
      <c r="E43" s="52">
        <v>101001</v>
      </c>
      <c r="F43" s="49" t="str">
        <f>VLOOKUP(Database[[#This Row],[เลขที่บัญชี]],COA[],2,FALSE)</f>
        <v>เงินสด</v>
      </c>
      <c r="H43" s="53">
        <v>1030</v>
      </c>
      <c r="I43" s="52" t="str">
        <f>VLOOKUP(Database[[#This Row],[เลขที่บัญชี]],COA[],3,FALSE)</f>
        <v>1</v>
      </c>
      <c r="J43" s="52" t="s">
        <v>129</v>
      </c>
      <c r="K43" s="52" t="str">
        <f>VLOOKUP(Database[[#This Row],[รหัสหน่วยงาน]],Center[],2,FALSE)</f>
        <v>สำนักงานใหญ่</v>
      </c>
      <c r="L43" s="52">
        <v>1</v>
      </c>
    </row>
    <row r="44" spans="1:12">
      <c r="A44" s="49">
        <v>3</v>
      </c>
      <c r="B44" s="109">
        <v>243995</v>
      </c>
      <c r="C44" s="51" t="s">
        <v>48</v>
      </c>
      <c r="D44" s="55" t="s">
        <v>161</v>
      </c>
      <c r="E44" s="52">
        <v>101001</v>
      </c>
      <c r="F44" s="49" t="str">
        <f>VLOOKUP(Database[[#This Row],[เลขที่บัญชี]],COA[],2,FALSE)</f>
        <v>เงินสด</v>
      </c>
      <c r="G44" s="53">
        <v>1600</v>
      </c>
      <c r="I44" s="52" t="str">
        <f>VLOOKUP(Database[[#This Row],[เลขที่บัญชี]],COA[],3,FALSE)</f>
        <v>1</v>
      </c>
      <c r="J44" s="52" t="s">
        <v>129</v>
      </c>
      <c r="K44" s="52" t="str">
        <f>VLOOKUP(Database[[#This Row],[รหัสหน่วยงาน]],Center[],2,FALSE)</f>
        <v>สำนักงานใหญ่</v>
      </c>
      <c r="L44" s="52">
        <v>1</v>
      </c>
    </row>
    <row r="45" spans="1:12">
      <c r="A45" s="49">
        <v>3</v>
      </c>
      <c r="B45" s="109">
        <v>243995</v>
      </c>
      <c r="C45" s="51" t="s">
        <v>48</v>
      </c>
      <c r="D45" s="55" t="s">
        <v>161</v>
      </c>
      <c r="E45" s="52">
        <v>401003</v>
      </c>
      <c r="F45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45" s="53">
        <v>1600</v>
      </c>
      <c r="I45" s="52" t="str">
        <f>VLOOKUP(Database[[#This Row],[เลขที่บัญชี]],COA[],3,FALSE)</f>
        <v>4</v>
      </c>
      <c r="J45" s="52" t="s">
        <v>129</v>
      </c>
      <c r="K45" s="52" t="str">
        <f>VLOOKUP(Database[[#This Row],[รหัสหน่วยงาน]],Center[],2,FALSE)</f>
        <v>สำนักงานใหญ่</v>
      </c>
      <c r="L45" s="52">
        <v>1</v>
      </c>
    </row>
    <row r="46" spans="1:12">
      <c r="A46" s="49">
        <v>3</v>
      </c>
      <c r="B46" s="109">
        <v>243995</v>
      </c>
      <c r="C46" s="51" t="s">
        <v>48</v>
      </c>
      <c r="D46" s="55" t="s">
        <v>161</v>
      </c>
      <c r="E46" s="52">
        <v>101001</v>
      </c>
      <c r="F46" s="49" t="str">
        <f>VLOOKUP(Database[[#This Row],[เลขที่บัญชี]],COA[],2,FALSE)</f>
        <v>เงินสด</v>
      </c>
      <c r="G46" s="53">
        <v>180</v>
      </c>
      <c r="I46" s="52" t="str">
        <f>VLOOKUP(Database[[#This Row],[เลขที่บัญชี]],COA[],3,FALSE)</f>
        <v>1</v>
      </c>
      <c r="J46" s="52" t="s">
        <v>129</v>
      </c>
      <c r="K46" s="52" t="str">
        <f>VLOOKUP(Database[[#This Row],[รหัสหน่วยงาน]],Center[],2,FALSE)</f>
        <v>สำนักงานใหญ่</v>
      </c>
      <c r="L46" s="52">
        <v>1</v>
      </c>
    </row>
    <row r="47" spans="1:12">
      <c r="A47" s="49">
        <v>3</v>
      </c>
      <c r="B47" s="109">
        <v>243995</v>
      </c>
      <c r="C47" s="51" t="s">
        <v>48</v>
      </c>
      <c r="D47" s="55" t="s">
        <v>161</v>
      </c>
      <c r="E47" s="52">
        <v>401004</v>
      </c>
      <c r="F47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47" s="53">
        <v>180</v>
      </c>
      <c r="I47" s="52" t="str">
        <f>VLOOKUP(Database[[#This Row],[เลขที่บัญชี]],COA[],3,FALSE)</f>
        <v>4</v>
      </c>
      <c r="J47" s="52" t="s">
        <v>129</v>
      </c>
      <c r="K47" s="52" t="str">
        <f>VLOOKUP(Database[[#This Row],[รหัสหน่วยงาน]],Center[],2,FALSE)</f>
        <v>สำนักงานใหญ่</v>
      </c>
      <c r="L47" s="52">
        <v>1</v>
      </c>
    </row>
    <row r="48" spans="1:12">
      <c r="A48" s="49">
        <v>3</v>
      </c>
      <c r="B48" s="109">
        <v>243995</v>
      </c>
      <c r="C48" s="51" t="s">
        <v>48</v>
      </c>
      <c r="D48" s="55" t="s">
        <v>161</v>
      </c>
      <c r="E48" s="52">
        <v>101001</v>
      </c>
      <c r="F48" s="49" t="str">
        <f>VLOOKUP(Database[[#This Row],[เลขที่บัญชี]],COA[],2,FALSE)</f>
        <v>เงินสด</v>
      </c>
      <c r="G48" s="53">
        <v>240</v>
      </c>
      <c r="I48" s="52" t="str">
        <f>VLOOKUP(Database[[#This Row],[เลขที่บัญชี]],COA[],3,FALSE)</f>
        <v>1</v>
      </c>
      <c r="J48" s="52" t="s">
        <v>129</v>
      </c>
      <c r="K48" s="52" t="str">
        <f>VLOOKUP(Database[[#This Row],[รหัสหน่วยงาน]],Center[],2,FALSE)</f>
        <v>สำนักงานใหญ่</v>
      </c>
      <c r="L48" s="52">
        <v>1</v>
      </c>
    </row>
    <row r="49" spans="1:12">
      <c r="A49" s="49">
        <v>3</v>
      </c>
      <c r="B49" s="109">
        <v>243995</v>
      </c>
      <c r="C49" s="51" t="s">
        <v>48</v>
      </c>
      <c r="D49" s="55" t="s">
        <v>161</v>
      </c>
      <c r="E49" s="52">
        <v>401012</v>
      </c>
      <c r="F49" s="49" t="str">
        <f>VLOOKUP(Database[[#This Row],[เลขที่บัญชี]],COA[],2,FALSE)</f>
        <v>รายได้ค่าแคดดี้</v>
      </c>
      <c r="H49" s="53">
        <v>240</v>
      </c>
      <c r="I49" s="52" t="str">
        <f>VLOOKUP(Database[[#This Row],[เลขที่บัญชี]],COA[],3,FALSE)</f>
        <v>4</v>
      </c>
      <c r="J49" s="52" t="s">
        <v>129</v>
      </c>
      <c r="K49" s="52" t="str">
        <f>VLOOKUP(Database[[#This Row],[รหัสหน่วยงาน]],Center[],2,FALSE)</f>
        <v>สำนักงานใหญ่</v>
      </c>
      <c r="L49" s="52">
        <v>1</v>
      </c>
    </row>
    <row r="50" spans="1:12">
      <c r="A50" s="49">
        <v>3</v>
      </c>
      <c r="B50" s="109">
        <v>243995</v>
      </c>
      <c r="C50" s="51" t="s">
        <v>48</v>
      </c>
      <c r="D50" s="55" t="s">
        <v>161</v>
      </c>
      <c r="E50" s="52">
        <v>101002</v>
      </c>
      <c r="F50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50" s="53">
        <v>2020</v>
      </c>
      <c r="I50" s="52" t="str">
        <f>VLOOKUP(Database[[#This Row],[เลขที่บัญชี]],COA[],3,FALSE)</f>
        <v>1</v>
      </c>
      <c r="J50" s="52" t="s">
        <v>129</v>
      </c>
      <c r="K50" s="52" t="str">
        <f>VLOOKUP(Database[[#This Row],[รหัสหน่วยงาน]],Center[],2,FALSE)</f>
        <v>สำนักงานใหญ่</v>
      </c>
      <c r="L50" s="52">
        <v>1</v>
      </c>
    </row>
    <row r="51" spans="1:12">
      <c r="A51" s="49">
        <v>3</v>
      </c>
      <c r="B51" s="109">
        <v>243995</v>
      </c>
      <c r="C51" s="51" t="s">
        <v>48</v>
      </c>
      <c r="D51" s="55" t="s">
        <v>161</v>
      </c>
      <c r="E51" s="52">
        <v>101001</v>
      </c>
      <c r="F51" s="49" t="str">
        <f>VLOOKUP(Database[[#This Row],[เลขที่บัญชี]],COA[],2,FALSE)</f>
        <v>เงินสด</v>
      </c>
      <c r="H51" s="53">
        <v>2020</v>
      </c>
      <c r="I51" s="52" t="str">
        <f>VLOOKUP(Database[[#This Row],[เลขที่บัญชี]],COA[],3,FALSE)</f>
        <v>1</v>
      </c>
      <c r="J51" s="52" t="s">
        <v>129</v>
      </c>
      <c r="K51" s="52" t="str">
        <f>VLOOKUP(Database[[#This Row],[รหัสหน่วยงาน]],Center[],2,FALSE)</f>
        <v>สำนักงานใหญ่</v>
      </c>
      <c r="L51" s="52">
        <v>1</v>
      </c>
    </row>
    <row r="52" spans="1:12">
      <c r="A52" s="49">
        <v>3</v>
      </c>
      <c r="B52" s="109">
        <v>243995</v>
      </c>
      <c r="C52" s="51" t="s">
        <v>48</v>
      </c>
      <c r="D52" s="55" t="s">
        <v>161</v>
      </c>
      <c r="E52" s="52">
        <v>101001</v>
      </c>
      <c r="F52" s="49" t="str">
        <f>VLOOKUP(Database[[#This Row],[เลขที่บัญชี]],COA[],2,FALSE)</f>
        <v>เงินสด</v>
      </c>
      <c r="G52" s="53">
        <v>10600</v>
      </c>
      <c r="I52" s="52" t="str">
        <f>VLOOKUP(Database[[#This Row],[เลขที่บัญชี]],COA[],3,FALSE)</f>
        <v>1</v>
      </c>
      <c r="J52" s="52" t="s">
        <v>129</v>
      </c>
      <c r="K52" s="52" t="str">
        <f>VLOOKUP(Database[[#This Row],[รหัสหน่วยงาน]],Center[],2,FALSE)</f>
        <v>สำนักงานใหญ่</v>
      </c>
      <c r="L52" s="52">
        <v>1</v>
      </c>
    </row>
    <row r="53" spans="1:12">
      <c r="A53" s="49">
        <v>3</v>
      </c>
      <c r="B53" s="109">
        <v>243995</v>
      </c>
      <c r="C53" s="51" t="s">
        <v>48</v>
      </c>
      <c r="D53" s="55" t="s">
        <v>161</v>
      </c>
      <c r="E53" s="52">
        <v>401013</v>
      </c>
      <c r="F53" s="49" t="str">
        <f>VLOOKUP(Database[[#This Row],[เลขที่บัญชี]],COA[],2,FALSE)</f>
        <v>รายได้ค่าเช่ารถกอล์ฟ 45%</v>
      </c>
      <c r="H53" s="53">
        <v>4770</v>
      </c>
      <c r="I53" s="52" t="str">
        <f>VLOOKUP(Database[[#This Row],[เลขที่บัญชี]],COA[],3,FALSE)</f>
        <v>4</v>
      </c>
      <c r="J53" s="52" t="s">
        <v>129</v>
      </c>
      <c r="K53" s="52" t="str">
        <f>VLOOKUP(Database[[#This Row],[รหัสหน่วยงาน]],Center[],2,FALSE)</f>
        <v>สำนักงานใหญ่</v>
      </c>
      <c r="L53" s="52">
        <v>1</v>
      </c>
    </row>
    <row r="54" spans="1:12">
      <c r="A54" s="49">
        <v>3</v>
      </c>
      <c r="B54" s="109">
        <v>243995</v>
      </c>
      <c r="C54" s="51" t="s">
        <v>48</v>
      </c>
      <c r="D54" s="55" t="s">
        <v>161</v>
      </c>
      <c r="E54" s="52">
        <v>201004</v>
      </c>
      <c r="F54" s="49" t="str">
        <f>VLOOKUP(Database[[#This Row],[เลขที่บัญชี]],COA[],2,FALSE)</f>
        <v>เงินรับฝาก-ค่าเช่ารถกอล์ฟ 55%</v>
      </c>
      <c r="H54" s="53">
        <v>5830</v>
      </c>
      <c r="I54" s="52" t="str">
        <f>VLOOKUP(Database[[#This Row],[เลขที่บัญชี]],COA[],3,FALSE)</f>
        <v>2</v>
      </c>
      <c r="J54" s="52" t="s">
        <v>129</v>
      </c>
      <c r="K54" s="52" t="str">
        <f>VLOOKUP(Database[[#This Row],[รหัสหน่วยงาน]],Center[],2,FALSE)</f>
        <v>สำนักงานใหญ่</v>
      </c>
      <c r="L54" s="52">
        <v>1</v>
      </c>
    </row>
    <row r="55" spans="1:12">
      <c r="A55" s="49">
        <v>3</v>
      </c>
      <c r="B55" s="109">
        <v>243995</v>
      </c>
      <c r="C55" s="51" t="s">
        <v>48</v>
      </c>
      <c r="D55" s="55" t="s">
        <v>161</v>
      </c>
      <c r="E55" s="52">
        <v>101002</v>
      </c>
      <c r="F55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55" s="53">
        <v>10600</v>
      </c>
      <c r="I55" s="52" t="str">
        <f>VLOOKUP(Database[[#This Row],[เลขที่บัญชี]],COA[],3,FALSE)</f>
        <v>1</v>
      </c>
      <c r="J55" s="52" t="s">
        <v>129</v>
      </c>
      <c r="K55" s="52" t="str">
        <f>VLOOKUP(Database[[#This Row],[รหัสหน่วยงาน]],Center[],2,FALSE)</f>
        <v>สำนักงานใหญ่</v>
      </c>
      <c r="L55" s="52">
        <v>1</v>
      </c>
    </row>
    <row r="56" spans="1:12">
      <c r="A56" s="49">
        <v>3</v>
      </c>
      <c r="B56" s="109">
        <v>243995</v>
      </c>
      <c r="C56" s="51" t="s">
        <v>48</v>
      </c>
      <c r="D56" s="55" t="s">
        <v>161</v>
      </c>
      <c r="E56" s="52">
        <v>101001</v>
      </c>
      <c r="F56" s="49" t="str">
        <f>VLOOKUP(Database[[#This Row],[เลขที่บัญชี]],COA[],2,FALSE)</f>
        <v>เงินสด</v>
      </c>
      <c r="H56" s="53">
        <v>10600</v>
      </c>
      <c r="I56" s="52" t="str">
        <f>VLOOKUP(Database[[#This Row],[เลขที่บัญชี]],COA[],3,FALSE)</f>
        <v>1</v>
      </c>
      <c r="J56" s="52" t="s">
        <v>129</v>
      </c>
      <c r="K56" s="52" t="str">
        <f>VLOOKUP(Database[[#This Row],[รหัสหน่วยงาน]],Center[],2,FALSE)</f>
        <v>สำนักงานใหญ่</v>
      </c>
      <c r="L56" s="52">
        <v>1</v>
      </c>
    </row>
    <row r="57" spans="1:12">
      <c r="A57" s="49">
        <v>3</v>
      </c>
      <c r="B57" s="109">
        <v>243995</v>
      </c>
      <c r="C57" s="51" t="s">
        <v>48</v>
      </c>
      <c r="D57" s="55" t="s">
        <v>161</v>
      </c>
      <c r="E57" s="52">
        <v>101001</v>
      </c>
      <c r="F57" s="49" t="str">
        <f>VLOOKUP(Database[[#This Row],[เลขที่บัญชี]],COA[],2,FALSE)</f>
        <v>เงินสด</v>
      </c>
      <c r="G57" s="53">
        <v>2000</v>
      </c>
      <c r="I57" s="52" t="str">
        <f>VLOOKUP(Database[[#This Row],[เลขที่บัญชี]],COA[],3,FALSE)</f>
        <v>1</v>
      </c>
      <c r="J57" s="52" t="s">
        <v>129</v>
      </c>
      <c r="K57" s="52" t="str">
        <f>VLOOKUP(Database[[#This Row],[รหัสหน่วยงาน]],Center[],2,FALSE)</f>
        <v>สำนักงานใหญ่</v>
      </c>
      <c r="L57" s="52">
        <v>1</v>
      </c>
    </row>
    <row r="58" spans="1:12">
      <c r="A58" s="49">
        <v>3</v>
      </c>
      <c r="B58" s="109">
        <v>243995</v>
      </c>
      <c r="C58" s="51" t="s">
        <v>48</v>
      </c>
      <c r="D58" s="55" t="s">
        <v>161</v>
      </c>
      <c r="E58" s="52">
        <v>401014</v>
      </c>
      <c r="F58" s="49" t="str">
        <f>VLOOKUP(Database[[#This Row],[เลขที่บัญชี]],COA[],2,FALSE)</f>
        <v>รายได้ค่าเช่าพื้นที่คลับเฮ้าส์</v>
      </c>
      <c r="H58" s="53">
        <v>2000</v>
      </c>
      <c r="I58" s="52" t="str">
        <f>VLOOKUP(Database[[#This Row],[เลขที่บัญชี]],COA[],3,FALSE)</f>
        <v>4</v>
      </c>
      <c r="J58" s="52" t="s">
        <v>129</v>
      </c>
      <c r="K58" s="52" t="str">
        <f>VLOOKUP(Database[[#This Row],[รหัสหน่วยงาน]],Center[],2,FALSE)</f>
        <v>สำนักงานใหญ่</v>
      </c>
      <c r="L58" s="52">
        <v>1</v>
      </c>
    </row>
    <row r="59" spans="1:12">
      <c r="A59" s="49">
        <v>3</v>
      </c>
      <c r="B59" s="109">
        <v>243995</v>
      </c>
      <c r="C59" s="51" t="s">
        <v>48</v>
      </c>
      <c r="D59" s="55" t="s">
        <v>161</v>
      </c>
      <c r="E59" s="52">
        <v>101002</v>
      </c>
      <c r="F59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59" s="53">
        <v>2000</v>
      </c>
      <c r="I59" s="52" t="str">
        <f>VLOOKUP(Database[[#This Row],[เลขที่บัญชี]],COA[],3,FALSE)</f>
        <v>1</v>
      </c>
      <c r="J59" s="52" t="s">
        <v>129</v>
      </c>
      <c r="K59" s="52" t="str">
        <f>VLOOKUP(Database[[#This Row],[รหัสหน่วยงาน]],Center[],2,FALSE)</f>
        <v>สำนักงานใหญ่</v>
      </c>
      <c r="L59" s="52">
        <v>1</v>
      </c>
    </row>
    <row r="60" spans="1:12">
      <c r="A60" s="49">
        <v>3</v>
      </c>
      <c r="B60" s="109">
        <v>243995</v>
      </c>
      <c r="C60" s="51" t="s">
        <v>48</v>
      </c>
      <c r="D60" s="55" t="s">
        <v>161</v>
      </c>
      <c r="E60" s="52">
        <v>101001</v>
      </c>
      <c r="F60" s="49" t="str">
        <f>VLOOKUP(Database[[#This Row],[เลขที่บัญชี]],COA[],2,FALSE)</f>
        <v>เงินสด</v>
      </c>
      <c r="H60" s="53">
        <v>2000</v>
      </c>
      <c r="I60" s="52" t="str">
        <f>VLOOKUP(Database[[#This Row],[เลขที่บัญชี]],COA[],3,FALSE)</f>
        <v>1</v>
      </c>
      <c r="J60" s="52" t="s">
        <v>129</v>
      </c>
      <c r="K60" s="52" t="str">
        <f>VLOOKUP(Database[[#This Row],[รหัสหน่วยงาน]],Center[],2,FALSE)</f>
        <v>สำนักงานใหญ่</v>
      </c>
      <c r="L60" s="52">
        <v>1</v>
      </c>
    </row>
    <row r="61" spans="1:12">
      <c r="A61" s="49">
        <v>4</v>
      </c>
      <c r="B61" s="109">
        <v>244026</v>
      </c>
      <c r="C61" s="51" t="s">
        <v>48</v>
      </c>
      <c r="D61" s="55" t="s">
        <v>161</v>
      </c>
      <c r="E61" s="52">
        <v>101001</v>
      </c>
      <c r="F61" s="49" t="str">
        <f>VLOOKUP(Database[[#This Row],[เลขที่บัญชี]],COA[],2,FALSE)</f>
        <v>เงินสด</v>
      </c>
      <c r="G61" s="53">
        <v>800</v>
      </c>
      <c r="I61" s="52" t="str">
        <f>VLOOKUP(Database[[#This Row],[เลขที่บัญชี]],COA[],3,FALSE)</f>
        <v>1</v>
      </c>
      <c r="J61" s="52" t="s">
        <v>129</v>
      </c>
      <c r="K61" s="52" t="str">
        <f>VLOOKUP(Database[[#This Row],[รหัสหน่วยงาน]],Center[],2,FALSE)</f>
        <v>สำนักงานใหญ่</v>
      </c>
      <c r="L61" s="52">
        <v>1</v>
      </c>
    </row>
    <row r="62" spans="1:12">
      <c r="A62" s="49">
        <v>4</v>
      </c>
      <c r="B62" s="109">
        <v>244026</v>
      </c>
      <c r="C62" s="51" t="s">
        <v>48</v>
      </c>
      <c r="D62" s="55" t="s">
        <v>161</v>
      </c>
      <c r="E62" s="52">
        <v>401003</v>
      </c>
      <c r="F62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62" s="53">
        <v>800</v>
      </c>
      <c r="I62" s="52" t="str">
        <f>VLOOKUP(Database[[#This Row],[เลขที่บัญชี]],COA[],3,FALSE)</f>
        <v>4</v>
      </c>
      <c r="J62" s="52" t="s">
        <v>129</v>
      </c>
      <c r="K62" s="52" t="str">
        <f>VLOOKUP(Database[[#This Row],[รหัสหน่วยงาน]],Center[],2,FALSE)</f>
        <v>สำนักงานใหญ่</v>
      </c>
      <c r="L62" s="52">
        <v>1</v>
      </c>
    </row>
    <row r="63" spans="1:12">
      <c r="A63" s="49">
        <v>4</v>
      </c>
      <c r="B63" s="109">
        <v>244026</v>
      </c>
      <c r="C63" s="51" t="s">
        <v>48</v>
      </c>
      <c r="D63" s="55" t="s">
        <v>161</v>
      </c>
      <c r="E63" s="52">
        <v>101001</v>
      </c>
      <c r="F63" s="49" t="str">
        <f>VLOOKUP(Database[[#This Row],[เลขที่บัญชี]],COA[],2,FALSE)</f>
        <v>เงินสด</v>
      </c>
      <c r="G63" s="53">
        <v>10</v>
      </c>
      <c r="I63" s="52" t="str">
        <f>VLOOKUP(Database[[#This Row],[เลขที่บัญชี]],COA[],3,FALSE)</f>
        <v>1</v>
      </c>
      <c r="J63" s="52" t="s">
        <v>129</v>
      </c>
      <c r="K63" s="52" t="str">
        <f>VLOOKUP(Database[[#This Row],[รหัสหน่วยงาน]],Center[],2,FALSE)</f>
        <v>สำนักงานใหญ่</v>
      </c>
      <c r="L63" s="52">
        <v>1</v>
      </c>
    </row>
    <row r="64" spans="1:12">
      <c r="A64" s="49">
        <v>4</v>
      </c>
      <c r="B64" s="109">
        <v>244026</v>
      </c>
      <c r="C64" s="51" t="s">
        <v>48</v>
      </c>
      <c r="D64" s="55" t="s">
        <v>161</v>
      </c>
      <c r="E64" s="52">
        <v>401012</v>
      </c>
      <c r="F64" s="49" t="str">
        <f>VLOOKUP(Database[[#This Row],[เลขที่บัญชี]],COA[],2,FALSE)</f>
        <v>รายได้ค่าแคดดี้</v>
      </c>
      <c r="H64" s="53">
        <v>10</v>
      </c>
      <c r="I64" s="52" t="str">
        <f>VLOOKUP(Database[[#This Row],[เลขที่บัญชี]],COA[],3,FALSE)</f>
        <v>4</v>
      </c>
      <c r="J64" s="52" t="s">
        <v>129</v>
      </c>
      <c r="K64" s="52" t="str">
        <f>VLOOKUP(Database[[#This Row],[รหัสหน่วยงาน]],Center[],2,FALSE)</f>
        <v>สำนักงานใหญ่</v>
      </c>
      <c r="L64" s="52">
        <v>1</v>
      </c>
    </row>
    <row r="65" spans="1:12">
      <c r="A65" s="49">
        <v>4</v>
      </c>
      <c r="B65" s="109">
        <v>244026</v>
      </c>
      <c r="C65" s="51" t="s">
        <v>48</v>
      </c>
      <c r="D65" s="55" t="s">
        <v>161</v>
      </c>
      <c r="E65" s="52">
        <v>101002</v>
      </c>
      <c r="F65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65" s="53">
        <v>810</v>
      </c>
      <c r="I65" s="52" t="str">
        <f>VLOOKUP(Database[[#This Row],[เลขที่บัญชี]],COA[],3,FALSE)</f>
        <v>1</v>
      </c>
      <c r="J65" s="52" t="s">
        <v>129</v>
      </c>
      <c r="K65" s="52" t="str">
        <f>VLOOKUP(Database[[#This Row],[รหัสหน่วยงาน]],Center[],2,FALSE)</f>
        <v>สำนักงานใหญ่</v>
      </c>
      <c r="L65" s="52">
        <v>1</v>
      </c>
    </row>
    <row r="66" spans="1:12">
      <c r="A66" s="49">
        <v>4</v>
      </c>
      <c r="B66" s="109">
        <v>244026</v>
      </c>
      <c r="C66" s="51" t="s">
        <v>48</v>
      </c>
      <c r="D66" s="55" t="s">
        <v>161</v>
      </c>
      <c r="E66" s="52">
        <v>101001</v>
      </c>
      <c r="F66" s="49" t="str">
        <f>VLOOKUP(Database[[#This Row],[เลขที่บัญชี]],COA[],2,FALSE)</f>
        <v>เงินสด</v>
      </c>
      <c r="H66" s="53">
        <v>810</v>
      </c>
      <c r="I66" s="52" t="str">
        <f>VLOOKUP(Database[[#This Row],[เลขที่บัญชี]],COA[],3,FALSE)</f>
        <v>1</v>
      </c>
      <c r="J66" s="52" t="s">
        <v>129</v>
      </c>
      <c r="K66" s="52" t="str">
        <f>VLOOKUP(Database[[#This Row],[รหัสหน่วยงาน]],Center[],2,FALSE)</f>
        <v>สำนักงานใหญ่</v>
      </c>
      <c r="L66" s="52">
        <v>1</v>
      </c>
    </row>
    <row r="67" spans="1:12">
      <c r="A67" s="49">
        <v>4</v>
      </c>
      <c r="B67" s="109">
        <v>244026</v>
      </c>
      <c r="C67" s="51" t="s">
        <v>48</v>
      </c>
      <c r="D67" s="55" t="s">
        <v>161</v>
      </c>
      <c r="E67" s="52">
        <v>101001</v>
      </c>
      <c r="F67" s="49" t="str">
        <f>VLOOKUP(Database[[#This Row],[เลขที่บัญชี]],COA[],2,FALSE)</f>
        <v>เงินสด</v>
      </c>
      <c r="G67" s="53">
        <v>1400</v>
      </c>
      <c r="I67" s="52" t="str">
        <f>VLOOKUP(Database[[#This Row],[เลขที่บัญชี]],COA[],3,FALSE)</f>
        <v>1</v>
      </c>
      <c r="J67" s="52" t="s">
        <v>129</v>
      </c>
      <c r="K67" s="52" t="str">
        <f>VLOOKUP(Database[[#This Row],[รหัสหน่วยงาน]],Center[],2,FALSE)</f>
        <v>สำนักงานใหญ่</v>
      </c>
      <c r="L67" s="52">
        <v>1</v>
      </c>
    </row>
    <row r="68" spans="1:12">
      <c r="A68" s="49">
        <v>4</v>
      </c>
      <c r="B68" s="109">
        <v>244026</v>
      </c>
      <c r="C68" s="51" t="s">
        <v>48</v>
      </c>
      <c r="D68" s="55" t="s">
        <v>161</v>
      </c>
      <c r="E68" s="52">
        <v>401003</v>
      </c>
      <c r="F68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68" s="53">
        <v>1400</v>
      </c>
      <c r="I68" s="52" t="str">
        <f>VLOOKUP(Database[[#This Row],[เลขที่บัญชี]],COA[],3,FALSE)</f>
        <v>4</v>
      </c>
      <c r="J68" s="52" t="s">
        <v>129</v>
      </c>
      <c r="K68" s="52" t="str">
        <f>VLOOKUP(Database[[#This Row],[รหัสหน่วยงาน]],Center[],2,FALSE)</f>
        <v>สำนักงานใหญ่</v>
      </c>
      <c r="L68" s="52">
        <v>1</v>
      </c>
    </row>
    <row r="69" spans="1:12">
      <c r="A69" s="49">
        <v>4</v>
      </c>
      <c r="B69" s="109">
        <v>244026</v>
      </c>
      <c r="C69" s="51" t="s">
        <v>48</v>
      </c>
      <c r="D69" s="55" t="s">
        <v>161</v>
      </c>
      <c r="E69" s="52">
        <v>101001</v>
      </c>
      <c r="F69" s="49" t="str">
        <f>VLOOKUP(Database[[#This Row],[เลขที่บัญชี]],COA[],2,FALSE)</f>
        <v>เงินสด</v>
      </c>
      <c r="G69" s="53">
        <v>360</v>
      </c>
      <c r="I69" s="52" t="str">
        <f>VLOOKUP(Database[[#This Row],[เลขที่บัญชี]],COA[],3,FALSE)</f>
        <v>1</v>
      </c>
      <c r="J69" s="52" t="s">
        <v>129</v>
      </c>
      <c r="K69" s="52" t="str">
        <f>VLOOKUP(Database[[#This Row],[รหัสหน่วยงาน]],Center[],2,FALSE)</f>
        <v>สำนักงานใหญ่</v>
      </c>
      <c r="L69" s="52">
        <v>1</v>
      </c>
    </row>
    <row r="70" spans="1:12">
      <c r="A70" s="49">
        <v>4</v>
      </c>
      <c r="B70" s="109">
        <v>244026</v>
      </c>
      <c r="C70" s="51" t="s">
        <v>48</v>
      </c>
      <c r="D70" s="55" t="s">
        <v>161</v>
      </c>
      <c r="E70" s="52">
        <v>401004</v>
      </c>
      <c r="F70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70" s="53">
        <v>360</v>
      </c>
      <c r="I70" s="52" t="str">
        <f>VLOOKUP(Database[[#This Row],[เลขที่บัญชี]],COA[],3,FALSE)</f>
        <v>4</v>
      </c>
      <c r="J70" s="52" t="s">
        <v>129</v>
      </c>
      <c r="K70" s="52" t="str">
        <f>VLOOKUP(Database[[#This Row],[รหัสหน่วยงาน]],Center[],2,FALSE)</f>
        <v>สำนักงานใหญ่</v>
      </c>
      <c r="L70" s="52">
        <v>1</v>
      </c>
    </row>
    <row r="71" spans="1:12">
      <c r="A71" s="49">
        <v>4</v>
      </c>
      <c r="B71" s="109">
        <v>244026</v>
      </c>
      <c r="C71" s="51" t="s">
        <v>48</v>
      </c>
      <c r="D71" s="55" t="s">
        <v>161</v>
      </c>
      <c r="E71" s="52">
        <v>101001</v>
      </c>
      <c r="F71" s="49" t="str">
        <f>VLOOKUP(Database[[#This Row],[เลขที่บัญชี]],COA[],2,FALSE)</f>
        <v>เงินสด</v>
      </c>
      <c r="G71" s="53">
        <v>50</v>
      </c>
      <c r="I71" s="52" t="str">
        <f>VLOOKUP(Database[[#This Row],[เลขที่บัญชี]],COA[],3,FALSE)</f>
        <v>1</v>
      </c>
      <c r="J71" s="52" t="s">
        <v>129</v>
      </c>
      <c r="K71" s="52" t="str">
        <f>VLOOKUP(Database[[#This Row],[รหัสหน่วยงาน]],Center[],2,FALSE)</f>
        <v>สำนักงานใหญ่</v>
      </c>
      <c r="L71" s="52">
        <v>1</v>
      </c>
    </row>
    <row r="72" spans="1:12">
      <c r="A72" s="49">
        <v>4</v>
      </c>
      <c r="B72" s="109">
        <v>244026</v>
      </c>
      <c r="C72" s="51" t="s">
        <v>48</v>
      </c>
      <c r="D72" s="55" t="s">
        <v>161</v>
      </c>
      <c r="E72" s="52">
        <v>401007</v>
      </c>
      <c r="F72" s="49" t="str">
        <f>VLOOKUP(Database[[#This Row],[เลขที่บัญชี]],COA[],2,FALSE)</f>
        <v>รายได้ค่าบริการสนามกอล์ฟ รหัส 07 (ค่าบริการสนาม-เพิ่มรอบที่ 3)</v>
      </c>
      <c r="H72" s="53">
        <v>50</v>
      </c>
      <c r="I72" s="52" t="str">
        <f>VLOOKUP(Database[[#This Row],[เลขที่บัญชี]],COA[],3,FALSE)</f>
        <v>4</v>
      </c>
      <c r="J72" s="52" t="s">
        <v>129</v>
      </c>
      <c r="K72" s="52" t="str">
        <f>VLOOKUP(Database[[#This Row],[รหัสหน่วยงาน]],Center[],2,FALSE)</f>
        <v>สำนักงานใหญ่</v>
      </c>
      <c r="L72" s="52">
        <v>1</v>
      </c>
    </row>
    <row r="73" spans="1:12">
      <c r="A73" s="49">
        <v>4</v>
      </c>
      <c r="B73" s="109">
        <v>244026</v>
      </c>
      <c r="C73" s="51" t="s">
        <v>48</v>
      </c>
      <c r="D73" s="55" t="s">
        <v>161</v>
      </c>
      <c r="E73" s="52">
        <v>101001</v>
      </c>
      <c r="F73" s="49" t="str">
        <f>VLOOKUP(Database[[#This Row],[เลขที่บัญชี]],COA[],2,FALSE)</f>
        <v>เงินสด</v>
      </c>
      <c r="G73" s="53">
        <v>170</v>
      </c>
      <c r="I73" s="52" t="str">
        <f>VLOOKUP(Database[[#This Row],[เลขที่บัญชี]],COA[],3,FALSE)</f>
        <v>1</v>
      </c>
      <c r="J73" s="52" t="s">
        <v>129</v>
      </c>
      <c r="K73" s="52" t="str">
        <f>VLOOKUP(Database[[#This Row],[รหัสหน่วยงาน]],Center[],2,FALSE)</f>
        <v>สำนักงานใหญ่</v>
      </c>
      <c r="L73" s="52">
        <v>1</v>
      </c>
    </row>
    <row r="74" spans="1:12">
      <c r="A74" s="49">
        <v>4</v>
      </c>
      <c r="B74" s="109">
        <v>244026</v>
      </c>
      <c r="C74" s="51" t="s">
        <v>48</v>
      </c>
      <c r="D74" s="55" t="s">
        <v>161</v>
      </c>
      <c r="E74" s="52">
        <v>401012</v>
      </c>
      <c r="F74" s="49" t="str">
        <f>VLOOKUP(Database[[#This Row],[เลขที่บัญชี]],COA[],2,FALSE)</f>
        <v>รายได้ค่าแคดดี้</v>
      </c>
      <c r="H74" s="53">
        <v>170</v>
      </c>
      <c r="I74" s="52" t="str">
        <f>VLOOKUP(Database[[#This Row],[เลขที่บัญชี]],COA[],3,FALSE)</f>
        <v>4</v>
      </c>
      <c r="J74" s="52" t="s">
        <v>129</v>
      </c>
      <c r="K74" s="52" t="str">
        <f>VLOOKUP(Database[[#This Row],[รหัสหน่วยงาน]],Center[],2,FALSE)</f>
        <v>สำนักงานใหญ่</v>
      </c>
      <c r="L74" s="52">
        <v>1</v>
      </c>
    </row>
    <row r="75" spans="1:12">
      <c r="A75" s="49">
        <v>4</v>
      </c>
      <c r="B75" s="109">
        <v>244026</v>
      </c>
      <c r="C75" s="51" t="s">
        <v>48</v>
      </c>
      <c r="D75" s="55" t="s">
        <v>161</v>
      </c>
      <c r="E75" s="52">
        <v>101002</v>
      </c>
      <c r="F75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75" s="53">
        <v>1980</v>
      </c>
      <c r="I75" s="52" t="str">
        <f>VLOOKUP(Database[[#This Row],[เลขที่บัญชี]],COA[],3,FALSE)</f>
        <v>1</v>
      </c>
      <c r="J75" s="52" t="s">
        <v>129</v>
      </c>
      <c r="K75" s="52" t="str">
        <f>VLOOKUP(Database[[#This Row],[รหัสหน่วยงาน]],Center[],2,FALSE)</f>
        <v>สำนักงานใหญ่</v>
      </c>
      <c r="L75" s="52">
        <v>1</v>
      </c>
    </row>
    <row r="76" spans="1:12">
      <c r="A76" s="49">
        <v>4</v>
      </c>
      <c r="B76" s="109">
        <v>244026</v>
      </c>
      <c r="C76" s="51" t="s">
        <v>48</v>
      </c>
      <c r="D76" s="55" t="s">
        <v>161</v>
      </c>
      <c r="E76" s="52">
        <v>101001</v>
      </c>
      <c r="F76" s="49" t="str">
        <f>VLOOKUP(Database[[#This Row],[เลขที่บัญชี]],COA[],2,FALSE)</f>
        <v>เงินสด</v>
      </c>
      <c r="H76" s="53">
        <v>1980</v>
      </c>
      <c r="I76" s="52" t="str">
        <f>VLOOKUP(Database[[#This Row],[เลขที่บัญชี]],COA[],3,FALSE)</f>
        <v>1</v>
      </c>
      <c r="J76" s="52" t="s">
        <v>129</v>
      </c>
      <c r="K76" s="52" t="str">
        <f>VLOOKUP(Database[[#This Row],[รหัสหน่วยงาน]],Center[],2,FALSE)</f>
        <v>สำนักงานใหญ่</v>
      </c>
      <c r="L76" s="52">
        <v>1</v>
      </c>
    </row>
    <row r="77" spans="1:12">
      <c r="A77" s="49">
        <v>4</v>
      </c>
      <c r="B77" s="109">
        <v>244026</v>
      </c>
      <c r="C77" s="51" t="s">
        <v>48</v>
      </c>
      <c r="D77" s="55" t="s">
        <v>161</v>
      </c>
      <c r="E77" s="52">
        <v>101001</v>
      </c>
      <c r="F77" s="49" t="str">
        <f>VLOOKUP(Database[[#This Row],[เลขที่บัญชี]],COA[],2,FALSE)</f>
        <v>เงินสด</v>
      </c>
      <c r="G77" s="53">
        <v>4600</v>
      </c>
      <c r="I77" s="52" t="str">
        <f>VLOOKUP(Database[[#This Row],[เลขที่บัญชี]],COA[],3,FALSE)</f>
        <v>1</v>
      </c>
      <c r="J77" s="52" t="s">
        <v>129</v>
      </c>
      <c r="K77" s="52" t="str">
        <f>VLOOKUP(Database[[#This Row],[รหัสหน่วยงาน]],Center[],2,FALSE)</f>
        <v>สำนักงานใหญ่</v>
      </c>
      <c r="L77" s="52">
        <v>1</v>
      </c>
    </row>
    <row r="78" spans="1:12">
      <c r="A78" s="49">
        <v>4</v>
      </c>
      <c r="B78" s="109">
        <v>244026</v>
      </c>
      <c r="C78" s="51" t="s">
        <v>48</v>
      </c>
      <c r="D78" s="55" t="s">
        <v>161</v>
      </c>
      <c r="E78" s="52">
        <v>401013</v>
      </c>
      <c r="F78" s="49" t="str">
        <f>VLOOKUP(Database[[#This Row],[เลขที่บัญชี]],COA[],2,FALSE)</f>
        <v>รายได้ค่าเช่ารถกอล์ฟ 45%</v>
      </c>
      <c r="H78" s="53">
        <v>2070</v>
      </c>
      <c r="I78" s="52" t="str">
        <f>VLOOKUP(Database[[#This Row],[เลขที่บัญชี]],COA[],3,FALSE)</f>
        <v>4</v>
      </c>
      <c r="J78" s="52" t="s">
        <v>129</v>
      </c>
      <c r="K78" s="52" t="str">
        <f>VLOOKUP(Database[[#This Row],[รหัสหน่วยงาน]],Center[],2,FALSE)</f>
        <v>สำนักงานใหญ่</v>
      </c>
      <c r="L78" s="52">
        <v>1</v>
      </c>
    </row>
    <row r="79" spans="1:12">
      <c r="A79" s="49">
        <v>4</v>
      </c>
      <c r="B79" s="109">
        <v>244026</v>
      </c>
      <c r="C79" s="51" t="s">
        <v>48</v>
      </c>
      <c r="D79" s="55" t="s">
        <v>161</v>
      </c>
      <c r="E79" s="52">
        <v>201004</v>
      </c>
      <c r="F79" s="49" t="str">
        <f>VLOOKUP(Database[[#This Row],[เลขที่บัญชี]],COA[],2,FALSE)</f>
        <v>เงินรับฝาก-ค่าเช่ารถกอล์ฟ 55%</v>
      </c>
      <c r="H79" s="53">
        <v>2530</v>
      </c>
      <c r="I79" s="52" t="str">
        <f>VLOOKUP(Database[[#This Row],[เลขที่บัญชี]],COA[],3,FALSE)</f>
        <v>2</v>
      </c>
      <c r="J79" s="52" t="s">
        <v>129</v>
      </c>
      <c r="K79" s="52" t="str">
        <f>VLOOKUP(Database[[#This Row],[รหัสหน่วยงาน]],Center[],2,FALSE)</f>
        <v>สำนักงานใหญ่</v>
      </c>
      <c r="L79" s="52">
        <v>1</v>
      </c>
    </row>
    <row r="80" spans="1:12">
      <c r="A80" s="49">
        <v>4</v>
      </c>
      <c r="B80" s="109">
        <v>244026</v>
      </c>
      <c r="C80" s="51" t="s">
        <v>48</v>
      </c>
      <c r="D80" s="55" t="s">
        <v>161</v>
      </c>
      <c r="E80" s="52">
        <v>101002</v>
      </c>
      <c r="F80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80" s="53">
        <v>4600</v>
      </c>
      <c r="I80" s="52" t="str">
        <f>VLOOKUP(Database[[#This Row],[เลขที่บัญชี]],COA[],3,FALSE)</f>
        <v>1</v>
      </c>
      <c r="J80" s="52" t="s">
        <v>129</v>
      </c>
      <c r="K80" s="52" t="str">
        <f>VLOOKUP(Database[[#This Row],[รหัสหน่วยงาน]],Center[],2,FALSE)</f>
        <v>สำนักงานใหญ่</v>
      </c>
      <c r="L80" s="52">
        <v>1</v>
      </c>
    </row>
    <row r="81" spans="1:12">
      <c r="A81" s="49">
        <v>4</v>
      </c>
      <c r="B81" s="109">
        <v>244026</v>
      </c>
      <c r="C81" s="51" t="s">
        <v>48</v>
      </c>
      <c r="D81" s="55" t="s">
        <v>161</v>
      </c>
      <c r="E81" s="52">
        <v>101001</v>
      </c>
      <c r="F81" s="49" t="str">
        <f>VLOOKUP(Database[[#This Row],[เลขที่บัญชี]],COA[],2,FALSE)</f>
        <v>เงินสด</v>
      </c>
      <c r="H81" s="53">
        <v>4600</v>
      </c>
      <c r="I81" s="52" t="str">
        <f>VLOOKUP(Database[[#This Row],[เลขที่บัญชี]],COA[],3,FALSE)</f>
        <v>1</v>
      </c>
      <c r="J81" s="52" t="s">
        <v>129</v>
      </c>
      <c r="K81" s="52" t="str">
        <f>VLOOKUP(Database[[#This Row],[รหัสหน่วยงาน]],Center[],2,FALSE)</f>
        <v>สำนักงานใหญ่</v>
      </c>
      <c r="L81" s="52">
        <v>1</v>
      </c>
    </row>
    <row r="82" spans="1:12">
      <c r="A82" s="49">
        <v>4</v>
      </c>
      <c r="B82" s="109">
        <v>244026</v>
      </c>
      <c r="C82" s="51" t="s">
        <v>48</v>
      </c>
      <c r="D82" s="55" t="s">
        <v>161</v>
      </c>
      <c r="E82" s="52">
        <v>101001</v>
      </c>
      <c r="F82" s="49" t="str">
        <f>VLOOKUP(Database[[#This Row],[เลขที่บัญชี]],COA[],2,FALSE)</f>
        <v>เงินสด</v>
      </c>
      <c r="G82" s="53">
        <v>400</v>
      </c>
      <c r="I82" s="52" t="str">
        <f>VLOOKUP(Database[[#This Row],[เลขที่บัญชี]],COA[],3,FALSE)</f>
        <v>1</v>
      </c>
      <c r="J82" s="52" t="s">
        <v>129</v>
      </c>
      <c r="K82" s="52" t="str">
        <f>VLOOKUP(Database[[#This Row],[รหัสหน่วยงาน]],Center[],2,FALSE)</f>
        <v>สำนักงานใหญ่</v>
      </c>
      <c r="L82" s="52">
        <v>1</v>
      </c>
    </row>
    <row r="83" spans="1:12">
      <c r="A83" s="49">
        <v>4</v>
      </c>
      <c r="B83" s="109">
        <v>244026</v>
      </c>
      <c r="C83" s="51" t="s">
        <v>48</v>
      </c>
      <c r="D83" s="55" t="s">
        <v>161</v>
      </c>
      <c r="E83" s="52">
        <v>201002</v>
      </c>
      <c r="F83" s="49" t="str">
        <f>VLOOKUP(Database[[#This Row],[เลขที่บัญชี]],COA[],2,FALSE)</f>
        <v>เงินรับฝาก-สนามไดร์ฟ</v>
      </c>
      <c r="H83" s="53">
        <v>400</v>
      </c>
      <c r="I83" s="52" t="str">
        <f>VLOOKUP(Database[[#This Row],[เลขที่บัญชี]],COA[],3,FALSE)</f>
        <v>2</v>
      </c>
      <c r="J83" s="52" t="s">
        <v>129</v>
      </c>
      <c r="K83" s="52" t="str">
        <f>VLOOKUP(Database[[#This Row],[รหัสหน่วยงาน]],Center[],2,FALSE)</f>
        <v>สำนักงานใหญ่</v>
      </c>
      <c r="L83" s="52">
        <v>1</v>
      </c>
    </row>
    <row r="84" spans="1:12">
      <c r="A84" s="49">
        <v>4</v>
      </c>
      <c r="B84" s="109">
        <v>244026</v>
      </c>
      <c r="C84" s="51" t="s">
        <v>48</v>
      </c>
      <c r="D84" s="55" t="s">
        <v>161</v>
      </c>
      <c r="E84" s="52">
        <v>101002</v>
      </c>
      <c r="F84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84" s="53">
        <v>400</v>
      </c>
      <c r="I84" s="52" t="str">
        <f>VLOOKUP(Database[[#This Row],[เลขที่บัญชี]],COA[],3,FALSE)</f>
        <v>1</v>
      </c>
      <c r="J84" s="52" t="s">
        <v>129</v>
      </c>
      <c r="K84" s="52" t="str">
        <f>VLOOKUP(Database[[#This Row],[รหัสหน่วยงาน]],Center[],2,FALSE)</f>
        <v>สำนักงานใหญ่</v>
      </c>
      <c r="L84" s="52">
        <v>1</v>
      </c>
    </row>
    <row r="85" spans="1:12">
      <c r="A85" s="49">
        <v>4</v>
      </c>
      <c r="B85" s="109">
        <v>244026</v>
      </c>
      <c r="C85" s="51" t="s">
        <v>48</v>
      </c>
      <c r="D85" s="55" t="s">
        <v>161</v>
      </c>
      <c r="E85" s="52">
        <v>101001</v>
      </c>
      <c r="F85" s="49" t="str">
        <f>VLOOKUP(Database[[#This Row],[เลขที่บัญชี]],COA[],2,FALSE)</f>
        <v>เงินสด</v>
      </c>
      <c r="H85" s="53">
        <v>400</v>
      </c>
      <c r="I85" s="52" t="str">
        <f>VLOOKUP(Database[[#This Row],[เลขที่บัญชี]],COA[],3,FALSE)</f>
        <v>1</v>
      </c>
      <c r="J85" s="52" t="s">
        <v>129</v>
      </c>
      <c r="K85" s="52" t="str">
        <f>VLOOKUP(Database[[#This Row],[รหัสหน่วยงาน]],Center[],2,FALSE)</f>
        <v>สำนักงานใหญ่</v>
      </c>
      <c r="L85" s="52">
        <v>1</v>
      </c>
    </row>
    <row r="86" spans="1:12">
      <c r="A86" s="49">
        <v>5</v>
      </c>
      <c r="B86" s="109">
        <v>244055</v>
      </c>
      <c r="C86" s="51" t="s">
        <v>48</v>
      </c>
      <c r="D86" s="55" t="s">
        <v>161</v>
      </c>
      <c r="E86" s="52">
        <v>101001</v>
      </c>
      <c r="F86" s="49" t="str">
        <f>VLOOKUP(Database[[#This Row],[เลขที่บัญชี]],COA[],2,FALSE)</f>
        <v>เงินสด</v>
      </c>
      <c r="G86" s="53">
        <v>1200</v>
      </c>
      <c r="I86" s="52" t="str">
        <f>VLOOKUP(Database[[#This Row],[เลขที่บัญชี]],COA[],3,FALSE)</f>
        <v>1</v>
      </c>
      <c r="J86" s="52" t="s">
        <v>129</v>
      </c>
      <c r="K86" s="52" t="str">
        <f>VLOOKUP(Database[[#This Row],[รหัสหน่วยงาน]],Center[],2,FALSE)</f>
        <v>สำนักงานใหญ่</v>
      </c>
      <c r="L86" s="52">
        <v>1</v>
      </c>
    </row>
    <row r="87" spans="1:12">
      <c r="A87" s="49">
        <v>5</v>
      </c>
      <c r="B87" s="109">
        <v>244055</v>
      </c>
      <c r="C87" s="51" t="s">
        <v>48</v>
      </c>
      <c r="D87" s="55" t="s">
        <v>161</v>
      </c>
      <c r="E87" s="52">
        <v>401003</v>
      </c>
      <c r="F87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87" s="53">
        <v>1200</v>
      </c>
      <c r="I87" s="52" t="str">
        <f>VLOOKUP(Database[[#This Row],[เลขที่บัญชี]],COA[],3,FALSE)</f>
        <v>4</v>
      </c>
      <c r="J87" s="52" t="s">
        <v>129</v>
      </c>
      <c r="K87" s="52" t="str">
        <f>VLOOKUP(Database[[#This Row],[รหัสหน่วยงาน]],Center[],2,FALSE)</f>
        <v>สำนักงานใหญ่</v>
      </c>
      <c r="L87" s="52">
        <v>1</v>
      </c>
    </row>
    <row r="88" spans="1:12">
      <c r="A88" s="49">
        <v>5</v>
      </c>
      <c r="B88" s="109">
        <v>244055</v>
      </c>
      <c r="C88" s="51" t="s">
        <v>48</v>
      </c>
      <c r="D88" s="55" t="s">
        <v>161</v>
      </c>
      <c r="E88" s="52">
        <v>101001</v>
      </c>
      <c r="F88" s="49" t="str">
        <f>VLOOKUP(Database[[#This Row],[เลขที่บัญชี]],COA[],2,FALSE)</f>
        <v>เงินสด</v>
      </c>
      <c r="G88" s="53">
        <v>70</v>
      </c>
      <c r="I88" s="52" t="str">
        <f>VLOOKUP(Database[[#This Row],[เลขที่บัญชี]],COA[],3,FALSE)</f>
        <v>1</v>
      </c>
      <c r="J88" s="52" t="s">
        <v>129</v>
      </c>
      <c r="K88" s="52" t="str">
        <f>VLOOKUP(Database[[#This Row],[รหัสหน่วยงาน]],Center[],2,FALSE)</f>
        <v>สำนักงานใหญ่</v>
      </c>
      <c r="L88" s="52">
        <v>1</v>
      </c>
    </row>
    <row r="89" spans="1:12">
      <c r="A89" s="49">
        <v>5</v>
      </c>
      <c r="B89" s="109">
        <v>244055</v>
      </c>
      <c r="C89" s="51" t="s">
        <v>48</v>
      </c>
      <c r="D89" s="55" t="s">
        <v>161</v>
      </c>
      <c r="E89" s="52">
        <v>401012</v>
      </c>
      <c r="F89" s="49" t="str">
        <f>VLOOKUP(Database[[#This Row],[เลขที่บัญชี]],COA[],2,FALSE)</f>
        <v>รายได้ค่าแคดดี้</v>
      </c>
      <c r="H89" s="53">
        <v>70</v>
      </c>
      <c r="I89" s="52" t="str">
        <f>VLOOKUP(Database[[#This Row],[เลขที่บัญชี]],COA[],3,FALSE)</f>
        <v>4</v>
      </c>
      <c r="J89" s="52" t="s">
        <v>129</v>
      </c>
      <c r="K89" s="52" t="str">
        <f>VLOOKUP(Database[[#This Row],[รหัสหน่วยงาน]],Center[],2,FALSE)</f>
        <v>สำนักงานใหญ่</v>
      </c>
      <c r="L89" s="52">
        <v>1</v>
      </c>
    </row>
    <row r="90" spans="1:12">
      <c r="A90" s="49">
        <v>5</v>
      </c>
      <c r="B90" s="109">
        <v>244055</v>
      </c>
      <c r="C90" s="51" t="s">
        <v>48</v>
      </c>
      <c r="D90" s="55" t="s">
        <v>161</v>
      </c>
      <c r="E90" s="52">
        <v>101002</v>
      </c>
      <c r="F90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90" s="53">
        <v>1270</v>
      </c>
      <c r="I90" s="52" t="str">
        <f>VLOOKUP(Database[[#This Row],[เลขที่บัญชี]],COA[],3,FALSE)</f>
        <v>1</v>
      </c>
      <c r="J90" s="52" t="s">
        <v>129</v>
      </c>
      <c r="K90" s="52" t="str">
        <f>VLOOKUP(Database[[#This Row],[รหัสหน่วยงาน]],Center[],2,FALSE)</f>
        <v>สำนักงานใหญ่</v>
      </c>
      <c r="L90" s="52">
        <v>1</v>
      </c>
    </row>
    <row r="91" spans="1:12">
      <c r="A91" s="49">
        <v>5</v>
      </c>
      <c r="B91" s="109">
        <v>244055</v>
      </c>
      <c r="C91" s="51" t="s">
        <v>48</v>
      </c>
      <c r="D91" s="55" t="s">
        <v>161</v>
      </c>
      <c r="E91" s="52">
        <v>101001</v>
      </c>
      <c r="F91" s="49" t="str">
        <f>VLOOKUP(Database[[#This Row],[เลขที่บัญชี]],COA[],2,FALSE)</f>
        <v>เงินสด</v>
      </c>
      <c r="H91" s="53">
        <v>1270</v>
      </c>
      <c r="I91" s="52" t="str">
        <f>VLOOKUP(Database[[#This Row],[เลขที่บัญชี]],COA[],3,FALSE)</f>
        <v>1</v>
      </c>
      <c r="J91" s="52" t="s">
        <v>129</v>
      </c>
      <c r="K91" s="52" t="str">
        <f>VLOOKUP(Database[[#This Row],[รหัสหน่วยงาน]],Center[],2,FALSE)</f>
        <v>สำนักงานใหญ่</v>
      </c>
      <c r="L91" s="52">
        <v>1</v>
      </c>
    </row>
    <row r="92" spans="1:12">
      <c r="A92" s="49">
        <v>5</v>
      </c>
      <c r="B92" s="109">
        <v>244055</v>
      </c>
      <c r="C92" s="51" t="s">
        <v>48</v>
      </c>
      <c r="D92" s="55" t="s">
        <v>161</v>
      </c>
      <c r="E92" s="52">
        <v>101001</v>
      </c>
      <c r="F92" s="49" t="str">
        <f>VLOOKUP(Database[[#This Row],[เลขที่บัญชี]],COA[],2,FALSE)</f>
        <v>เงินสด</v>
      </c>
      <c r="G92" s="53">
        <v>2100</v>
      </c>
      <c r="I92" s="52" t="str">
        <f>VLOOKUP(Database[[#This Row],[เลขที่บัญชี]],COA[],3,FALSE)</f>
        <v>1</v>
      </c>
      <c r="J92" s="52" t="s">
        <v>129</v>
      </c>
      <c r="K92" s="52" t="str">
        <f>VLOOKUP(Database[[#This Row],[รหัสหน่วยงาน]],Center[],2,FALSE)</f>
        <v>สำนักงานใหญ่</v>
      </c>
      <c r="L92" s="52">
        <v>1</v>
      </c>
    </row>
    <row r="93" spans="1:12">
      <c r="A93" s="49">
        <v>5</v>
      </c>
      <c r="B93" s="109">
        <v>244055</v>
      </c>
      <c r="C93" s="51" t="s">
        <v>48</v>
      </c>
      <c r="D93" s="55" t="s">
        <v>161</v>
      </c>
      <c r="E93" s="52">
        <v>401003</v>
      </c>
      <c r="F93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93" s="53">
        <v>2100</v>
      </c>
      <c r="I93" s="52" t="str">
        <f>VLOOKUP(Database[[#This Row],[เลขที่บัญชี]],COA[],3,FALSE)</f>
        <v>4</v>
      </c>
      <c r="J93" s="52" t="s">
        <v>129</v>
      </c>
      <c r="K93" s="52" t="str">
        <f>VLOOKUP(Database[[#This Row],[รหัสหน่วยงาน]],Center[],2,FALSE)</f>
        <v>สำนักงานใหญ่</v>
      </c>
      <c r="L93" s="52">
        <v>1</v>
      </c>
    </row>
    <row r="94" spans="1:12">
      <c r="A94" s="49">
        <v>5</v>
      </c>
      <c r="B94" s="109">
        <v>244055</v>
      </c>
      <c r="C94" s="51" t="s">
        <v>48</v>
      </c>
      <c r="D94" s="55" t="s">
        <v>161</v>
      </c>
      <c r="E94" s="52">
        <v>101001</v>
      </c>
      <c r="F94" s="49" t="str">
        <f>VLOOKUP(Database[[#This Row],[เลขที่บัญชี]],COA[],2,FALSE)</f>
        <v>เงินสด</v>
      </c>
      <c r="G94" s="53">
        <v>360</v>
      </c>
      <c r="I94" s="52" t="str">
        <f>VLOOKUP(Database[[#This Row],[เลขที่บัญชี]],COA[],3,FALSE)</f>
        <v>1</v>
      </c>
      <c r="J94" s="52" t="s">
        <v>129</v>
      </c>
      <c r="K94" s="52" t="str">
        <f>VLOOKUP(Database[[#This Row],[รหัสหน่วยงาน]],Center[],2,FALSE)</f>
        <v>สำนักงานใหญ่</v>
      </c>
      <c r="L94" s="52">
        <v>1</v>
      </c>
    </row>
    <row r="95" spans="1:12">
      <c r="A95" s="49">
        <v>5</v>
      </c>
      <c r="B95" s="109">
        <v>244055</v>
      </c>
      <c r="C95" s="51" t="s">
        <v>48</v>
      </c>
      <c r="D95" s="55" t="s">
        <v>161</v>
      </c>
      <c r="E95" s="52">
        <v>401004</v>
      </c>
      <c r="F95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95" s="53">
        <v>360</v>
      </c>
      <c r="I95" s="52" t="str">
        <f>VLOOKUP(Database[[#This Row],[เลขที่บัญชี]],COA[],3,FALSE)</f>
        <v>4</v>
      </c>
      <c r="J95" s="52" t="s">
        <v>129</v>
      </c>
      <c r="K95" s="52" t="str">
        <f>VLOOKUP(Database[[#This Row],[รหัสหน่วยงาน]],Center[],2,FALSE)</f>
        <v>สำนักงานใหญ่</v>
      </c>
      <c r="L95" s="52">
        <v>1</v>
      </c>
    </row>
    <row r="96" spans="1:12">
      <c r="A96" s="49">
        <v>5</v>
      </c>
      <c r="B96" s="109">
        <v>244055</v>
      </c>
      <c r="C96" s="51" t="s">
        <v>48</v>
      </c>
      <c r="D96" s="55" t="s">
        <v>161</v>
      </c>
      <c r="E96" s="52">
        <v>101001</v>
      </c>
      <c r="F96" s="49" t="str">
        <f>VLOOKUP(Database[[#This Row],[เลขที่บัญชี]],COA[],2,FALSE)</f>
        <v>เงินสด</v>
      </c>
      <c r="G96" s="53">
        <v>50</v>
      </c>
      <c r="I96" s="52" t="str">
        <f>VLOOKUP(Database[[#This Row],[เลขที่บัญชี]],COA[],3,FALSE)</f>
        <v>1</v>
      </c>
      <c r="J96" s="52" t="s">
        <v>129</v>
      </c>
      <c r="K96" s="52" t="str">
        <f>VLOOKUP(Database[[#This Row],[รหัสหน่วยงาน]],Center[],2,FALSE)</f>
        <v>สำนักงานใหญ่</v>
      </c>
      <c r="L96" s="52">
        <v>1</v>
      </c>
    </row>
    <row r="97" spans="1:12">
      <c r="A97" s="49">
        <v>5</v>
      </c>
      <c r="B97" s="109">
        <v>244055</v>
      </c>
      <c r="C97" s="51" t="s">
        <v>48</v>
      </c>
      <c r="D97" s="55" t="s">
        <v>161</v>
      </c>
      <c r="E97" s="52">
        <v>401018</v>
      </c>
      <c r="F97" s="49" t="str">
        <f>VLOOKUP(Database[[#This Row],[เลขที่บัญชี]],COA[],2,FALSE)</f>
        <v>ค่าบริการสนามผู้ติดตาม</v>
      </c>
      <c r="H97" s="53">
        <v>50</v>
      </c>
      <c r="I97" s="52" t="str">
        <f>VLOOKUP(Database[[#This Row],[เลขที่บัญชี]],COA[],3,FALSE)</f>
        <v>4</v>
      </c>
      <c r="J97" s="52" t="s">
        <v>129</v>
      </c>
      <c r="K97" s="52" t="str">
        <f>VLOOKUP(Database[[#This Row],[รหัสหน่วยงาน]],Center[],2,FALSE)</f>
        <v>สำนักงานใหญ่</v>
      </c>
      <c r="L97" s="52">
        <v>1</v>
      </c>
    </row>
    <row r="98" spans="1:12">
      <c r="A98" s="49">
        <v>5</v>
      </c>
      <c r="B98" s="109">
        <v>244055</v>
      </c>
      <c r="C98" s="51" t="s">
        <v>48</v>
      </c>
      <c r="D98" s="55" t="s">
        <v>161</v>
      </c>
      <c r="E98" s="52">
        <v>101001</v>
      </c>
      <c r="F98" s="49" t="str">
        <f>VLOOKUP(Database[[#This Row],[เลขที่บัญชี]],COA[],2,FALSE)</f>
        <v>เงินสด</v>
      </c>
      <c r="G98" s="53">
        <v>270</v>
      </c>
      <c r="I98" s="52" t="str">
        <f>VLOOKUP(Database[[#This Row],[เลขที่บัญชี]],COA[],3,FALSE)</f>
        <v>1</v>
      </c>
      <c r="J98" s="52" t="s">
        <v>129</v>
      </c>
      <c r="K98" s="52" t="str">
        <f>VLOOKUP(Database[[#This Row],[รหัสหน่วยงาน]],Center[],2,FALSE)</f>
        <v>สำนักงานใหญ่</v>
      </c>
      <c r="L98" s="52">
        <v>1</v>
      </c>
    </row>
    <row r="99" spans="1:12">
      <c r="A99" s="49">
        <v>5</v>
      </c>
      <c r="B99" s="109">
        <v>244055</v>
      </c>
      <c r="C99" s="51" t="s">
        <v>48</v>
      </c>
      <c r="D99" s="55" t="s">
        <v>161</v>
      </c>
      <c r="E99" s="52">
        <v>401012</v>
      </c>
      <c r="F99" s="49" t="str">
        <f>VLOOKUP(Database[[#This Row],[เลขที่บัญชี]],COA[],2,FALSE)</f>
        <v>รายได้ค่าแคดดี้</v>
      </c>
      <c r="H99" s="53">
        <v>270</v>
      </c>
      <c r="I99" s="52" t="str">
        <f>VLOOKUP(Database[[#This Row],[เลขที่บัญชี]],COA[],3,FALSE)</f>
        <v>4</v>
      </c>
      <c r="J99" s="52" t="s">
        <v>129</v>
      </c>
      <c r="K99" s="52" t="str">
        <f>VLOOKUP(Database[[#This Row],[รหัสหน่วยงาน]],Center[],2,FALSE)</f>
        <v>สำนักงานใหญ่</v>
      </c>
      <c r="L99" s="52">
        <v>1</v>
      </c>
    </row>
    <row r="100" spans="1:12">
      <c r="A100" s="49">
        <v>5</v>
      </c>
      <c r="B100" s="109">
        <v>244055</v>
      </c>
      <c r="C100" s="51" t="s">
        <v>48</v>
      </c>
      <c r="D100" s="55" t="s">
        <v>161</v>
      </c>
      <c r="E100" s="52">
        <v>101002</v>
      </c>
      <c r="F100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100" s="53">
        <v>2780</v>
      </c>
      <c r="I100" s="52" t="str">
        <f>VLOOKUP(Database[[#This Row],[เลขที่บัญชี]],COA[],3,FALSE)</f>
        <v>1</v>
      </c>
      <c r="J100" s="52" t="s">
        <v>129</v>
      </c>
      <c r="K100" s="52" t="str">
        <f>VLOOKUP(Database[[#This Row],[รหัสหน่วยงาน]],Center[],2,FALSE)</f>
        <v>สำนักงานใหญ่</v>
      </c>
      <c r="L100" s="52">
        <v>1</v>
      </c>
    </row>
    <row r="101" spans="1:12">
      <c r="A101" s="49">
        <v>5</v>
      </c>
      <c r="B101" s="109">
        <v>244055</v>
      </c>
      <c r="C101" s="51" t="s">
        <v>48</v>
      </c>
      <c r="D101" s="55" t="s">
        <v>161</v>
      </c>
      <c r="E101" s="52">
        <v>101001</v>
      </c>
      <c r="F101" s="49" t="str">
        <f>VLOOKUP(Database[[#This Row],[เลขที่บัญชี]],COA[],2,FALSE)</f>
        <v>เงินสด</v>
      </c>
      <c r="H101" s="53">
        <v>2780</v>
      </c>
      <c r="I101" s="52" t="str">
        <f>VLOOKUP(Database[[#This Row],[เลขที่บัญชี]],COA[],3,FALSE)</f>
        <v>1</v>
      </c>
      <c r="J101" s="52" t="s">
        <v>129</v>
      </c>
      <c r="K101" s="52" t="str">
        <f>VLOOKUP(Database[[#This Row],[รหัสหน่วยงาน]],Center[],2,FALSE)</f>
        <v>สำนักงานใหญ่</v>
      </c>
      <c r="L101" s="52">
        <v>1</v>
      </c>
    </row>
    <row r="102" spans="1:12">
      <c r="A102" s="49">
        <v>6</v>
      </c>
      <c r="B102" s="109">
        <v>244086</v>
      </c>
      <c r="C102" s="51" t="s">
        <v>48</v>
      </c>
      <c r="D102" s="55" t="s">
        <v>161</v>
      </c>
      <c r="E102" s="52">
        <v>101001</v>
      </c>
      <c r="F102" s="49" t="str">
        <f>VLOOKUP(Database[[#This Row],[เลขที่บัญชี]],COA[],2,FALSE)</f>
        <v>เงินสด</v>
      </c>
      <c r="G102" s="53">
        <v>1400</v>
      </c>
      <c r="I102" s="52" t="str">
        <f>VLOOKUP(Database[[#This Row],[เลขที่บัญชี]],COA[],3,FALSE)</f>
        <v>1</v>
      </c>
      <c r="J102" s="52" t="s">
        <v>129</v>
      </c>
      <c r="K102" s="52" t="str">
        <f>VLOOKUP(Database[[#This Row],[รหัสหน่วยงาน]],Center[],2,FALSE)</f>
        <v>สำนักงานใหญ่</v>
      </c>
      <c r="L102" s="52">
        <v>1</v>
      </c>
    </row>
    <row r="103" spans="1:12">
      <c r="A103" s="49">
        <v>6</v>
      </c>
      <c r="B103" s="109">
        <v>244086</v>
      </c>
      <c r="C103" s="51" t="s">
        <v>48</v>
      </c>
      <c r="D103" s="55" t="s">
        <v>161</v>
      </c>
      <c r="E103" s="52">
        <v>401003</v>
      </c>
      <c r="F103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103" s="53">
        <v>1400</v>
      </c>
      <c r="I103" s="52" t="str">
        <f>VLOOKUP(Database[[#This Row],[เลขที่บัญชี]],COA[],3,FALSE)</f>
        <v>4</v>
      </c>
      <c r="J103" s="52" t="s">
        <v>129</v>
      </c>
      <c r="K103" s="52" t="str">
        <f>VLOOKUP(Database[[#This Row],[รหัสหน่วยงาน]],Center[],2,FALSE)</f>
        <v>สำนักงานใหญ่</v>
      </c>
      <c r="L103" s="52">
        <v>1</v>
      </c>
    </row>
    <row r="104" spans="1:12">
      <c r="A104" s="49">
        <v>6</v>
      </c>
      <c r="B104" s="109">
        <v>244086</v>
      </c>
      <c r="C104" s="51" t="s">
        <v>48</v>
      </c>
      <c r="D104" s="55" t="s">
        <v>161</v>
      </c>
      <c r="E104" s="52">
        <v>101001</v>
      </c>
      <c r="F104" s="49" t="str">
        <f>VLOOKUP(Database[[#This Row],[เลขที่บัญชี]],COA[],2,FALSE)</f>
        <v>เงินสด</v>
      </c>
      <c r="G104" s="53">
        <v>110</v>
      </c>
      <c r="I104" s="52" t="str">
        <f>VLOOKUP(Database[[#This Row],[เลขที่บัญชี]],COA[],3,FALSE)</f>
        <v>1</v>
      </c>
      <c r="J104" s="52" t="s">
        <v>129</v>
      </c>
      <c r="K104" s="52" t="str">
        <f>VLOOKUP(Database[[#This Row],[รหัสหน่วยงาน]],Center[],2,FALSE)</f>
        <v>สำนักงานใหญ่</v>
      </c>
      <c r="L104" s="52">
        <v>1</v>
      </c>
    </row>
    <row r="105" spans="1:12">
      <c r="A105" s="49">
        <v>6</v>
      </c>
      <c r="B105" s="109">
        <v>244086</v>
      </c>
      <c r="C105" s="51" t="s">
        <v>48</v>
      </c>
      <c r="D105" s="55" t="s">
        <v>161</v>
      </c>
      <c r="E105" s="52">
        <v>401012</v>
      </c>
      <c r="F105" s="49" t="str">
        <f>VLOOKUP(Database[[#This Row],[เลขที่บัญชี]],COA[],2,FALSE)</f>
        <v>รายได้ค่าแคดดี้</v>
      </c>
      <c r="H105" s="53">
        <v>110</v>
      </c>
      <c r="I105" s="52" t="str">
        <f>VLOOKUP(Database[[#This Row],[เลขที่บัญชี]],COA[],3,FALSE)</f>
        <v>4</v>
      </c>
      <c r="J105" s="52" t="s">
        <v>129</v>
      </c>
      <c r="K105" s="52" t="str">
        <f>VLOOKUP(Database[[#This Row],[รหัสหน่วยงาน]],Center[],2,FALSE)</f>
        <v>สำนักงานใหญ่</v>
      </c>
      <c r="L105" s="52">
        <v>1</v>
      </c>
    </row>
    <row r="106" spans="1:12">
      <c r="A106" s="49">
        <v>6</v>
      </c>
      <c r="B106" s="109">
        <v>244086</v>
      </c>
      <c r="C106" s="51" t="s">
        <v>48</v>
      </c>
      <c r="D106" s="55" t="s">
        <v>161</v>
      </c>
      <c r="E106" s="52">
        <v>101002</v>
      </c>
      <c r="F106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106" s="53">
        <v>1510</v>
      </c>
      <c r="I106" s="52" t="str">
        <f>VLOOKUP(Database[[#This Row],[เลขที่บัญชี]],COA[],3,FALSE)</f>
        <v>1</v>
      </c>
      <c r="J106" s="52" t="s">
        <v>129</v>
      </c>
      <c r="K106" s="52" t="str">
        <f>VLOOKUP(Database[[#This Row],[รหัสหน่วยงาน]],Center[],2,FALSE)</f>
        <v>สำนักงานใหญ่</v>
      </c>
      <c r="L106" s="52">
        <v>1</v>
      </c>
    </row>
    <row r="107" spans="1:12">
      <c r="A107" s="49">
        <v>6</v>
      </c>
      <c r="B107" s="109">
        <v>244086</v>
      </c>
      <c r="C107" s="51" t="s">
        <v>48</v>
      </c>
      <c r="D107" s="55" t="s">
        <v>161</v>
      </c>
      <c r="E107" s="52">
        <v>101001</v>
      </c>
      <c r="F107" s="49" t="str">
        <f>VLOOKUP(Database[[#This Row],[เลขที่บัญชี]],COA[],2,FALSE)</f>
        <v>เงินสด</v>
      </c>
      <c r="H107" s="53">
        <v>1510</v>
      </c>
      <c r="I107" s="52" t="str">
        <f>VLOOKUP(Database[[#This Row],[เลขที่บัญชี]],COA[],3,FALSE)</f>
        <v>1</v>
      </c>
      <c r="J107" s="52" t="s">
        <v>129</v>
      </c>
      <c r="K107" s="52" t="str">
        <f>VLOOKUP(Database[[#This Row],[รหัสหน่วยงาน]],Center[],2,FALSE)</f>
        <v>สำนักงานใหญ่</v>
      </c>
      <c r="L107" s="52">
        <v>1</v>
      </c>
    </row>
    <row r="108" spans="1:12">
      <c r="A108" s="49">
        <v>6</v>
      </c>
      <c r="B108" s="109">
        <v>244086</v>
      </c>
      <c r="C108" s="51" t="s">
        <v>48</v>
      </c>
      <c r="D108" s="55" t="s">
        <v>161</v>
      </c>
      <c r="E108" s="52">
        <v>101001</v>
      </c>
      <c r="F108" s="49" t="str">
        <f>VLOOKUP(Database[[#This Row],[เลขที่บัญชี]],COA[],2,FALSE)</f>
        <v>เงินสด</v>
      </c>
      <c r="G108" s="53">
        <v>900</v>
      </c>
      <c r="I108" s="52" t="str">
        <f>VLOOKUP(Database[[#This Row],[เลขที่บัญชี]],COA[],3,FALSE)</f>
        <v>1</v>
      </c>
      <c r="J108" s="52" t="s">
        <v>129</v>
      </c>
      <c r="K108" s="52" t="str">
        <f>VLOOKUP(Database[[#This Row],[รหัสหน่วยงาน]],Center[],2,FALSE)</f>
        <v>สำนักงานใหญ่</v>
      </c>
      <c r="L108" s="52">
        <v>1</v>
      </c>
    </row>
    <row r="109" spans="1:12">
      <c r="A109" s="49">
        <v>6</v>
      </c>
      <c r="B109" s="109">
        <v>244086</v>
      </c>
      <c r="C109" s="51" t="s">
        <v>48</v>
      </c>
      <c r="D109" s="55" t="s">
        <v>161</v>
      </c>
      <c r="E109" s="52">
        <v>401003</v>
      </c>
      <c r="F109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109" s="53">
        <v>900</v>
      </c>
      <c r="I109" s="52" t="str">
        <f>VLOOKUP(Database[[#This Row],[เลขที่บัญชี]],COA[],3,FALSE)</f>
        <v>4</v>
      </c>
      <c r="J109" s="52" t="s">
        <v>129</v>
      </c>
      <c r="K109" s="52" t="str">
        <f>VLOOKUP(Database[[#This Row],[รหัสหน่วยงาน]],Center[],2,FALSE)</f>
        <v>สำนักงานใหญ่</v>
      </c>
      <c r="L109" s="52">
        <v>1</v>
      </c>
    </row>
    <row r="110" spans="1:12">
      <c r="A110" s="49">
        <v>6</v>
      </c>
      <c r="B110" s="109">
        <v>244086</v>
      </c>
      <c r="C110" s="51" t="s">
        <v>48</v>
      </c>
      <c r="D110" s="55" t="s">
        <v>161</v>
      </c>
      <c r="E110" s="52">
        <v>101001</v>
      </c>
      <c r="F110" s="49" t="str">
        <f>VLOOKUP(Database[[#This Row],[เลขที่บัญชี]],COA[],2,FALSE)</f>
        <v>เงินสด</v>
      </c>
      <c r="G110" s="53">
        <v>180</v>
      </c>
      <c r="I110" s="52" t="str">
        <f>VLOOKUP(Database[[#This Row],[เลขที่บัญชี]],COA[],3,FALSE)</f>
        <v>1</v>
      </c>
      <c r="J110" s="52" t="s">
        <v>129</v>
      </c>
      <c r="K110" s="52" t="str">
        <f>VLOOKUP(Database[[#This Row],[รหัสหน่วยงาน]],Center[],2,FALSE)</f>
        <v>สำนักงานใหญ่</v>
      </c>
      <c r="L110" s="52">
        <v>1</v>
      </c>
    </row>
    <row r="111" spans="1:12">
      <c r="A111" s="49">
        <v>6</v>
      </c>
      <c r="B111" s="109">
        <v>244086</v>
      </c>
      <c r="C111" s="51" t="s">
        <v>48</v>
      </c>
      <c r="D111" s="55" t="s">
        <v>161</v>
      </c>
      <c r="E111" s="52">
        <v>401004</v>
      </c>
      <c r="F111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111" s="53">
        <v>180</v>
      </c>
      <c r="I111" s="52" t="str">
        <f>VLOOKUP(Database[[#This Row],[เลขที่บัญชี]],COA[],3,FALSE)</f>
        <v>4</v>
      </c>
      <c r="J111" s="52" t="s">
        <v>129</v>
      </c>
      <c r="K111" s="52" t="str">
        <f>VLOOKUP(Database[[#This Row],[รหัสหน่วยงาน]],Center[],2,FALSE)</f>
        <v>สำนักงานใหญ่</v>
      </c>
      <c r="L111" s="52">
        <v>1</v>
      </c>
    </row>
    <row r="112" spans="1:12">
      <c r="A112" s="49">
        <v>6</v>
      </c>
      <c r="B112" s="109">
        <v>244086</v>
      </c>
      <c r="C112" s="51" t="s">
        <v>48</v>
      </c>
      <c r="D112" s="55" t="s">
        <v>161</v>
      </c>
      <c r="E112" s="52">
        <v>101001</v>
      </c>
      <c r="F112" s="49" t="str">
        <f>VLOOKUP(Database[[#This Row],[เลขที่บัญชี]],COA[],2,FALSE)</f>
        <v>เงินสด</v>
      </c>
      <c r="G112" s="53">
        <v>200</v>
      </c>
      <c r="I112" s="52" t="str">
        <f>VLOOKUP(Database[[#This Row],[เลขที่บัญชี]],COA[],3,FALSE)</f>
        <v>1</v>
      </c>
      <c r="J112" s="52" t="s">
        <v>129</v>
      </c>
      <c r="K112" s="52" t="str">
        <f>VLOOKUP(Database[[#This Row],[รหัสหน่วยงาน]],Center[],2,FALSE)</f>
        <v>สำนักงานใหญ่</v>
      </c>
      <c r="L112" s="52">
        <v>1</v>
      </c>
    </row>
    <row r="113" spans="1:12">
      <c r="A113" s="49">
        <v>6</v>
      </c>
      <c r="B113" s="109">
        <v>244086</v>
      </c>
      <c r="C113" s="51" t="s">
        <v>48</v>
      </c>
      <c r="D113" s="55" t="s">
        <v>161</v>
      </c>
      <c r="E113" s="52">
        <v>401007</v>
      </c>
      <c r="F113" s="49" t="str">
        <f>VLOOKUP(Database[[#This Row],[เลขที่บัญชี]],COA[],2,FALSE)</f>
        <v>รายได้ค่าบริการสนามกอล์ฟ รหัส 07 (ค่าบริการสนาม-เพิ่มรอบที่ 3)</v>
      </c>
      <c r="H113" s="53">
        <v>200</v>
      </c>
      <c r="I113" s="52" t="str">
        <f>VLOOKUP(Database[[#This Row],[เลขที่บัญชี]],COA[],3,FALSE)</f>
        <v>4</v>
      </c>
      <c r="J113" s="52" t="s">
        <v>129</v>
      </c>
      <c r="K113" s="52" t="str">
        <f>VLOOKUP(Database[[#This Row],[รหัสหน่วยงาน]],Center[],2,FALSE)</f>
        <v>สำนักงานใหญ่</v>
      </c>
      <c r="L113" s="52">
        <v>1</v>
      </c>
    </row>
    <row r="114" spans="1:12">
      <c r="A114" s="49">
        <v>6</v>
      </c>
      <c r="B114" s="109">
        <v>244086</v>
      </c>
      <c r="C114" s="51" t="s">
        <v>48</v>
      </c>
      <c r="D114" s="55" t="s">
        <v>161</v>
      </c>
      <c r="E114" s="52">
        <v>101001</v>
      </c>
      <c r="F114" s="49" t="str">
        <f>VLOOKUP(Database[[#This Row],[เลขที่บัญชี]],COA[],2,FALSE)</f>
        <v>เงินสด</v>
      </c>
      <c r="G114" s="53">
        <v>190</v>
      </c>
      <c r="I114" s="52" t="str">
        <f>VLOOKUP(Database[[#This Row],[เลขที่บัญชี]],COA[],3,FALSE)</f>
        <v>1</v>
      </c>
      <c r="J114" s="52" t="s">
        <v>129</v>
      </c>
      <c r="K114" s="52" t="str">
        <f>VLOOKUP(Database[[#This Row],[รหัสหน่วยงาน]],Center[],2,FALSE)</f>
        <v>สำนักงานใหญ่</v>
      </c>
      <c r="L114" s="52">
        <v>1</v>
      </c>
    </row>
    <row r="115" spans="1:12">
      <c r="A115" s="49">
        <v>6</v>
      </c>
      <c r="B115" s="109">
        <v>244086</v>
      </c>
      <c r="C115" s="51" t="s">
        <v>48</v>
      </c>
      <c r="D115" s="55" t="s">
        <v>161</v>
      </c>
      <c r="E115" s="52">
        <v>401012</v>
      </c>
      <c r="F115" s="49" t="str">
        <f>VLOOKUP(Database[[#This Row],[เลขที่บัญชี]],COA[],2,FALSE)</f>
        <v>รายได้ค่าแคดดี้</v>
      </c>
      <c r="H115" s="53">
        <v>190</v>
      </c>
      <c r="I115" s="52" t="str">
        <f>VLOOKUP(Database[[#This Row],[เลขที่บัญชี]],COA[],3,FALSE)</f>
        <v>4</v>
      </c>
      <c r="J115" s="52" t="s">
        <v>129</v>
      </c>
      <c r="K115" s="52" t="str">
        <f>VLOOKUP(Database[[#This Row],[รหัสหน่วยงาน]],Center[],2,FALSE)</f>
        <v>สำนักงานใหญ่</v>
      </c>
      <c r="L115" s="52">
        <v>1</v>
      </c>
    </row>
    <row r="116" spans="1:12">
      <c r="A116" s="49">
        <v>6</v>
      </c>
      <c r="B116" s="109">
        <v>244086</v>
      </c>
      <c r="C116" s="51" t="s">
        <v>48</v>
      </c>
      <c r="D116" s="55" t="s">
        <v>161</v>
      </c>
      <c r="E116" s="52">
        <v>101002</v>
      </c>
      <c r="F116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116" s="53">
        <v>1470</v>
      </c>
      <c r="I116" s="52" t="str">
        <f>VLOOKUP(Database[[#This Row],[เลขที่บัญชี]],COA[],3,FALSE)</f>
        <v>1</v>
      </c>
      <c r="J116" s="52" t="s">
        <v>129</v>
      </c>
      <c r="K116" s="52" t="str">
        <f>VLOOKUP(Database[[#This Row],[รหัสหน่วยงาน]],Center[],2,FALSE)</f>
        <v>สำนักงานใหญ่</v>
      </c>
      <c r="L116" s="52">
        <v>1</v>
      </c>
    </row>
    <row r="117" spans="1:12">
      <c r="A117" s="49">
        <v>6</v>
      </c>
      <c r="B117" s="109">
        <v>244086</v>
      </c>
      <c r="C117" s="51" t="s">
        <v>48</v>
      </c>
      <c r="D117" s="55" t="s">
        <v>161</v>
      </c>
      <c r="E117" s="52">
        <v>101001</v>
      </c>
      <c r="F117" s="49" t="str">
        <f>VLOOKUP(Database[[#This Row],[เลขที่บัญชี]],COA[],2,FALSE)</f>
        <v>เงินสด</v>
      </c>
      <c r="H117" s="53">
        <v>1470</v>
      </c>
      <c r="I117" s="52" t="str">
        <f>VLOOKUP(Database[[#This Row],[เลขที่บัญชี]],COA[],3,FALSE)</f>
        <v>1</v>
      </c>
      <c r="J117" s="52" t="s">
        <v>129</v>
      </c>
      <c r="K117" s="52" t="str">
        <f>VLOOKUP(Database[[#This Row],[รหัสหน่วยงาน]],Center[],2,FALSE)</f>
        <v>สำนักงานใหญ่</v>
      </c>
      <c r="L117" s="52">
        <v>1</v>
      </c>
    </row>
    <row r="118" spans="1:12">
      <c r="A118" s="49">
        <v>7</v>
      </c>
      <c r="B118" s="109">
        <v>244116</v>
      </c>
      <c r="C118" s="51" t="s">
        <v>48</v>
      </c>
      <c r="D118" s="55" t="s">
        <v>161</v>
      </c>
      <c r="E118" s="52">
        <v>101001</v>
      </c>
      <c r="F118" s="49" t="str">
        <f>VLOOKUP(Database[[#This Row],[เลขที่บัญชี]],COA[],2,FALSE)</f>
        <v>เงินสด</v>
      </c>
      <c r="G118" s="53">
        <v>3300</v>
      </c>
      <c r="I118" s="52" t="str">
        <f>VLOOKUP(Database[[#This Row],[เลขที่บัญชี]],COA[],3,FALSE)</f>
        <v>1</v>
      </c>
      <c r="J118" s="52" t="s">
        <v>129</v>
      </c>
      <c r="K118" s="52" t="str">
        <f>VLOOKUP(Database[[#This Row],[รหัสหน่วยงาน]],Center[],2,FALSE)</f>
        <v>สำนักงานใหญ่</v>
      </c>
      <c r="L118" s="52">
        <v>1</v>
      </c>
    </row>
    <row r="119" spans="1:12">
      <c r="A119" s="49">
        <v>7</v>
      </c>
      <c r="B119" s="109">
        <v>244116</v>
      </c>
      <c r="C119" s="51" t="s">
        <v>48</v>
      </c>
      <c r="D119" s="55" t="s">
        <v>161</v>
      </c>
      <c r="E119" s="52">
        <v>401003</v>
      </c>
      <c r="F119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119" s="53">
        <v>3300</v>
      </c>
      <c r="I119" s="52" t="str">
        <f>VLOOKUP(Database[[#This Row],[เลขที่บัญชี]],COA[],3,FALSE)</f>
        <v>4</v>
      </c>
      <c r="J119" s="52" t="s">
        <v>129</v>
      </c>
      <c r="K119" s="52" t="str">
        <f>VLOOKUP(Database[[#This Row],[รหัสหน่วยงาน]],Center[],2,FALSE)</f>
        <v>สำนักงานใหญ่</v>
      </c>
      <c r="L119" s="52">
        <v>1</v>
      </c>
    </row>
    <row r="120" spans="1:12">
      <c r="A120" s="49">
        <v>7</v>
      </c>
      <c r="B120" s="109">
        <v>244116</v>
      </c>
      <c r="C120" s="51" t="s">
        <v>48</v>
      </c>
      <c r="D120" s="55" t="s">
        <v>161</v>
      </c>
      <c r="E120" s="52">
        <v>101001</v>
      </c>
      <c r="F120" s="49" t="str">
        <f>VLOOKUP(Database[[#This Row],[เลขที่บัญชี]],COA[],2,FALSE)</f>
        <v>เงินสด</v>
      </c>
      <c r="G120" s="53">
        <v>1200</v>
      </c>
      <c r="I120" s="52" t="str">
        <f>VLOOKUP(Database[[#This Row],[เลขที่บัญชี]],COA[],3,FALSE)</f>
        <v>1</v>
      </c>
      <c r="J120" s="52" t="s">
        <v>129</v>
      </c>
      <c r="K120" s="52" t="str">
        <f>VLOOKUP(Database[[#This Row],[รหัสหน่วยงาน]],Center[],2,FALSE)</f>
        <v>สำนักงานใหญ่</v>
      </c>
      <c r="L120" s="52">
        <v>1</v>
      </c>
    </row>
    <row r="121" spans="1:12">
      <c r="A121" s="49">
        <v>7</v>
      </c>
      <c r="B121" s="109">
        <v>244116</v>
      </c>
      <c r="C121" s="51" t="s">
        <v>48</v>
      </c>
      <c r="D121" s="55" t="s">
        <v>161</v>
      </c>
      <c r="E121" s="52">
        <v>401005</v>
      </c>
      <c r="F121" s="49" t="str">
        <f>VLOOKUP(Database[[#This Row],[เลขที่บัญชี]],COA[],2,FALSE)</f>
        <v>รายได้ค่าบริการสนามกอล์ฟ รหัส 05 (บุคคลทั่วไป-วันหยุดราชการ)</v>
      </c>
      <c r="H121" s="53">
        <v>1200</v>
      </c>
      <c r="I121" s="52" t="str">
        <f>VLOOKUP(Database[[#This Row],[เลขที่บัญชี]],COA[],3,FALSE)</f>
        <v>4</v>
      </c>
      <c r="J121" s="52" t="s">
        <v>129</v>
      </c>
      <c r="K121" s="52" t="str">
        <f>VLOOKUP(Database[[#This Row],[รหัสหน่วยงาน]],Center[],2,FALSE)</f>
        <v>สำนักงานใหญ่</v>
      </c>
      <c r="L121" s="52">
        <v>1</v>
      </c>
    </row>
    <row r="122" spans="1:12">
      <c r="A122" s="49">
        <v>7</v>
      </c>
      <c r="B122" s="109">
        <v>244116</v>
      </c>
      <c r="C122" s="51" t="s">
        <v>48</v>
      </c>
      <c r="D122" s="55" t="s">
        <v>161</v>
      </c>
      <c r="E122" s="52">
        <v>101001</v>
      </c>
      <c r="F122" s="49" t="str">
        <f>VLOOKUP(Database[[#This Row],[เลขที่บัญชี]],COA[],2,FALSE)</f>
        <v>เงินสด</v>
      </c>
      <c r="G122" s="53">
        <v>50</v>
      </c>
      <c r="I122" s="52" t="str">
        <f>VLOOKUP(Database[[#This Row],[เลขที่บัญชี]],COA[],3,FALSE)</f>
        <v>1</v>
      </c>
      <c r="J122" s="52" t="s">
        <v>129</v>
      </c>
      <c r="K122" s="52" t="str">
        <f>VLOOKUP(Database[[#This Row],[รหัสหน่วยงาน]],Center[],2,FALSE)</f>
        <v>สำนักงานใหญ่</v>
      </c>
      <c r="L122" s="52">
        <v>1</v>
      </c>
    </row>
    <row r="123" spans="1:12">
      <c r="A123" s="49">
        <v>7</v>
      </c>
      <c r="B123" s="109">
        <v>244116</v>
      </c>
      <c r="C123" s="51" t="s">
        <v>48</v>
      </c>
      <c r="D123" s="55" t="s">
        <v>161</v>
      </c>
      <c r="E123" s="52">
        <v>401007</v>
      </c>
      <c r="F123" s="49" t="str">
        <f>VLOOKUP(Database[[#This Row],[เลขที่บัญชี]],COA[],2,FALSE)</f>
        <v>รายได้ค่าบริการสนามกอล์ฟ รหัส 07 (ค่าบริการสนาม-เพิ่มรอบที่ 3)</v>
      </c>
      <c r="H123" s="53">
        <v>50</v>
      </c>
      <c r="I123" s="52" t="str">
        <f>VLOOKUP(Database[[#This Row],[เลขที่บัญชี]],COA[],3,FALSE)</f>
        <v>4</v>
      </c>
      <c r="J123" s="52" t="s">
        <v>129</v>
      </c>
      <c r="K123" s="52" t="str">
        <f>VLOOKUP(Database[[#This Row],[รหัสหน่วยงาน]],Center[],2,FALSE)</f>
        <v>สำนักงานใหญ่</v>
      </c>
      <c r="L123" s="52">
        <v>1</v>
      </c>
    </row>
    <row r="124" spans="1:12">
      <c r="A124" s="49">
        <v>7</v>
      </c>
      <c r="B124" s="109">
        <v>244116</v>
      </c>
      <c r="C124" s="51" t="s">
        <v>48</v>
      </c>
      <c r="D124" s="55" t="s">
        <v>161</v>
      </c>
      <c r="E124" s="52">
        <v>101001</v>
      </c>
      <c r="F124" s="49" t="str">
        <f>VLOOKUP(Database[[#This Row],[เลขที่บัญชี]],COA[],2,FALSE)</f>
        <v>เงินสด</v>
      </c>
      <c r="G124" s="53">
        <v>50</v>
      </c>
      <c r="I124" s="52" t="str">
        <f>VLOOKUP(Database[[#This Row],[เลขที่บัญชี]],COA[],3,FALSE)</f>
        <v>1</v>
      </c>
      <c r="J124" s="52" t="s">
        <v>129</v>
      </c>
      <c r="K124" s="52" t="str">
        <f>VLOOKUP(Database[[#This Row],[รหัสหน่วยงาน]],Center[],2,FALSE)</f>
        <v>สำนักงานใหญ่</v>
      </c>
      <c r="L124" s="52">
        <v>1</v>
      </c>
    </row>
    <row r="125" spans="1:12">
      <c r="A125" s="49">
        <v>7</v>
      </c>
      <c r="B125" s="109">
        <v>244116</v>
      </c>
      <c r="C125" s="51" t="s">
        <v>48</v>
      </c>
      <c r="D125" s="55" t="s">
        <v>161</v>
      </c>
      <c r="E125" s="52">
        <v>401018</v>
      </c>
      <c r="F125" s="49" t="str">
        <f>VLOOKUP(Database[[#This Row],[เลขที่บัญชี]],COA[],2,FALSE)</f>
        <v>ค่าบริการสนามผู้ติดตาม</v>
      </c>
      <c r="H125" s="53">
        <v>50</v>
      </c>
      <c r="I125" s="52" t="str">
        <f>VLOOKUP(Database[[#This Row],[เลขที่บัญชี]],COA[],3,FALSE)</f>
        <v>4</v>
      </c>
      <c r="J125" s="52" t="s">
        <v>129</v>
      </c>
      <c r="K125" s="52" t="str">
        <f>VLOOKUP(Database[[#This Row],[รหัสหน่วยงาน]],Center[],2,FALSE)</f>
        <v>สำนักงานใหญ่</v>
      </c>
      <c r="L125" s="52">
        <v>1</v>
      </c>
    </row>
    <row r="126" spans="1:12">
      <c r="A126" s="49">
        <v>7</v>
      </c>
      <c r="B126" s="109">
        <v>244116</v>
      </c>
      <c r="C126" s="51" t="s">
        <v>48</v>
      </c>
      <c r="D126" s="55" t="s">
        <v>161</v>
      </c>
      <c r="E126" s="52">
        <v>101001</v>
      </c>
      <c r="F126" s="49" t="str">
        <f>VLOOKUP(Database[[#This Row],[เลขที่บัญชี]],COA[],2,FALSE)</f>
        <v>เงินสด</v>
      </c>
      <c r="G126" s="53">
        <v>490</v>
      </c>
      <c r="I126" s="52" t="str">
        <f>VLOOKUP(Database[[#This Row],[เลขที่บัญชี]],COA[],3,FALSE)</f>
        <v>1</v>
      </c>
      <c r="J126" s="52" t="s">
        <v>129</v>
      </c>
      <c r="K126" s="52" t="str">
        <f>VLOOKUP(Database[[#This Row],[รหัสหน่วยงาน]],Center[],2,FALSE)</f>
        <v>สำนักงานใหญ่</v>
      </c>
      <c r="L126" s="52">
        <v>1</v>
      </c>
    </row>
    <row r="127" spans="1:12">
      <c r="A127" s="49">
        <v>7</v>
      </c>
      <c r="B127" s="109">
        <v>244116</v>
      </c>
      <c r="C127" s="51" t="s">
        <v>48</v>
      </c>
      <c r="D127" s="55" t="s">
        <v>161</v>
      </c>
      <c r="E127" s="52">
        <v>401012</v>
      </c>
      <c r="F127" s="49" t="str">
        <f>VLOOKUP(Database[[#This Row],[เลขที่บัญชี]],COA[],2,FALSE)</f>
        <v>รายได้ค่าแคดดี้</v>
      </c>
      <c r="H127" s="53">
        <v>490</v>
      </c>
      <c r="I127" s="52" t="str">
        <f>VLOOKUP(Database[[#This Row],[เลขที่บัญชี]],COA[],3,FALSE)</f>
        <v>4</v>
      </c>
      <c r="J127" s="52" t="s">
        <v>129</v>
      </c>
      <c r="K127" s="52" t="str">
        <f>VLOOKUP(Database[[#This Row],[รหัสหน่วยงาน]],Center[],2,FALSE)</f>
        <v>สำนักงานใหญ่</v>
      </c>
      <c r="L127" s="52">
        <v>1</v>
      </c>
    </row>
    <row r="128" spans="1:12">
      <c r="A128" s="49">
        <v>7</v>
      </c>
      <c r="B128" s="109">
        <v>244116</v>
      </c>
      <c r="C128" s="51" t="s">
        <v>48</v>
      </c>
      <c r="D128" s="55" t="s">
        <v>161</v>
      </c>
      <c r="E128" s="52">
        <v>101002</v>
      </c>
      <c r="F128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128" s="53">
        <v>5090</v>
      </c>
      <c r="I128" s="52" t="str">
        <f>VLOOKUP(Database[[#This Row],[เลขที่บัญชี]],COA[],3,FALSE)</f>
        <v>1</v>
      </c>
      <c r="J128" s="52" t="s">
        <v>129</v>
      </c>
      <c r="K128" s="52" t="str">
        <f>VLOOKUP(Database[[#This Row],[รหัสหน่วยงาน]],Center[],2,FALSE)</f>
        <v>สำนักงานใหญ่</v>
      </c>
      <c r="L128" s="52">
        <v>1</v>
      </c>
    </row>
    <row r="129" spans="1:12">
      <c r="A129" s="49">
        <v>7</v>
      </c>
      <c r="B129" s="109">
        <v>244116</v>
      </c>
      <c r="C129" s="51" t="s">
        <v>48</v>
      </c>
      <c r="D129" s="55" t="s">
        <v>161</v>
      </c>
      <c r="E129" s="52">
        <v>101001</v>
      </c>
      <c r="F129" s="49" t="str">
        <f>VLOOKUP(Database[[#This Row],[เลขที่บัญชี]],COA[],2,FALSE)</f>
        <v>เงินสด</v>
      </c>
      <c r="H129" s="53">
        <v>5090</v>
      </c>
      <c r="I129" s="52" t="str">
        <f>VLOOKUP(Database[[#This Row],[เลขที่บัญชี]],COA[],3,FALSE)</f>
        <v>1</v>
      </c>
      <c r="J129" s="52" t="s">
        <v>129</v>
      </c>
      <c r="K129" s="52" t="str">
        <f>VLOOKUP(Database[[#This Row],[รหัสหน่วยงาน]],Center[],2,FALSE)</f>
        <v>สำนักงานใหญ่</v>
      </c>
      <c r="L129" s="52">
        <v>1</v>
      </c>
    </row>
    <row r="130" spans="1:12">
      <c r="A130" s="49">
        <v>8</v>
      </c>
      <c r="B130" s="109">
        <v>244147</v>
      </c>
      <c r="C130" s="51" t="s">
        <v>48</v>
      </c>
      <c r="D130" s="55" t="s">
        <v>161</v>
      </c>
      <c r="E130" s="52">
        <v>101001</v>
      </c>
      <c r="F130" s="49" t="str">
        <f>VLOOKUP(Database[[#This Row],[เลขที่บัญชี]],COA[],2,FALSE)</f>
        <v>เงินสด</v>
      </c>
      <c r="G130" s="53">
        <v>2800</v>
      </c>
      <c r="I130" s="52" t="str">
        <f>VLOOKUP(Database[[#This Row],[เลขที่บัญชี]],COA[],3,FALSE)</f>
        <v>1</v>
      </c>
      <c r="J130" s="52" t="s">
        <v>129</v>
      </c>
      <c r="K130" s="52" t="str">
        <f>VLOOKUP(Database[[#This Row],[รหัสหน่วยงาน]],Center[],2,FALSE)</f>
        <v>สำนักงานใหญ่</v>
      </c>
      <c r="L130" s="52">
        <v>1</v>
      </c>
    </row>
    <row r="131" spans="1:12">
      <c r="A131" s="49">
        <v>8</v>
      </c>
      <c r="B131" s="109">
        <v>244147</v>
      </c>
      <c r="C131" s="51" t="s">
        <v>48</v>
      </c>
      <c r="D131" s="55" t="s">
        <v>161</v>
      </c>
      <c r="E131" s="52">
        <v>401003</v>
      </c>
      <c r="F131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131" s="53">
        <v>2800</v>
      </c>
      <c r="I131" s="52" t="str">
        <f>VLOOKUP(Database[[#This Row],[เลขที่บัญชี]],COA[],3,FALSE)</f>
        <v>4</v>
      </c>
      <c r="J131" s="52" t="s">
        <v>129</v>
      </c>
      <c r="K131" s="52" t="str">
        <f>VLOOKUP(Database[[#This Row],[รหัสหน่วยงาน]],Center[],2,FALSE)</f>
        <v>สำนักงานใหญ่</v>
      </c>
      <c r="L131" s="52">
        <v>1</v>
      </c>
    </row>
    <row r="132" spans="1:12">
      <c r="A132" s="49">
        <v>8</v>
      </c>
      <c r="B132" s="109">
        <v>244147</v>
      </c>
      <c r="C132" s="51" t="s">
        <v>48</v>
      </c>
      <c r="D132" s="55" t="s">
        <v>161</v>
      </c>
      <c r="E132" s="52">
        <v>101001</v>
      </c>
      <c r="F132" s="49" t="str">
        <f>VLOOKUP(Database[[#This Row],[เลขที่บัญชี]],COA[],2,FALSE)</f>
        <v>เงินสด</v>
      </c>
      <c r="G132" s="53">
        <v>480</v>
      </c>
      <c r="I132" s="52" t="str">
        <f>VLOOKUP(Database[[#This Row],[เลขที่บัญชี]],COA[],3,FALSE)</f>
        <v>1</v>
      </c>
      <c r="J132" s="52" t="s">
        <v>129</v>
      </c>
      <c r="K132" s="52" t="str">
        <f>VLOOKUP(Database[[#This Row],[รหัสหน่วยงาน]],Center[],2,FALSE)</f>
        <v>สำนักงานใหญ่</v>
      </c>
      <c r="L132" s="52">
        <v>1</v>
      </c>
    </row>
    <row r="133" spans="1:12">
      <c r="A133" s="49">
        <v>8</v>
      </c>
      <c r="B133" s="109">
        <v>244147</v>
      </c>
      <c r="C133" s="51" t="s">
        <v>48</v>
      </c>
      <c r="D133" s="55" t="s">
        <v>161</v>
      </c>
      <c r="E133" s="52">
        <v>401005</v>
      </c>
      <c r="F133" s="49" t="str">
        <f>VLOOKUP(Database[[#This Row],[เลขที่บัญชี]],COA[],2,FALSE)</f>
        <v>รายได้ค่าบริการสนามกอล์ฟ รหัส 05 (บุคคลทั่วไป-วันหยุดราชการ)</v>
      </c>
      <c r="H133" s="53">
        <v>480</v>
      </c>
      <c r="I133" s="52" t="str">
        <f>VLOOKUP(Database[[#This Row],[เลขที่บัญชี]],COA[],3,FALSE)</f>
        <v>4</v>
      </c>
      <c r="J133" s="52" t="s">
        <v>129</v>
      </c>
      <c r="K133" s="52" t="str">
        <f>VLOOKUP(Database[[#This Row],[รหัสหน่วยงาน]],Center[],2,FALSE)</f>
        <v>สำนักงานใหญ่</v>
      </c>
      <c r="L133" s="52">
        <v>1</v>
      </c>
    </row>
    <row r="134" spans="1:12">
      <c r="A134" s="49">
        <v>8</v>
      </c>
      <c r="B134" s="109">
        <v>244147</v>
      </c>
      <c r="C134" s="51" t="s">
        <v>48</v>
      </c>
      <c r="D134" s="55" t="s">
        <v>161</v>
      </c>
      <c r="E134" s="52">
        <v>101001</v>
      </c>
      <c r="F134" s="49" t="str">
        <f>VLOOKUP(Database[[#This Row],[เลขที่บัญชี]],COA[],2,FALSE)</f>
        <v>เงินสด</v>
      </c>
      <c r="G134" s="53">
        <v>250</v>
      </c>
      <c r="I134" s="52" t="str">
        <f>VLOOKUP(Database[[#This Row],[เลขที่บัญชี]],COA[],3,FALSE)</f>
        <v>1</v>
      </c>
      <c r="J134" s="52" t="s">
        <v>129</v>
      </c>
      <c r="K134" s="52" t="str">
        <f>VLOOKUP(Database[[#This Row],[รหัสหน่วยงาน]],Center[],2,FALSE)</f>
        <v>สำนักงานใหญ่</v>
      </c>
      <c r="L134" s="52">
        <v>1</v>
      </c>
    </row>
    <row r="135" spans="1:12">
      <c r="A135" s="49">
        <v>8</v>
      </c>
      <c r="B135" s="109">
        <v>244147</v>
      </c>
      <c r="C135" s="51" t="s">
        <v>48</v>
      </c>
      <c r="D135" s="55" t="s">
        <v>161</v>
      </c>
      <c r="E135" s="52">
        <v>401007</v>
      </c>
      <c r="F135" s="49" t="str">
        <f>VLOOKUP(Database[[#This Row],[เลขที่บัญชี]],COA[],2,FALSE)</f>
        <v>รายได้ค่าบริการสนามกอล์ฟ รหัส 07 (ค่าบริการสนาม-เพิ่มรอบที่ 3)</v>
      </c>
      <c r="H135" s="53">
        <v>250</v>
      </c>
      <c r="I135" s="52" t="str">
        <f>VLOOKUP(Database[[#This Row],[เลขที่บัญชี]],COA[],3,FALSE)</f>
        <v>4</v>
      </c>
      <c r="J135" s="52" t="s">
        <v>129</v>
      </c>
      <c r="K135" s="52" t="str">
        <f>VLOOKUP(Database[[#This Row],[รหัสหน่วยงาน]],Center[],2,FALSE)</f>
        <v>สำนักงานใหญ่</v>
      </c>
      <c r="L135" s="52">
        <v>1</v>
      </c>
    </row>
    <row r="136" spans="1:12">
      <c r="A136" s="49">
        <v>8</v>
      </c>
      <c r="B136" s="109">
        <v>244147</v>
      </c>
      <c r="C136" s="51" t="s">
        <v>48</v>
      </c>
      <c r="D136" s="55" t="s">
        <v>161</v>
      </c>
      <c r="E136" s="52">
        <v>101001</v>
      </c>
      <c r="F136" s="49" t="str">
        <f>VLOOKUP(Database[[#This Row],[เลขที่บัญชี]],COA[],2,FALSE)</f>
        <v>เงินสด</v>
      </c>
      <c r="G136" s="53">
        <v>530</v>
      </c>
      <c r="I136" s="52" t="str">
        <f>VLOOKUP(Database[[#This Row],[เลขที่บัญชี]],COA[],3,FALSE)</f>
        <v>1</v>
      </c>
      <c r="J136" s="52" t="s">
        <v>129</v>
      </c>
      <c r="K136" s="52" t="str">
        <f>VLOOKUP(Database[[#This Row],[รหัสหน่วยงาน]],Center[],2,FALSE)</f>
        <v>สำนักงานใหญ่</v>
      </c>
      <c r="L136" s="52">
        <v>1</v>
      </c>
    </row>
    <row r="137" spans="1:12">
      <c r="A137" s="49">
        <v>8</v>
      </c>
      <c r="B137" s="109">
        <v>244147</v>
      </c>
      <c r="C137" s="51" t="s">
        <v>48</v>
      </c>
      <c r="D137" s="55" t="s">
        <v>161</v>
      </c>
      <c r="E137" s="52">
        <v>401012</v>
      </c>
      <c r="F137" s="49" t="str">
        <f>VLOOKUP(Database[[#This Row],[เลขที่บัญชี]],COA[],2,FALSE)</f>
        <v>รายได้ค่าแคดดี้</v>
      </c>
      <c r="H137" s="53">
        <v>530</v>
      </c>
      <c r="I137" s="52" t="str">
        <f>VLOOKUP(Database[[#This Row],[เลขที่บัญชี]],COA[],3,FALSE)</f>
        <v>4</v>
      </c>
      <c r="J137" s="52" t="s">
        <v>129</v>
      </c>
      <c r="K137" s="52" t="str">
        <f>VLOOKUP(Database[[#This Row],[รหัสหน่วยงาน]],Center[],2,FALSE)</f>
        <v>สำนักงานใหญ่</v>
      </c>
      <c r="L137" s="52">
        <v>1</v>
      </c>
    </row>
    <row r="138" spans="1:12">
      <c r="A138" s="49">
        <v>8</v>
      </c>
      <c r="B138" s="109">
        <v>244147</v>
      </c>
      <c r="C138" s="51" t="s">
        <v>48</v>
      </c>
      <c r="D138" s="55" t="s">
        <v>161</v>
      </c>
      <c r="E138" s="52">
        <v>101002</v>
      </c>
      <c r="F138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138" s="53">
        <v>4060</v>
      </c>
      <c r="I138" s="52" t="str">
        <f>VLOOKUP(Database[[#This Row],[เลขที่บัญชี]],COA[],3,FALSE)</f>
        <v>1</v>
      </c>
      <c r="J138" s="52" t="s">
        <v>129</v>
      </c>
      <c r="K138" s="52" t="str">
        <f>VLOOKUP(Database[[#This Row],[รหัสหน่วยงาน]],Center[],2,FALSE)</f>
        <v>สำนักงานใหญ่</v>
      </c>
      <c r="L138" s="52">
        <v>1</v>
      </c>
    </row>
    <row r="139" spans="1:12">
      <c r="A139" s="49">
        <v>8</v>
      </c>
      <c r="B139" s="109">
        <v>244147</v>
      </c>
      <c r="C139" s="51" t="s">
        <v>48</v>
      </c>
      <c r="D139" s="55" t="s">
        <v>161</v>
      </c>
      <c r="E139" s="52">
        <v>101001</v>
      </c>
      <c r="F139" s="49" t="str">
        <f>VLOOKUP(Database[[#This Row],[เลขที่บัญชี]],COA[],2,FALSE)</f>
        <v>เงินสด</v>
      </c>
      <c r="H139" s="53">
        <v>4060</v>
      </c>
      <c r="I139" s="52" t="str">
        <f>VLOOKUP(Database[[#This Row],[เลขที่บัญชี]],COA[],3,FALSE)</f>
        <v>1</v>
      </c>
      <c r="J139" s="52" t="s">
        <v>129</v>
      </c>
      <c r="K139" s="52" t="str">
        <f>VLOOKUP(Database[[#This Row],[รหัสหน่วยงาน]],Center[],2,FALSE)</f>
        <v>สำนักงานใหญ่</v>
      </c>
      <c r="L139" s="52">
        <v>1</v>
      </c>
    </row>
    <row r="140" spans="1:12">
      <c r="A140" s="49">
        <v>9</v>
      </c>
      <c r="B140" s="109">
        <v>244177</v>
      </c>
      <c r="C140" s="51" t="s">
        <v>48</v>
      </c>
      <c r="D140" s="55" t="s">
        <v>161</v>
      </c>
      <c r="E140" s="52">
        <v>101001</v>
      </c>
      <c r="F140" s="49" t="str">
        <f>VLOOKUP(Database[[#This Row],[เลขที่บัญชี]],COA[],2,FALSE)</f>
        <v>เงินสด</v>
      </c>
      <c r="G140" s="53">
        <v>2500</v>
      </c>
      <c r="I140" s="52" t="str">
        <f>VLOOKUP(Database[[#This Row],[เลขที่บัญชี]],COA[],3,FALSE)</f>
        <v>1</v>
      </c>
      <c r="J140" s="52" t="s">
        <v>129</v>
      </c>
      <c r="K140" s="52" t="str">
        <f>VLOOKUP(Database[[#This Row],[รหัสหน่วยงาน]],Center[],2,FALSE)</f>
        <v>สำนักงานใหญ่</v>
      </c>
      <c r="L140" s="52">
        <v>1</v>
      </c>
    </row>
    <row r="141" spans="1:12">
      <c r="A141" s="49">
        <v>9</v>
      </c>
      <c r="B141" s="109">
        <v>244177</v>
      </c>
      <c r="C141" s="51" t="s">
        <v>48</v>
      </c>
      <c r="D141" s="55" t="s">
        <v>161</v>
      </c>
      <c r="E141" s="52">
        <v>401003</v>
      </c>
      <c r="F141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141" s="53">
        <v>2500</v>
      </c>
      <c r="I141" s="52" t="str">
        <f>VLOOKUP(Database[[#This Row],[เลขที่บัญชี]],COA[],3,FALSE)</f>
        <v>4</v>
      </c>
      <c r="J141" s="52" t="s">
        <v>129</v>
      </c>
      <c r="K141" s="52" t="str">
        <f>VLOOKUP(Database[[#This Row],[รหัสหน่วยงาน]],Center[],2,FALSE)</f>
        <v>สำนักงานใหญ่</v>
      </c>
      <c r="L141" s="52">
        <v>1</v>
      </c>
    </row>
    <row r="142" spans="1:12">
      <c r="A142" s="49">
        <v>9</v>
      </c>
      <c r="B142" s="109">
        <v>244177</v>
      </c>
      <c r="C142" s="51" t="s">
        <v>48</v>
      </c>
      <c r="D142" s="55" t="s">
        <v>161</v>
      </c>
      <c r="E142" s="52">
        <v>101001</v>
      </c>
      <c r="F142" s="49" t="str">
        <f>VLOOKUP(Database[[#This Row],[เลขที่บัญชี]],COA[],2,FALSE)</f>
        <v>เงินสด</v>
      </c>
      <c r="G142" s="53">
        <v>200</v>
      </c>
      <c r="I142" s="52" t="str">
        <f>VLOOKUP(Database[[#This Row],[เลขที่บัญชี]],COA[],3,FALSE)</f>
        <v>1</v>
      </c>
      <c r="J142" s="52" t="s">
        <v>129</v>
      </c>
      <c r="K142" s="52" t="str">
        <f>VLOOKUP(Database[[#This Row],[รหัสหน่วยงาน]],Center[],2,FALSE)</f>
        <v>สำนักงานใหญ่</v>
      </c>
      <c r="L142" s="52">
        <v>1</v>
      </c>
    </row>
    <row r="143" spans="1:12">
      <c r="A143" s="49">
        <v>9</v>
      </c>
      <c r="B143" s="109">
        <v>244177</v>
      </c>
      <c r="C143" s="51" t="s">
        <v>48</v>
      </c>
      <c r="D143" s="55" t="s">
        <v>161</v>
      </c>
      <c r="E143" s="52">
        <v>401012</v>
      </c>
      <c r="F143" s="49" t="str">
        <f>VLOOKUP(Database[[#This Row],[เลขที่บัญชี]],COA[],2,FALSE)</f>
        <v>รายได้ค่าแคดดี้</v>
      </c>
      <c r="H143" s="53">
        <v>200</v>
      </c>
      <c r="I143" s="52" t="str">
        <f>VLOOKUP(Database[[#This Row],[เลขที่บัญชี]],COA[],3,FALSE)</f>
        <v>4</v>
      </c>
      <c r="J143" s="52" t="s">
        <v>129</v>
      </c>
      <c r="K143" s="52" t="str">
        <f>VLOOKUP(Database[[#This Row],[รหัสหน่วยงาน]],Center[],2,FALSE)</f>
        <v>สำนักงานใหญ่</v>
      </c>
      <c r="L143" s="52">
        <v>1</v>
      </c>
    </row>
    <row r="144" spans="1:12">
      <c r="A144" s="49">
        <v>9</v>
      </c>
      <c r="B144" s="109">
        <v>244177</v>
      </c>
      <c r="C144" s="51" t="s">
        <v>48</v>
      </c>
      <c r="D144" s="55" t="s">
        <v>161</v>
      </c>
      <c r="E144" s="52">
        <v>101002</v>
      </c>
      <c r="F144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144" s="53">
        <v>2700</v>
      </c>
      <c r="I144" s="52" t="str">
        <f>VLOOKUP(Database[[#This Row],[เลขที่บัญชี]],COA[],3,FALSE)</f>
        <v>1</v>
      </c>
      <c r="J144" s="52" t="s">
        <v>129</v>
      </c>
      <c r="K144" s="52" t="str">
        <f>VLOOKUP(Database[[#This Row],[รหัสหน่วยงาน]],Center[],2,FALSE)</f>
        <v>สำนักงานใหญ่</v>
      </c>
      <c r="L144" s="52">
        <v>1</v>
      </c>
    </row>
    <row r="145" spans="1:12">
      <c r="A145" s="49">
        <v>9</v>
      </c>
      <c r="B145" s="109">
        <v>244177</v>
      </c>
      <c r="C145" s="51" t="s">
        <v>48</v>
      </c>
      <c r="D145" s="55" t="s">
        <v>161</v>
      </c>
      <c r="E145" s="52">
        <v>101001</v>
      </c>
      <c r="F145" s="49" t="str">
        <f>VLOOKUP(Database[[#This Row],[เลขที่บัญชี]],COA[],2,FALSE)</f>
        <v>เงินสด</v>
      </c>
      <c r="H145" s="53">
        <v>2700</v>
      </c>
      <c r="I145" s="52" t="str">
        <f>VLOOKUP(Database[[#This Row],[เลขที่บัญชี]],COA[],3,FALSE)</f>
        <v>1</v>
      </c>
      <c r="J145" s="52" t="s">
        <v>129</v>
      </c>
      <c r="K145" s="52" t="str">
        <f>VLOOKUP(Database[[#This Row],[รหัสหน่วยงาน]],Center[],2,FALSE)</f>
        <v>สำนักงานใหญ่</v>
      </c>
      <c r="L145" s="52">
        <v>1</v>
      </c>
    </row>
    <row r="146" spans="1:12">
      <c r="A146" s="49">
        <v>10</v>
      </c>
      <c r="B146" s="109">
        <v>244208</v>
      </c>
      <c r="C146" s="51" t="s">
        <v>48</v>
      </c>
      <c r="D146" s="55" t="s">
        <v>161</v>
      </c>
      <c r="E146" s="52">
        <v>101001</v>
      </c>
      <c r="F146" s="49" t="str">
        <f>VLOOKUP(Database[[#This Row],[เลขที่บัญชี]],COA[],2,FALSE)</f>
        <v>เงินสด</v>
      </c>
      <c r="G146" s="53">
        <v>600</v>
      </c>
      <c r="I146" s="52" t="str">
        <f>VLOOKUP(Database[[#This Row],[เลขที่บัญชี]],COA[],3,FALSE)</f>
        <v>1</v>
      </c>
      <c r="J146" s="52" t="s">
        <v>129</v>
      </c>
      <c r="K146" s="52" t="str">
        <f>VLOOKUP(Database[[#This Row],[รหัสหน่วยงาน]],Center[],2,FALSE)</f>
        <v>สำนักงานใหญ่</v>
      </c>
      <c r="L146" s="52">
        <v>1</v>
      </c>
    </row>
    <row r="147" spans="1:12">
      <c r="A147" s="49">
        <v>10</v>
      </c>
      <c r="B147" s="109">
        <v>244208</v>
      </c>
      <c r="C147" s="51" t="s">
        <v>48</v>
      </c>
      <c r="D147" s="55" t="s">
        <v>161</v>
      </c>
      <c r="E147" s="52">
        <v>401003</v>
      </c>
      <c r="F147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147" s="53">
        <v>600</v>
      </c>
      <c r="I147" s="52" t="str">
        <f>VLOOKUP(Database[[#This Row],[เลขที่บัญชี]],COA[],3,FALSE)</f>
        <v>4</v>
      </c>
      <c r="J147" s="52" t="s">
        <v>129</v>
      </c>
      <c r="K147" s="52" t="str">
        <f>VLOOKUP(Database[[#This Row],[รหัสหน่วยงาน]],Center[],2,FALSE)</f>
        <v>สำนักงานใหญ่</v>
      </c>
      <c r="L147" s="52">
        <v>1</v>
      </c>
    </row>
    <row r="148" spans="1:12">
      <c r="A148" s="49">
        <v>10</v>
      </c>
      <c r="B148" s="109">
        <v>244208</v>
      </c>
      <c r="C148" s="51" t="s">
        <v>48</v>
      </c>
      <c r="D148" s="55" t="s">
        <v>161</v>
      </c>
      <c r="E148" s="52">
        <v>101001</v>
      </c>
      <c r="F148" s="49" t="str">
        <f>VLOOKUP(Database[[#This Row],[เลขที่บัญชี]],COA[],2,FALSE)</f>
        <v>เงินสด</v>
      </c>
      <c r="G148" s="53">
        <v>70</v>
      </c>
      <c r="I148" s="52" t="str">
        <f>VLOOKUP(Database[[#This Row],[เลขที่บัญชี]],COA[],3,FALSE)</f>
        <v>1</v>
      </c>
      <c r="J148" s="52" t="s">
        <v>129</v>
      </c>
      <c r="K148" s="52" t="str">
        <f>VLOOKUP(Database[[#This Row],[รหัสหน่วยงาน]],Center[],2,FALSE)</f>
        <v>สำนักงานใหญ่</v>
      </c>
      <c r="L148" s="52">
        <v>1</v>
      </c>
    </row>
    <row r="149" spans="1:12">
      <c r="A149" s="49">
        <v>10</v>
      </c>
      <c r="B149" s="109">
        <v>244208</v>
      </c>
      <c r="C149" s="51" t="s">
        <v>48</v>
      </c>
      <c r="D149" s="55" t="s">
        <v>161</v>
      </c>
      <c r="E149" s="52">
        <v>401012</v>
      </c>
      <c r="F149" s="49" t="str">
        <f>VLOOKUP(Database[[#This Row],[เลขที่บัญชี]],COA[],2,FALSE)</f>
        <v>รายได้ค่าแคดดี้</v>
      </c>
      <c r="H149" s="53">
        <v>70</v>
      </c>
      <c r="I149" s="52" t="str">
        <f>VLOOKUP(Database[[#This Row],[เลขที่บัญชี]],COA[],3,FALSE)</f>
        <v>4</v>
      </c>
      <c r="J149" s="52" t="s">
        <v>129</v>
      </c>
      <c r="K149" s="52" t="str">
        <f>VLOOKUP(Database[[#This Row],[รหัสหน่วยงาน]],Center[],2,FALSE)</f>
        <v>สำนักงานใหญ่</v>
      </c>
      <c r="L149" s="52">
        <v>1</v>
      </c>
    </row>
    <row r="150" spans="1:12">
      <c r="A150" s="49">
        <v>10</v>
      </c>
      <c r="B150" s="109">
        <v>244208</v>
      </c>
      <c r="C150" s="51" t="s">
        <v>48</v>
      </c>
      <c r="D150" s="55" t="s">
        <v>161</v>
      </c>
      <c r="E150" s="52">
        <v>101002</v>
      </c>
      <c r="F150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150" s="53">
        <v>670</v>
      </c>
      <c r="I150" s="52" t="str">
        <f>VLOOKUP(Database[[#This Row],[เลขที่บัญชี]],COA[],3,FALSE)</f>
        <v>1</v>
      </c>
      <c r="J150" s="52" t="s">
        <v>129</v>
      </c>
      <c r="K150" s="52" t="str">
        <f>VLOOKUP(Database[[#This Row],[รหัสหน่วยงาน]],Center[],2,FALSE)</f>
        <v>สำนักงานใหญ่</v>
      </c>
      <c r="L150" s="52">
        <v>1</v>
      </c>
    </row>
    <row r="151" spans="1:12">
      <c r="A151" s="49">
        <v>10</v>
      </c>
      <c r="B151" s="109">
        <v>244208</v>
      </c>
      <c r="C151" s="51" t="s">
        <v>48</v>
      </c>
      <c r="D151" s="55" t="s">
        <v>161</v>
      </c>
      <c r="E151" s="52">
        <v>101001</v>
      </c>
      <c r="F151" s="49" t="str">
        <f>VLOOKUP(Database[[#This Row],[เลขที่บัญชี]],COA[],2,FALSE)</f>
        <v>เงินสด</v>
      </c>
      <c r="H151" s="53">
        <v>670</v>
      </c>
      <c r="I151" s="52" t="str">
        <f>VLOOKUP(Database[[#This Row],[เลขที่บัญชี]],COA[],3,FALSE)</f>
        <v>1</v>
      </c>
      <c r="J151" s="52" t="s">
        <v>129</v>
      </c>
      <c r="K151" s="52" t="str">
        <f>VLOOKUP(Database[[#This Row],[รหัสหน่วยงาน]],Center[],2,FALSE)</f>
        <v>สำนักงานใหญ่</v>
      </c>
      <c r="L151" s="52">
        <v>1</v>
      </c>
    </row>
    <row r="152" spans="1:12">
      <c r="A152" s="49">
        <v>10</v>
      </c>
      <c r="B152" s="109">
        <v>244208</v>
      </c>
      <c r="C152" s="51" t="s">
        <v>48</v>
      </c>
      <c r="D152" s="55" t="s">
        <v>161</v>
      </c>
      <c r="E152" s="52">
        <v>101001</v>
      </c>
      <c r="F152" s="49" t="str">
        <f>VLOOKUP(Database[[#This Row],[เลขที่บัญชี]],COA[],2,FALSE)</f>
        <v>เงินสด</v>
      </c>
      <c r="G152" s="53">
        <v>1700</v>
      </c>
      <c r="I152" s="52" t="str">
        <f>VLOOKUP(Database[[#This Row],[เลขที่บัญชี]],COA[],3,FALSE)</f>
        <v>1</v>
      </c>
      <c r="J152" s="52" t="s">
        <v>129</v>
      </c>
      <c r="K152" s="52" t="str">
        <f>VLOOKUP(Database[[#This Row],[รหัสหน่วยงาน]],Center[],2,FALSE)</f>
        <v>สำนักงานใหญ่</v>
      </c>
      <c r="L152" s="52">
        <v>1</v>
      </c>
    </row>
    <row r="153" spans="1:12">
      <c r="A153" s="49">
        <v>10</v>
      </c>
      <c r="B153" s="109">
        <v>244208</v>
      </c>
      <c r="C153" s="51" t="s">
        <v>48</v>
      </c>
      <c r="D153" s="55" t="s">
        <v>161</v>
      </c>
      <c r="E153" s="52">
        <v>401003</v>
      </c>
      <c r="F153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153" s="53">
        <v>1700</v>
      </c>
      <c r="I153" s="52" t="str">
        <f>VLOOKUP(Database[[#This Row],[เลขที่บัญชี]],COA[],3,FALSE)</f>
        <v>4</v>
      </c>
      <c r="J153" s="52" t="s">
        <v>129</v>
      </c>
      <c r="K153" s="52" t="str">
        <f>VLOOKUP(Database[[#This Row],[รหัสหน่วยงาน]],Center[],2,FALSE)</f>
        <v>สำนักงานใหญ่</v>
      </c>
      <c r="L153" s="52">
        <v>1</v>
      </c>
    </row>
    <row r="154" spans="1:12">
      <c r="A154" s="49">
        <v>10</v>
      </c>
      <c r="B154" s="109">
        <v>244208</v>
      </c>
      <c r="C154" s="51" t="s">
        <v>48</v>
      </c>
      <c r="D154" s="55" t="s">
        <v>161</v>
      </c>
      <c r="E154" s="52">
        <v>101001</v>
      </c>
      <c r="F154" s="49" t="str">
        <f>VLOOKUP(Database[[#This Row],[เลขที่บัญชี]],COA[],2,FALSE)</f>
        <v>เงินสด</v>
      </c>
      <c r="G154" s="53">
        <v>360</v>
      </c>
      <c r="I154" s="52" t="str">
        <f>VLOOKUP(Database[[#This Row],[เลขที่บัญชี]],COA[],3,FALSE)</f>
        <v>1</v>
      </c>
      <c r="J154" s="52" t="s">
        <v>129</v>
      </c>
      <c r="K154" s="52" t="str">
        <f>VLOOKUP(Database[[#This Row],[รหัสหน่วยงาน]],Center[],2,FALSE)</f>
        <v>สำนักงานใหญ่</v>
      </c>
      <c r="L154" s="52">
        <v>1</v>
      </c>
    </row>
    <row r="155" spans="1:12">
      <c r="A155" s="49">
        <v>10</v>
      </c>
      <c r="B155" s="109">
        <v>244208</v>
      </c>
      <c r="C155" s="51" t="s">
        <v>48</v>
      </c>
      <c r="D155" s="55" t="s">
        <v>161</v>
      </c>
      <c r="E155" s="52">
        <v>401004</v>
      </c>
      <c r="F155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155" s="53">
        <v>360</v>
      </c>
      <c r="I155" s="52" t="str">
        <f>VLOOKUP(Database[[#This Row],[เลขที่บัญชี]],COA[],3,FALSE)</f>
        <v>4</v>
      </c>
      <c r="J155" s="52" t="s">
        <v>129</v>
      </c>
      <c r="K155" s="52" t="str">
        <f>VLOOKUP(Database[[#This Row],[รหัสหน่วยงาน]],Center[],2,FALSE)</f>
        <v>สำนักงานใหญ่</v>
      </c>
      <c r="L155" s="52">
        <v>1</v>
      </c>
    </row>
    <row r="156" spans="1:12">
      <c r="A156" s="49">
        <v>10</v>
      </c>
      <c r="B156" s="109">
        <v>244208</v>
      </c>
      <c r="C156" s="51" t="s">
        <v>48</v>
      </c>
      <c r="D156" s="55" t="s">
        <v>161</v>
      </c>
      <c r="E156" s="52">
        <v>101001</v>
      </c>
      <c r="F156" s="49" t="str">
        <f>VLOOKUP(Database[[#This Row],[เลขที่บัญชี]],COA[],2,FALSE)</f>
        <v>เงินสด</v>
      </c>
      <c r="G156" s="53">
        <v>150</v>
      </c>
      <c r="I156" s="52" t="str">
        <f>VLOOKUP(Database[[#This Row],[เลขที่บัญชี]],COA[],3,FALSE)</f>
        <v>1</v>
      </c>
      <c r="J156" s="52" t="s">
        <v>129</v>
      </c>
      <c r="K156" s="52" t="str">
        <f>VLOOKUP(Database[[#This Row],[รหัสหน่วยงาน]],Center[],2,FALSE)</f>
        <v>สำนักงานใหญ่</v>
      </c>
      <c r="L156" s="52">
        <v>1</v>
      </c>
    </row>
    <row r="157" spans="1:12">
      <c r="A157" s="49">
        <v>10</v>
      </c>
      <c r="B157" s="109">
        <v>244208</v>
      </c>
      <c r="C157" s="51" t="s">
        <v>48</v>
      </c>
      <c r="D157" s="55" t="s">
        <v>161</v>
      </c>
      <c r="E157" s="52">
        <v>401007</v>
      </c>
      <c r="F157" s="49" t="str">
        <f>VLOOKUP(Database[[#This Row],[เลขที่บัญชี]],COA[],2,FALSE)</f>
        <v>รายได้ค่าบริการสนามกอล์ฟ รหัส 07 (ค่าบริการสนาม-เพิ่มรอบที่ 3)</v>
      </c>
      <c r="H157" s="53">
        <v>150</v>
      </c>
      <c r="I157" s="52" t="str">
        <f>VLOOKUP(Database[[#This Row],[เลขที่บัญชี]],COA[],3,FALSE)</f>
        <v>4</v>
      </c>
      <c r="J157" s="52" t="s">
        <v>129</v>
      </c>
      <c r="K157" s="52" t="str">
        <f>VLOOKUP(Database[[#This Row],[รหัสหน่วยงาน]],Center[],2,FALSE)</f>
        <v>สำนักงานใหญ่</v>
      </c>
      <c r="L157" s="52">
        <v>1</v>
      </c>
    </row>
    <row r="158" spans="1:12">
      <c r="A158" s="49">
        <v>10</v>
      </c>
      <c r="B158" s="109">
        <v>244208</v>
      </c>
      <c r="C158" s="51" t="s">
        <v>48</v>
      </c>
      <c r="D158" s="55" t="s">
        <v>161</v>
      </c>
      <c r="E158" s="52">
        <v>101001</v>
      </c>
      <c r="F158" s="49" t="str">
        <f>VLOOKUP(Database[[#This Row],[เลขที่บัญชี]],COA[],2,FALSE)</f>
        <v>เงินสด</v>
      </c>
      <c r="G158" s="53">
        <v>310</v>
      </c>
      <c r="I158" s="52" t="str">
        <f>VLOOKUP(Database[[#This Row],[เลขที่บัญชี]],COA[],3,FALSE)</f>
        <v>1</v>
      </c>
      <c r="J158" s="52" t="s">
        <v>129</v>
      </c>
      <c r="K158" s="52" t="str">
        <f>VLOOKUP(Database[[#This Row],[รหัสหน่วยงาน]],Center[],2,FALSE)</f>
        <v>สำนักงานใหญ่</v>
      </c>
      <c r="L158" s="52">
        <v>1</v>
      </c>
    </row>
    <row r="159" spans="1:12">
      <c r="A159" s="49">
        <v>10</v>
      </c>
      <c r="B159" s="109">
        <v>244208</v>
      </c>
      <c r="C159" s="51" t="s">
        <v>48</v>
      </c>
      <c r="D159" s="55" t="s">
        <v>161</v>
      </c>
      <c r="E159" s="52">
        <v>401012</v>
      </c>
      <c r="F159" s="49" t="str">
        <f>VLOOKUP(Database[[#This Row],[เลขที่บัญชี]],COA[],2,FALSE)</f>
        <v>รายได้ค่าแคดดี้</v>
      </c>
      <c r="H159" s="53">
        <v>310</v>
      </c>
      <c r="I159" s="52" t="str">
        <f>VLOOKUP(Database[[#This Row],[เลขที่บัญชี]],COA[],3,FALSE)</f>
        <v>4</v>
      </c>
      <c r="J159" s="52" t="s">
        <v>129</v>
      </c>
      <c r="K159" s="52" t="str">
        <f>VLOOKUP(Database[[#This Row],[รหัสหน่วยงาน]],Center[],2,FALSE)</f>
        <v>สำนักงานใหญ่</v>
      </c>
      <c r="L159" s="52">
        <v>1</v>
      </c>
    </row>
    <row r="160" spans="1:12">
      <c r="A160" s="49">
        <v>10</v>
      </c>
      <c r="B160" s="109">
        <v>244208</v>
      </c>
      <c r="C160" s="51" t="s">
        <v>48</v>
      </c>
      <c r="D160" s="55" t="s">
        <v>161</v>
      </c>
      <c r="E160" s="52">
        <v>101002</v>
      </c>
      <c r="F160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160" s="53">
        <v>2520</v>
      </c>
      <c r="I160" s="52" t="str">
        <f>VLOOKUP(Database[[#This Row],[เลขที่บัญชี]],COA[],3,FALSE)</f>
        <v>1</v>
      </c>
      <c r="J160" s="52" t="s">
        <v>129</v>
      </c>
      <c r="K160" s="52" t="str">
        <f>VLOOKUP(Database[[#This Row],[รหัสหน่วยงาน]],Center[],2,FALSE)</f>
        <v>สำนักงานใหญ่</v>
      </c>
      <c r="L160" s="52">
        <v>1</v>
      </c>
    </row>
    <row r="161" spans="1:12">
      <c r="A161" s="49">
        <v>10</v>
      </c>
      <c r="B161" s="109">
        <v>244208</v>
      </c>
      <c r="C161" s="51" t="s">
        <v>48</v>
      </c>
      <c r="D161" s="55" t="s">
        <v>161</v>
      </c>
      <c r="E161" s="52">
        <v>101001</v>
      </c>
      <c r="F161" s="49" t="str">
        <f>VLOOKUP(Database[[#This Row],[เลขที่บัญชี]],COA[],2,FALSE)</f>
        <v>เงินสด</v>
      </c>
      <c r="H161" s="53">
        <v>2520</v>
      </c>
      <c r="I161" s="52" t="str">
        <f>VLOOKUP(Database[[#This Row],[เลขที่บัญชี]],COA[],3,FALSE)</f>
        <v>1</v>
      </c>
      <c r="J161" s="52" t="s">
        <v>129</v>
      </c>
      <c r="K161" s="52" t="str">
        <f>VLOOKUP(Database[[#This Row],[รหัสหน่วยงาน]],Center[],2,FALSE)</f>
        <v>สำนักงานใหญ่</v>
      </c>
      <c r="L161" s="52">
        <v>1</v>
      </c>
    </row>
    <row r="162" spans="1:12">
      <c r="A162" s="49">
        <v>10</v>
      </c>
      <c r="B162" s="109">
        <v>244208</v>
      </c>
      <c r="C162" s="51" t="s">
        <v>48</v>
      </c>
      <c r="D162" s="55" t="s">
        <v>161</v>
      </c>
      <c r="E162" s="52">
        <v>101001</v>
      </c>
      <c r="F162" s="49" t="str">
        <f>VLOOKUP(Database[[#This Row],[เลขที่บัญชี]],COA[],2,FALSE)</f>
        <v>เงินสด</v>
      </c>
      <c r="G162" s="53">
        <v>2000</v>
      </c>
      <c r="I162" s="52" t="str">
        <f>VLOOKUP(Database[[#This Row],[เลขที่บัญชี]],COA[],3,FALSE)</f>
        <v>1</v>
      </c>
      <c r="J162" s="52" t="s">
        <v>129</v>
      </c>
      <c r="K162" s="52" t="str">
        <f>VLOOKUP(Database[[#This Row],[รหัสหน่วยงาน]],Center[],2,FALSE)</f>
        <v>สำนักงานใหญ่</v>
      </c>
      <c r="L162" s="52">
        <v>1</v>
      </c>
    </row>
    <row r="163" spans="1:12">
      <c r="A163" s="49">
        <v>10</v>
      </c>
      <c r="B163" s="109">
        <v>244208</v>
      </c>
      <c r="C163" s="51" t="s">
        <v>48</v>
      </c>
      <c r="D163" s="55" t="s">
        <v>161</v>
      </c>
      <c r="E163" s="52">
        <v>401008</v>
      </c>
      <c r="F163" s="49" t="str">
        <f>VLOOKUP(Database[[#This Row],[เลขที่บัญชี]],COA[],2,FALSE)</f>
        <v>รายได้ค่าสมัครสมาชิกเก่า</v>
      </c>
      <c r="H163" s="53">
        <v>2000</v>
      </c>
      <c r="I163" s="52" t="str">
        <f>VLOOKUP(Database[[#This Row],[เลขที่บัญชี]],COA[],3,FALSE)</f>
        <v>4</v>
      </c>
      <c r="J163" s="52" t="s">
        <v>129</v>
      </c>
      <c r="K163" s="52" t="str">
        <f>VLOOKUP(Database[[#This Row],[รหัสหน่วยงาน]],Center[],2,FALSE)</f>
        <v>สำนักงานใหญ่</v>
      </c>
      <c r="L163" s="52">
        <v>1</v>
      </c>
    </row>
    <row r="164" spans="1:12">
      <c r="A164" s="49">
        <v>10</v>
      </c>
      <c r="B164" s="109">
        <v>244208</v>
      </c>
      <c r="C164" s="51" t="s">
        <v>48</v>
      </c>
      <c r="D164" s="55" t="s">
        <v>161</v>
      </c>
      <c r="E164" s="52">
        <v>101002</v>
      </c>
      <c r="F164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164" s="53">
        <v>2000</v>
      </c>
      <c r="I164" s="52" t="str">
        <f>VLOOKUP(Database[[#This Row],[เลขที่บัญชี]],COA[],3,FALSE)</f>
        <v>1</v>
      </c>
      <c r="J164" s="52" t="s">
        <v>129</v>
      </c>
      <c r="K164" s="52" t="str">
        <f>VLOOKUP(Database[[#This Row],[รหัสหน่วยงาน]],Center[],2,FALSE)</f>
        <v>สำนักงานใหญ่</v>
      </c>
      <c r="L164" s="52">
        <v>1</v>
      </c>
    </row>
    <row r="165" spans="1:12">
      <c r="A165" s="49">
        <v>10</v>
      </c>
      <c r="B165" s="109">
        <v>244208</v>
      </c>
      <c r="C165" s="51" t="s">
        <v>48</v>
      </c>
      <c r="D165" s="55" t="s">
        <v>161</v>
      </c>
      <c r="E165" s="52">
        <v>101001</v>
      </c>
      <c r="F165" s="49" t="str">
        <f>VLOOKUP(Database[[#This Row],[เลขที่บัญชี]],COA[],2,FALSE)</f>
        <v>เงินสด</v>
      </c>
      <c r="H165" s="53">
        <v>2000</v>
      </c>
      <c r="I165" s="52" t="str">
        <f>VLOOKUP(Database[[#This Row],[เลขที่บัญชี]],COA[],3,FALSE)</f>
        <v>1</v>
      </c>
      <c r="J165" s="52" t="s">
        <v>129</v>
      </c>
      <c r="K165" s="52" t="str">
        <f>VLOOKUP(Database[[#This Row],[รหัสหน่วยงาน]],Center[],2,FALSE)</f>
        <v>สำนักงานใหญ่</v>
      </c>
      <c r="L165" s="52">
        <v>1</v>
      </c>
    </row>
    <row r="166" spans="1:12">
      <c r="A166" s="49">
        <v>10</v>
      </c>
      <c r="B166" s="109">
        <v>244208</v>
      </c>
      <c r="C166" s="51" t="s">
        <v>48</v>
      </c>
      <c r="D166" s="55" t="s">
        <v>161</v>
      </c>
      <c r="E166" s="52">
        <v>101001</v>
      </c>
      <c r="F166" s="49" t="str">
        <f>VLOOKUP(Database[[#This Row],[เลขที่บัญชี]],COA[],2,FALSE)</f>
        <v>เงินสด</v>
      </c>
      <c r="G166" s="53">
        <v>1200</v>
      </c>
      <c r="I166" s="52" t="str">
        <f>VLOOKUP(Database[[#This Row],[เลขที่บัญชี]],COA[],3,FALSE)</f>
        <v>1</v>
      </c>
      <c r="J166" s="52" t="s">
        <v>129</v>
      </c>
      <c r="K166" s="52" t="str">
        <f>VLOOKUP(Database[[#This Row],[รหัสหน่วยงาน]],Center[],2,FALSE)</f>
        <v>สำนักงานใหญ่</v>
      </c>
      <c r="L166" s="52">
        <v>1</v>
      </c>
    </row>
    <row r="167" spans="1:12">
      <c r="A167" s="49">
        <v>10</v>
      </c>
      <c r="B167" s="109">
        <v>244208</v>
      </c>
      <c r="C167" s="51" t="s">
        <v>48</v>
      </c>
      <c r="D167" s="55" t="s">
        <v>161</v>
      </c>
      <c r="E167" s="52">
        <v>201002</v>
      </c>
      <c r="F167" s="49" t="str">
        <f>VLOOKUP(Database[[#This Row],[เลขที่บัญชี]],COA[],2,FALSE)</f>
        <v>เงินรับฝาก-สนามไดร์ฟ</v>
      </c>
      <c r="H167" s="53">
        <v>1200</v>
      </c>
      <c r="I167" s="52" t="str">
        <f>VLOOKUP(Database[[#This Row],[เลขที่บัญชี]],COA[],3,FALSE)</f>
        <v>2</v>
      </c>
      <c r="J167" s="52" t="s">
        <v>129</v>
      </c>
      <c r="K167" s="52" t="str">
        <f>VLOOKUP(Database[[#This Row],[รหัสหน่วยงาน]],Center[],2,FALSE)</f>
        <v>สำนักงานใหญ่</v>
      </c>
      <c r="L167" s="52">
        <v>1</v>
      </c>
    </row>
    <row r="168" spans="1:12">
      <c r="A168" s="49">
        <v>10</v>
      </c>
      <c r="B168" s="109">
        <v>244208</v>
      </c>
      <c r="C168" s="51" t="s">
        <v>48</v>
      </c>
      <c r="D168" s="55" t="s">
        <v>161</v>
      </c>
      <c r="E168" s="52">
        <v>101002</v>
      </c>
      <c r="F168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168" s="53">
        <v>1200</v>
      </c>
      <c r="I168" s="52" t="str">
        <f>VLOOKUP(Database[[#This Row],[เลขที่บัญชี]],COA[],3,FALSE)</f>
        <v>1</v>
      </c>
      <c r="J168" s="52" t="s">
        <v>129</v>
      </c>
      <c r="K168" s="52" t="str">
        <f>VLOOKUP(Database[[#This Row],[รหัสหน่วยงาน]],Center[],2,FALSE)</f>
        <v>สำนักงานใหญ่</v>
      </c>
      <c r="L168" s="52">
        <v>1</v>
      </c>
    </row>
    <row r="169" spans="1:12">
      <c r="A169" s="49">
        <v>10</v>
      </c>
      <c r="B169" s="109">
        <v>244208</v>
      </c>
      <c r="C169" s="51" t="s">
        <v>48</v>
      </c>
      <c r="D169" s="55" t="s">
        <v>161</v>
      </c>
      <c r="E169" s="52">
        <v>101001</v>
      </c>
      <c r="F169" s="49" t="str">
        <f>VLOOKUP(Database[[#This Row],[เลขที่บัญชี]],COA[],2,FALSE)</f>
        <v>เงินสด</v>
      </c>
      <c r="H169" s="53">
        <v>1200</v>
      </c>
      <c r="I169" s="52" t="str">
        <f>VLOOKUP(Database[[#This Row],[เลขที่บัญชี]],COA[],3,FALSE)</f>
        <v>1</v>
      </c>
      <c r="J169" s="52" t="s">
        <v>129</v>
      </c>
      <c r="K169" s="52" t="str">
        <f>VLOOKUP(Database[[#This Row],[รหัสหน่วยงาน]],Center[],2,FALSE)</f>
        <v>สำนักงานใหญ่</v>
      </c>
      <c r="L169" s="52">
        <v>1</v>
      </c>
    </row>
    <row r="170" spans="1:12">
      <c r="A170" s="49">
        <v>11</v>
      </c>
      <c r="B170" s="109">
        <v>244239</v>
      </c>
      <c r="C170" s="51" t="s">
        <v>48</v>
      </c>
      <c r="D170" s="55" t="s">
        <v>162</v>
      </c>
      <c r="E170" s="52">
        <v>101001</v>
      </c>
      <c r="F170" s="49" t="str">
        <f>VLOOKUP(Database[[#This Row],[เลขที่บัญชี]],COA[],2,FALSE)</f>
        <v>เงินสด</v>
      </c>
      <c r="G170" s="53">
        <v>1700</v>
      </c>
      <c r="I170" s="52" t="str">
        <f>VLOOKUP(Database[[#This Row],[เลขที่บัญชี]],COA[],3,FALSE)</f>
        <v>1</v>
      </c>
      <c r="J170" s="52" t="s">
        <v>129</v>
      </c>
      <c r="K170" s="52" t="str">
        <f>VLOOKUP(Database[[#This Row],[รหัสหน่วยงาน]],Center[],2,FALSE)</f>
        <v>สำนักงานใหญ่</v>
      </c>
      <c r="L170" s="52">
        <v>1</v>
      </c>
    </row>
    <row r="171" spans="1:12">
      <c r="A171" s="49">
        <v>11</v>
      </c>
      <c r="B171" s="109">
        <v>244239</v>
      </c>
      <c r="C171" s="51" t="s">
        <v>48</v>
      </c>
      <c r="D171" s="55" t="s">
        <v>162</v>
      </c>
      <c r="E171" s="52">
        <v>401003</v>
      </c>
      <c r="F171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171" s="53">
        <v>1700</v>
      </c>
      <c r="I171" s="52" t="str">
        <f>VLOOKUP(Database[[#This Row],[เลขที่บัญชี]],COA[],3,FALSE)</f>
        <v>4</v>
      </c>
      <c r="J171" s="52" t="s">
        <v>129</v>
      </c>
      <c r="K171" s="52" t="str">
        <f>VLOOKUP(Database[[#This Row],[รหัสหน่วยงาน]],Center[],2,FALSE)</f>
        <v>สำนักงานใหญ่</v>
      </c>
      <c r="L171" s="52">
        <v>1</v>
      </c>
    </row>
    <row r="172" spans="1:12">
      <c r="A172" s="49">
        <v>11</v>
      </c>
      <c r="B172" s="109">
        <v>244239</v>
      </c>
      <c r="C172" s="51" t="s">
        <v>48</v>
      </c>
      <c r="D172" s="55" t="s">
        <v>162</v>
      </c>
      <c r="E172" s="52">
        <v>101001</v>
      </c>
      <c r="F172" s="49" t="str">
        <f>VLOOKUP(Database[[#This Row],[เลขที่บัญชี]],COA[],2,FALSE)</f>
        <v>เงินสด</v>
      </c>
      <c r="G172" s="53">
        <v>190</v>
      </c>
      <c r="I172" s="52" t="str">
        <f>VLOOKUP(Database[[#This Row],[เลขที่บัญชี]],COA[],3,FALSE)</f>
        <v>1</v>
      </c>
      <c r="J172" s="52" t="s">
        <v>129</v>
      </c>
      <c r="K172" s="52" t="str">
        <f>VLOOKUP(Database[[#This Row],[รหัสหน่วยงาน]],Center[],2,FALSE)</f>
        <v>สำนักงานใหญ่</v>
      </c>
      <c r="L172" s="52">
        <v>1</v>
      </c>
    </row>
    <row r="173" spans="1:12">
      <c r="A173" s="49">
        <v>11</v>
      </c>
      <c r="B173" s="109">
        <v>244239</v>
      </c>
      <c r="C173" s="51" t="s">
        <v>48</v>
      </c>
      <c r="D173" s="55" t="s">
        <v>162</v>
      </c>
      <c r="E173" s="52">
        <v>401012</v>
      </c>
      <c r="F173" s="49" t="str">
        <f>VLOOKUP(Database[[#This Row],[เลขที่บัญชี]],COA[],2,FALSE)</f>
        <v>รายได้ค่าแคดดี้</v>
      </c>
      <c r="H173" s="53">
        <v>190</v>
      </c>
      <c r="I173" s="52" t="str">
        <f>VLOOKUP(Database[[#This Row],[เลขที่บัญชี]],COA[],3,FALSE)</f>
        <v>4</v>
      </c>
      <c r="J173" s="52" t="s">
        <v>129</v>
      </c>
      <c r="K173" s="52" t="str">
        <f>VLOOKUP(Database[[#This Row],[รหัสหน่วยงาน]],Center[],2,FALSE)</f>
        <v>สำนักงานใหญ่</v>
      </c>
      <c r="L173" s="52">
        <v>1</v>
      </c>
    </row>
    <row r="174" spans="1:12">
      <c r="A174" s="49">
        <v>11</v>
      </c>
      <c r="B174" s="109">
        <v>244239</v>
      </c>
      <c r="C174" s="51" t="s">
        <v>48</v>
      </c>
      <c r="D174" s="55" t="s">
        <v>162</v>
      </c>
      <c r="E174" s="52">
        <v>101001</v>
      </c>
      <c r="F174" s="49" t="str">
        <f>VLOOKUP(Database[[#This Row],[เลขที่บัญชี]],COA[],2,FALSE)</f>
        <v>เงินสด</v>
      </c>
      <c r="G174" s="53">
        <v>100</v>
      </c>
      <c r="I174" s="52" t="str">
        <f>VLOOKUP(Database[[#This Row],[เลขที่บัญชี]],COA[],3,FALSE)</f>
        <v>1</v>
      </c>
      <c r="J174" s="52" t="s">
        <v>129</v>
      </c>
      <c r="K174" s="52" t="str">
        <f>VLOOKUP(Database[[#This Row],[รหัสหน่วยงาน]],Center[],2,FALSE)</f>
        <v>สำนักงานใหญ่</v>
      </c>
      <c r="L174" s="52">
        <v>1</v>
      </c>
    </row>
    <row r="175" spans="1:12">
      <c r="A175" s="49">
        <v>11</v>
      </c>
      <c r="B175" s="109">
        <v>244239</v>
      </c>
      <c r="C175" s="51" t="s">
        <v>48</v>
      </c>
      <c r="D175" s="55" t="s">
        <v>162</v>
      </c>
      <c r="E175" s="52">
        <v>401016</v>
      </c>
      <c r="F175" s="49" t="str">
        <f>VLOOKUP(Database[[#This Row],[เลขที่บัญชี]],COA[],2,FALSE)</f>
        <v>รายได้อื่น ๆ</v>
      </c>
      <c r="H175" s="53">
        <v>100</v>
      </c>
      <c r="I175" s="52">
        <f>VLOOKUP(Database[[#This Row],[เลขที่บัญชี]],COA[],3,FALSE)</f>
        <v>0</v>
      </c>
      <c r="J175" s="52" t="s">
        <v>129</v>
      </c>
      <c r="K175" s="52" t="str">
        <f>VLOOKUP(Database[[#This Row],[รหัสหน่วยงาน]],Center[],2,FALSE)</f>
        <v>สำนักงานใหญ่</v>
      </c>
      <c r="L175" s="52">
        <v>1</v>
      </c>
    </row>
    <row r="176" spans="1:12">
      <c r="A176" s="49">
        <v>11</v>
      </c>
      <c r="B176" s="109">
        <v>244239</v>
      </c>
      <c r="C176" s="51" t="s">
        <v>48</v>
      </c>
      <c r="D176" s="55" t="s">
        <v>162</v>
      </c>
      <c r="E176" s="52">
        <v>101002</v>
      </c>
      <c r="F176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176" s="53">
        <v>1990</v>
      </c>
      <c r="I176" s="52" t="str">
        <f>VLOOKUP(Database[[#This Row],[เลขที่บัญชี]],COA[],3,FALSE)</f>
        <v>1</v>
      </c>
      <c r="J176" s="52" t="s">
        <v>129</v>
      </c>
      <c r="K176" s="52" t="str">
        <f>VLOOKUP(Database[[#This Row],[รหัสหน่วยงาน]],Center[],2,FALSE)</f>
        <v>สำนักงานใหญ่</v>
      </c>
      <c r="L176" s="52">
        <v>1</v>
      </c>
    </row>
    <row r="177" spans="1:12">
      <c r="A177" s="49">
        <v>11</v>
      </c>
      <c r="B177" s="109">
        <v>244239</v>
      </c>
      <c r="C177" s="51" t="s">
        <v>48</v>
      </c>
      <c r="D177" s="55" t="s">
        <v>162</v>
      </c>
      <c r="E177" s="52">
        <v>101001</v>
      </c>
      <c r="F177" s="49" t="str">
        <f>VLOOKUP(Database[[#This Row],[เลขที่บัญชี]],COA[],2,FALSE)</f>
        <v>เงินสด</v>
      </c>
      <c r="H177" s="53">
        <v>1990</v>
      </c>
      <c r="I177" s="52" t="str">
        <f>VLOOKUP(Database[[#This Row],[เลขที่บัญชี]],COA[],3,FALSE)</f>
        <v>1</v>
      </c>
      <c r="J177" s="52" t="s">
        <v>129</v>
      </c>
      <c r="K177" s="52" t="str">
        <f>VLOOKUP(Database[[#This Row],[รหัสหน่วยงาน]],Center[],2,FALSE)</f>
        <v>สำนักงานใหญ่</v>
      </c>
      <c r="L177" s="52">
        <v>1</v>
      </c>
    </row>
    <row r="178" spans="1:12">
      <c r="A178" s="49">
        <v>12</v>
      </c>
      <c r="B178" s="109">
        <v>244239</v>
      </c>
      <c r="C178" s="51" t="s">
        <v>164</v>
      </c>
      <c r="D178" s="55" t="s">
        <v>165</v>
      </c>
      <c r="E178" s="52">
        <v>501003</v>
      </c>
      <c r="F178" s="49" t="str">
        <f>VLOOKUP(Database[[#This Row],[เลขที่บัญชี]],COA[],2,FALSE)</f>
        <v>ค่าภาษีสรรพสามิต</v>
      </c>
      <c r="G178" s="53">
        <v>12159.4</v>
      </c>
      <c r="I178" s="52" t="str">
        <f>VLOOKUP(Database[[#This Row],[เลขที่บัญชี]],COA[],3,FALSE)</f>
        <v>5</v>
      </c>
      <c r="J178" s="52" t="s">
        <v>129</v>
      </c>
      <c r="K178" s="52" t="str">
        <f>VLOOKUP(Database[[#This Row],[รหัสหน่วยงาน]],Center[],2,FALSE)</f>
        <v>สำนักงานใหญ่</v>
      </c>
      <c r="L178" s="52">
        <v>1</v>
      </c>
    </row>
    <row r="179" spans="1:12">
      <c r="A179" s="49">
        <v>12</v>
      </c>
      <c r="B179" s="109">
        <v>244239</v>
      </c>
      <c r="C179" s="51" t="s">
        <v>164</v>
      </c>
      <c r="D179" s="55" t="s">
        <v>165</v>
      </c>
      <c r="E179" s="52">
        <v>101002</v>
      </c>
      <c r="F179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H179" s="53">
        <v>12159.4</v>
      </c>
      <c r="I179" s="52" t="str">
        <f>VLOOKUP(Database[[#This Row],[เลขที่บัญชี]],COA[],3,FALSE)</f>
        <v>1</v>
      </c>
      <c r="J179" s="52" t="s">
        <v>129</v>
      </c>
      <c r="K179" s="52" t="str">
        <f>VLOOKUP(Database[[#This Row],[รหัสหน่วยงาน]],Center[],2,FALSE)</f>
        <v>สำนักงานใหญ่</v>
      </c>
      <c r="L179" s="52">
        <v>1</v>
      </c>
    </row>
    <row r="180" spans="1:12">
      <c r="A180" s="49">
        <v>13</v>
      </c>
      <c r="B180" s="109">
        <v>244239</v>
      </c>
      <c r="C180" s="51" t="s">
        <v>166</v>
      </c>
      <c r="D180" s="55" t="s">
        <v>167</v>
      </c>
      <c r="E180" s="52">
        <v>501001</v>
      </c>
      <c r="F180" s="49" t="str">
        <f>VLOOKUP(Database[[#This Row],[เลขที่บัญชี]],COA[],2,FALSE)</f>
        <v>ค่าจ้าง</v>
      </c>
      <c r="G180" s="53">
        <v>61600</v>
      </c>
      <c r="I180" s="52" t="str">
        <f>VLOOKUP(Database[[#This Row],[เลขที่บัญชี]],COA[],3,FALSE)</f>
        <v>5</v>
      </c>
      <c r="J180" s="52" t="s">
        <v>129</v>
      </c>
      <c r="K180" s="52" t="str">
        <f>VLOOKUP(Database[[#This Row],[รหัสหน่วยงาน]],Center[],2,FALSE)</f>
        <v>สำนักงานใหญ่</v>
      </c>
      <c r="L180" s="52">
        <v>1</v>
      </c>
    </row>
    <row r="181" spans="1:12">
      <c r="A181" s="49">
        <v>13</v>
      </c>
      <c r="B181" s="109">
        <v>244239</v>
      </c>
      <c r="C181" s="51" t="s">
        <v>166</v>
      </c>
      <c r="D181" s="55" t="s">
        <v>167</v>
      </c>
      <c r="E181" s="52">
        <v>101002</v>
      </c>
      <c r="F181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H181" s="53">
        <v>61600</v>
      </c>
      <c r="I181" s="52" t="str">
        <f>VLOOKUP(Database[[#This Row],[เลขที่บัญชี]],COA[],3,FALSE)</f>
        <v>1</v>
      </c>
      <c r="J181" s="52" t="s">
        <v>129</v>
      </c>
      <c r="K181" s="52" t="str">
        <f>VLOOKUP(Database[[#This Row],[รหัสหน่วยงาน]],Center[],2,FALSE)</f>
        <v>สำนักงานใหญ่</v>
      </c>
      <c r="L181" s="52">
        <v>1</v>
      </c>
    </row>
    <row r="182" spans="1:12">
      <c r="A182" s="49">
        <v>14</v>
      </c>
      <c r="B182" s="109">
        <v>244269</v>
      </c>
      <c r="C182" s="51" t="s">
        <v>48</v>
      </c>
      <c r="D182" s="55" t="s">
        <v>161</v>
      </c>
      <c r="E182" s="52">
        <v>101001</v>
      </c>
      <c r="F182" s="49" t="str">
        <f>VLOOKUP(Database[[#This Row],[เลขที่บัญชี]],COA[],2,FALSE)</f>
        <v>เงินสด</v>
      </c>
      <c r="G182" s="53">
        <v>3100</v>
      </c>
      <c r="I182" s="52" t="str">
        <f>VLOOKUP(Database[[#This Row],[เลขที่บัญชี]],COA[],3,FALSE)</f>
        <v>1</v>
      </c>
      <c r="J182" s="52" t="s">
        <v>129</v>
      </c>
      <c r="K182" s="52" t="str">
        <f>VLOOKUP(Database[[#This Row],[รหัสหน่วยงาน]],Center[],2,FALSE)</f>
        <v>สำนักงานใหญ่</v>
      </c>
      <c r="L182" s="52">
        <v>1</v>
      </c>
    </row>
    <row r="183" spans="1:12">
      <c r="A183" s="49">
        <v>14</v>
      </c>
      <c r="B183" s="109">
        <v>244269</v>
      </c>
      <c r="C183" s="51" t="s">
        <v>48</v>
      </c>
      <c r="D183" s="55" t="s">
        <v>161</v>
      </c>
      <c r="E183" s="52">
        <v>401003</v>
      </c>
      <c r="F183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183" s="53">
        <v>3100</v>
      </c>
      <c r="I183" s="52" t="str">
        <f>VLOOKUP(Database[[#This Row],[เลขที่บัญชี]],COA[],3,FALSE)</f>
        <v>4</v>
      </c>
      <c r="J183" s="52" t="s">
        <v>129</v>
      </c>
      <c r="K183" s="52" t="str">
        <f>VLOOKUP(Database[[#This Row],[รหัสหน่วยงาน]],Center[],2,FALSE)</f>
        <v>สำนักงานใหญ่</v>
      </c>
      <c r="L183" s="52">
        <v>1</v>
      </c>
    </row>
    <row r="184" spans="1:12">
      <c r="A184" s="49">
        <v>14</v>
      </c>
      <c r="B184" s="109">
        <v>244269</v>
      </c>
      <c r="C184" s="51" t="s">
        <v>48</v>
      </c>
      <c r="D184" s="55" t="s">
        <v>161</v>
      </c>
      <c r="E184" s="52">
        <v>101001</v>
      </c>
      <c r="F184" s="49" t="str">
        <f>VLOOKUP(Database[[#This Row],[เลขที่บัญชี]],COA[],2,FALSE)</f>
        <v>เงินสด</v>
      </c>
      <c r="G184" s="53">
        <v>720</v>
      </c>
      <c r="I184" s="52" t="str">
        <f>VLOOKUP(Database[[#This Row],[เลขที่บัญชี]],COA[],3,FALSE)</f>
        <v>1</v>
      </c>
      <c r="J184" s="52" t="s">
        <v>129</v>
      </c>
      <c r="K184" s="52" t="str">
        <f>VLOOKUP(Database[[#This Row],[รหัสหน่วยงาน]],Center[],2,FALSE)</f>
        <v>สำนักงานใหญ่</v>
      </c>
      <c r="L184" s="52">
        <v>1</v>
      </c>
    </row>
    <row r="185" spans="1:12">
      <c r="A185" s="49">
        <v>14</v>
      </c>
      <c r="B185" s="109">
        <v>244269</v>
      </c>
      <c r="C185" s="51" t="s">
        <v>48</v>
      </c>
      <c r="D185" s="55" t="s">
        <v>161</v>
      </c>
      <c r="E185" s="52">
        <v>401005</v>
      </c>
      <c r="F185" s="49" t="str">
        <f>VLOOKUP(Database[[#This Row],[เลขที่บัญชี]],COA[],2,FALSE)</f>
        <v>รายได้ค่าบริการสนามกอล์ฟ รหัส 05 (บุคคลทั่วไป-วันหยุดราชการ)</v>
      </c>
      <c r="H185" s="53">
        <v>720</v>
      </c>
      <c r="I185" s="52" t="str">
        <f>VLOOKUP(Database[[#This Row],[เลขที่บัญชี]],COA[],3,FALSE)</f>
        <v>4</v>
      </c>
      <c r="J185" s="52" t="s">
        <v>129</v>
      </c>
      <c r="K185" s="52" t="str">
        <f>VLOOKUP(Database[[#This Row],[รหัสหน่วยงาน]],Center[],2,FALSE)</f>
        <v>สำนักงานใหญ่</v>
      </c>
      <c r="L185" s="52">
        <v>1</v>
      </c>
    </row>
    <row r="186" spans="1:12">
      <c r="A186" s="49">
        <v>14</v>
      </c>
      <c r="B186" s="109">
        <v>244269</v>
      </c>
      <c r="C186" s="51" t="s">
        <v>48</v>
      </c>
      <c r="D186" s="55" t="s">
        <v>161</v>
      </c>
      <c r="E186" s="52">
        <v>101001</v>
      </c>
      <c r="F186" s="49" t="str">
        <f>VLOOKUP(Database[[#This Row],[เลขที่บัญชี]],COA[],2,FALSE)</f>
        <v>เงินสด</v>
      </c>
      <c r="G186" s="53">
        <v>150</v>
      </c>
      <c r="I186" s="52" t="str">
        <f>VLOOKUP(Database[[#This Row],[เลขที่บัญชี]],COA[],3,FALSE)</f>
        <v>1</v>
      </c>
      <c r="J186" s="52" t="s">
        <v>129</v>
      </c>
      <c r="K186" s="52" t="str">
        <f>VLOOKUP(Database[[#This Row],[รหัสหน่วยงาน]],Center[],2,FALSE)</f>
        <v>สำนักงานใหญ่</v>
      </c>
      <c r="L186" s="52">
        <v>1</v>
      </c>
    </row>
    <row r="187" spans="1:12">
      <c r="A187" s="49">
        <v>14</v>
      </c>
      <c r="B187" s="109">
        <v>244269</v>
      </c>
      <c r="C187" s="51" t="s">
        <v>48</v>
      </c>
      <c r="D187" s="55" t="s">
        <v>161</v>
      </c>
      <c r="E187" s="52">
        <v>401007</v>
      </c>
      <c r="F187" s="49" t="str">
        <f>VLOOKUP(Database[[#This Row],[เลขที่บัญชี]],COA[],2,FALSE)</f>
        <v>รายได้ค่าบริการสนามกอล์ฟ รหัส 07 (ค่าบริการสนาม-เพิ่มรอบที่ 3)</v>
      </c>
      <c r="H187" s="53">
        <v>150</v>
      </c>
      <c r="I187" s="52" t="str">
        <f>VLOOKUP(Database[[#This Row],[เลขที่บัญชี]],COA[],3,FALSE)</f>
        <v>4</v>
      </c>
      <c r="J187" s="52" t="s">
        <v>129</v>
      </c>
      <c r="K187" s="52" t="str">
        <f>VLOOKUP(Database[[#This Row],[รหัสหน่วยงาน]],Center[],2,FALSE)</f>
        <v>สำนักงานใหญ่</v>
      </c>
      <c r="L187" s="52">
        <v>1</v>
      </c>
    </row>
    <row r="188" spans="1:12">
      <c r="A188" s="49">
        <v>14</v>
      </c>
      <c r="B188" s="109">
        <v>244269</v>
      </c>
      <c r="C188" s="51" t="s">
        <v>48</v>
      </c>
      <c r="D188" s="55" t="s">
        <v>161</v>
      </c>
      <c r="E188" s="52">
        <v>101001</v>
      </c>
      <c r="F188" s="49" t="str">
        <f>VLOOKUP(Database[[#This Row],[เลขที่บัญชี]],COA[],2,FALSE)</f>
        <v>เงินสด</v>
      </c>
      <c r="G188" s="53">
        <v>100</v>
      </c>
      <c r="I188" s="52" t="str">
        <f>VLOOKUP(Database[[#This Row],[เลขที่บัญชี]],COA[],3,FALSE)</f>
        <v>1</v>
      </c>
      <c r="J188" s="52" t="s">
        <v>129</v>
      </c>
      <c r="K188" s="52" t="str">
        <f>VLOOKUP(Database[[#This Row],[รหัสหน่วยงาน]],Center[],2,FALSE)</f>
        <v>สำนักงานใหญ่</v>
      </c>
      <c r="L188" s="52">
        <v>1</v>
      </c>
    </row>
    <row r="189" spans="1:12">
      <c r="A189" s="49">
        <v>14</v>
      </c>
      <c r="B189" s="109">
        <v>244269</v>
      </c>
      <c r="C189" s="51" t="s">
        <v>48</v>
      </c>
      <c r="D189" s="55" t="s">
        <v>161</v>
      </c>
      <c r="E189" s="52">
        <v>401018</v>
      </c>
      <c r="F189" s="49" t="str">
        <f>VLOOKUP(Database[[#This Row],[เลขที่บัญชี]],COA[],2,FALSE)</f>
        <v>ค่าบริการสนามผู้ติดตาม</v>
      </c>
      <c r="H189" s="53">
        <v>100</v>
      </c>
      <c r="I189" s="52" t="str">
        <f>VLOOKUP(Database[[#This Row],[เลขที่บัญชี]],COA[],3,FALSE)</f>
        <v>4</v>
      </c>
      <c r="J189" s="52" t="s">
        <v>129</v>
      </c>
      <c r="K189" s="52" t="str">
        <f>VLOOKUP(Database[[#This Row],[รหัสหน่วยงาน]],Center[],2,FALSE)</f>
        <v>สำนักงานใหญ่</v>
      </c>
      <c r="L189" s="52">
        <v>1</v>
      </c>
    </row>
    <row r="190" spans="1:12">
      <c r="A190" s="49">
        <v>14</v>
      </c>
      <c r="B190" s="109">
        <v>244269</v>
      </c>
      <c r="C190" s="51" t="s">
        <v>48</v>
      </c>
      <c r="D190" s="55" t="s">
        <v>161</v>
      </c>
      <c r="E190" s="52">
        <v>101001</v>
      </c>
      <c r="F190" s="49" t="str">
        <f>VLOOKUP(Database[[#This Row],[เลขที่บัญชี]],COA[],2,FALSE)</f>
        <v>เงินสด</v>
      </c>
      <c r="G190" s="53">
        <v>510</v>
      </c>
      <c r="I190" s="52" t="str">
        <f>VLOOKUP(Database[[#This Row],[เลขที่บัญชี]],COA[],3,FALSE)</f>
        <v>1</v>
      </c>
      <c r="J190" s="52" t="s">
        <v>129</v>
      </c>
      <c r="K190" s="52" t="str">
        <f>VLOOKUP(Database[[#This Row],[รหัสหน่วยงาน]],Center[],2,FALSE)</f>
        <v>สำนักงานใหญ่</v>
      </c>
      <c r="L190" s="52">
        <v>1</v>
      </c>
    </row>
    <row r="191" spans="1:12">
      <c r="A191" s="49">
        <v>14</v>
      </c>
      <c r="B191" s="109">
        <v>244269</v>
      </c>
      <c r="C191" s="51" t="s">
        <v>48</v>
      </c>
      <c r="D191" s="55" t="s">
        <v>161</v>
      </c>
      <c r="E191" s="52">
        <v>401012</v>
      </c>
      <c r="F191" s="49" t="str">
        <f>VLOOKUP(Database[[#This Row],[เลขที่บัญชี]],COA[],2,FALSE)</f>
        <v>รายได้ค่าแคดดี้</v>
      </c>
      <c r="H191" s="53">
        <v>510</v>
      </c>
      <c r="I191" s="52" t="str">
        <f>VLOOKUP(Database[[#This Row],[เลขที่บัญชี]],COA[],3,FALSE)</f>
        <v>4</v>
      </c>
      <c r="J191" s="52" t="s">
        <v>129</v>
      </c>
      <c r="K191" s="52" t="str">
        <f>VLOOKUP(Database[[#This Row],[รหัสหน่วยงาน]],Center[],2,FALSE)</f>
        <v>สำนักงานใหญ่</v>
      </c>
      <c r="L191" s="52">
        <v>1</v>
      </c>
    </row>
    <row r="192" spans="1:12">
      <c r="A192" s="49">
        <v>14</v>
      </c>
      <c r="B192" s="109">
        <v>244269</v>
      </c>
      <c r="C192" s="51" t="s">
        <v>48</v>
      </c>
      <c r="D192" s="55" t="s">
        <v>161</v>
      </c>
      <c r="E192" s="52">
        <v>101002</v>
      </c>
      <c r="F192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192" s="53">
        <v>4580</v>
      </c>
      <c r="I192" s="52" t="str">
        <f>VLOOKUP(Database[[#This Row],[เลขที่บัญชี]],COA[],3,FALSE)</f>
        <v>1</v>
      </c>
      <c r="J192" s="52" t="s">
        <v>129</v>
      </c>
      <c r="K192" s="52" t="str">
        <f>VLOOKUP(Database[[#This Row],[รหัสหน่วยงาน]],Center[],2,FALSE)</f>
        <v>สำนักงานใหญ่</v>
      </c>
      <c r="L192" s="52">
        <v>1</v>
      </c>
    </row>
    <row r="193" spans="1:12">
      <c r="A193" s="49">
        <v>14</v>
      </c>
      <c r="B193" s="109">
        <v>244269</v>
      </c>
      <c r="C193" s="51" t="s">
        <v>48</v>
      </c>
      <c r="D193" s="55" t="s">
        <v>161</v>
      </c>
      <c r="E193" s="52">
        <v>101001</v>
      </c>
      <c r="F193" s="49" t="str">
        <f>VLOOKUP(Database[[#This Row],[เลขที่บัญชี]],COA[],2,FALSE)</f>
        <v>เงินสด</v>
      </c>
      <c r="H193" s="53">
        <v>4580</v>
      </c>
      <c r="I193" s="52" t="str">
        <f>VLOOKUP(Database[[#This Row],[เลขที่บัญชี]],COA[],3,FALSE)</f>
        <v>1</v>
      </c>
      <c r="J193" s="52" t="s">
        <v>129</v>
      </c>
      <c r="K193" s="52" t="str">
        <f>VLOOKUP(Database[[#This Row],[รหัสหน่วยงาน]],Center[],2,FALSE)</f>
        <v>สำนักงานใหญ่</v>
      </c>
      <c r="L193" s="52">
        <v>1</v>
      </c>
    </row>
    <row r="194" spans="1:12">
      <c r="A194" s="49">
        <v>15</v>
      </c>
      <c r="B194" s="109">
        <v>244300</v>
      </c>
      <c r="C194" s="51" t="s">
        <v>48</v>
      </c>
      <c r="D194" s="55" t="s">
        <v>161</v>
      </c>
      <c r="E194" s="52">
        <v>101001</v>
      </c>
      <c r="F194" s="49" t="str">
        <f>VLOOKUP(Database[[#This Row],[เลขที่บัญชี]],COA[],2,FALSE)</f>
        <v>เงินสด</v>
      </c>
      <c r="G194" s="53">
        <v>1000</v>
      </c>
      <c r="I194" s="52" t="str">
        <f>VLOOKUP(Database[[#This Row],[เลขที่บัญชี]],COA[],3,FALSE)</f>
        <v>1</v>
      </c>
      <c r="J194" s="52" t="s">
        <v>129</v>
      </c>
      <c r="K194" s="52" t="str">
        <f>VLOOKUP(Database[[#This Row],[รหัสหน่วยงาน]],Center[],2,FALSE)</f>
        <v>สำนักงานใหญ่</v>
      </c>
      <c r="L194" s="52">
        <v>1</v>
      </c>
    </row>
    <row r="195" spans="1:12">
      <c r="A195" s="49">
        <v>15</v>
      </c>
      <c r="B195" s="109">
        <v>244300</v>
      </c>
      <c r="C195" s="51" t="s">
        <v>48</v>
      </c>
      <c r="D195" s="55" t="s">
        <v>161</v>
      </c>
      <c r="E195" s="52">
        <v>401003</v>
      </c>
      <c r="F195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195" s="53">
        <v>1000</v>
      </c>
      <c r="I195" s="52" t="str">
        <f>VLOOKUP(Database[[#This Row],[เลขที่บัญชี]],COA[],3,FALSE)</f>
        <v>4</v>
      </c>
      <c r="J195" s="52" t="s">
        <v>129</v>
      </c>
      <c r="K195" s="52" t="str">
        <f>VLOOKUP(Database[[#This Row],[รหัสหน่วยงาน]],Center[],2,FALSE)</f>
        <v>สำนักงานใหญ่</v>
      </c>
      <c r="L195" s="52">
        <v>1</v>
      </c>
    </row>
    <row r="196" spans="1:12">
      <c r="A196" s="49">
        <v>15</v>
      </c>
      <c r="B196" s="109">
        <v>244300</v>
      </c>
      <c r="C196" s="51" t="s">
        <v>48</v>
      </c>
      <c r="D196" s="55" t="s">
        <v>161</v>
      </c>
      <c r="E196" s="52">
        <v>101001</v>
      </c>
      <c r="F196" s="49" t="str">
        <f>VLOOKUP(Database[[#This Row],[เลขที่บัญชี]],COA[],2,FALSE)</f>
        <v>เงินสด</v>
      </c>
      <c r="G196" s="53">
        <v>50</v>
      </c>
      <c r="I196" s="52" t="str">
        <f>VLOOKUP(Database[[#This Row],[เลขที่บัญชี]],COA[],3,FALSE)</f>
        <v>1</v>
      </c>
      <c r="J196" s="52" t="s">
        <v>129</v>
      </c>
      <c r="K196" s="52" t="str">
        <f>VLOOKUP(Database[[#This Row],[รหัสหน่วยงาน]],Center[],2,FALSE)</f>
        <v>สำนักงานใหญ่</v>
      </c>
      <c r="L196" s="52">
        <v>1</v>
      </c>
    </row>
    <row r="197" spans="1:12">
      <c r="A197" s="49">
        <v>15</v>
      </c>
      <c r="B197" s="109">
        <v>244300</v>
      </c>
      <c r="C197" s="51" t="s">
        <v>48</v>
      </c>
      <c r="D197" s="55" t="s">
        <v>161</v>
      </c>
      <c r="E197" s="52">
        <v>401012</v>
      </c>
      <c r="F197" s="49" t="str">
        <f>VLOOKUP(Database[[#This Row],[เลขที่บัญชี]],COA[],2,FALSE)</f>
        <v>รายได้ค่าแคดดี้</v>
      </c>
      <c r="H197" s="53">
        <v>50</v>
      </c>
      <c r="I197" s="52" t="str">
        <f>VLOOKUP(Database[[#This Row],[เลขที่บัญชี]],COA[],3,FALSE)</f>
        <v>4</v>
      </c>
      <c r="J197" s="52" t="s">
        <v>129</v>
      </c>
      <c r="K197" s="52" t="str">
        <f>VLOOKUP(Database[[#This Row],[รหัสหน่วยงาน]],Center[],2,FALSE)</f>
        <v>สำนักงานใหญ่</v>
      </c>
      <c r="L197" s="52">
        <v>1</v>
      </c>
    </row>
    <row r="198" spans="1:12">
      <c r="A198" s="49">
        <v>15</v>
      </c>
      <c r="B198" s="109">
        <v>244300</v>
      </c>
      <c r="C198" s="51" t="s">
        <v>48</v>
      </c>
      <c r="D198" s="55" t="s">
        <v>161</v>
      </c>
      <c r="E198" s="52">
        <v>101002</v>
      </c>
      <c r="F198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198" s="53">
        <v>1050</v>
      </c>
      <c r="I198" s="52" t="str">
        <f>VLOOKUP(Database[[#This Row],[เลขที่บัญชี]],COA[],3,FALSE)</f>
        <v>1</v>
      </c>
      <c r="J198" s="52" t="s">
        <v>129</v>
      </c>
      <c r="K198" s="52" t="str">
        <f>VLOOKUP(Database[[#This Row],[รหัสหน่วยงาน]],Center[],2,FALSE)</f>
        <v>สำนักงานใหญ่</v>
      </c>
      <c r="L198" s="52">
        <v>1</v>
      </c>
    </row>
    <row r="199" spans="1:12">
      <c r="A199" s="49">
        <v>15</v>
      </c>
      <c r="B199" s="109">
        <v>244300</v>
      </c>
      <c r="C199" s="51" t="s">
        <v>48</v>
      </c>
      <c r="D199" s="55" t="s">
        <v>161</v>
      </c>
      <c r="E199" s="52">
        <v>101001</v>
      </c>
      <c r="F199" s="49" t="str">
        <f>VLOOKUP(Database[[#This Row],[เลขที่บัญชี]],COA[],2,FALSE)</f>
        <v>เงินสด</v>
      </c>
      <c r="H199" s="53">
        <v>1050</v>
      </c>
      <c r="I199" s="52" t="str">
        <f>VLOOKUP(Database[[#This Row],[เลขที่บัญชี]],COA[],3,FALSE)</f>
        <v>1</v>
      </c>
      <c r="J199" s="52" t="s">
        <v>129</v>
      </c>
      <c r="K199" s="52" t="str">
        <f>VLOOKUP(Database[[#This Row],[รหัสหน่วยงาน]],Center[],2,FALSE)</f>
        <v>สำนักงานใหญ่</v>
      </c>
      <c r="L199" s="52">
        <v>1</v>
      </c>
    </row>
    <row r="200" spans="1:12">
      <c r="A200" s="49">
        <v>15</v>
      </c>
      <c r="B200" s="109">
        <v>244300</v>
      </c>
      <c r="C200" s="51" t="s">
        <v>48</v>
      </c>
      <c r="D200" s="55" t="s">
        <v>161</v>
      </c>
      <c r="E200" s="52">
        <v>101001</v>
      </c>
      <c r="F200" s="49" t="str">
        <f>VLOOKUP(Database[[#This Row],[เลขที่บัญชี]],COA[],2,FALSE)</f>
        <v>เงินสด</v>
      </c>
      <c r="G200" s="53">
        <v>600</v>
      </c>
      <c r="I200" s="52" t="str">
        <f>VLOOKUP(Database[[#This Row],[เลขที่บัญชี]],COA[],3,FALSE)</f>
        <v>1</v>
      </c>
      <c r="J200" s="52" t="s">
        <v>129</v>
      </c>
      <c r="K200" s="52" t="str">
        <f>VLOOKUP(Database[[#This Row],[รหัสหน่วยงาน]],Center[],2,FALSE)</f>
        <v>สำนักงานใหญ่</v>
      </c>
      <c r="L200" s="52">
        <v>1</v>
      </c>
    </row>
    <row r="201" spans="1:12">
      <c r="A201" s="49">
        <v>15</v>
      </c>
      <c r="B201" s="109">
        <v>244300</v>
      </c>
      <c r="C201" s="51" t="s">
        <v>48</v>
      </c>
      <c r="D201" s="55" t="s">
        <v>161</v>
      </c>
      <c r="E201" s="52">
        <v>401003</v>
      </c>
      <c r="F201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01" s="53">
        <v>600</v>
      </c>
      <c r="I201" s="52" t="str">
        <f>VLOOKUP(Database[[#This Row],[เลขที่บัญชี]],COA[],3,FALSE)</f>
        <v>4</v>
      </c>
      <c r="J201" s="52" t="s">
        <v>129</v>
      </c>
      <c r="K201" s="52" t="str">
        <f>VLOOKUP(Database[[#This Row],[รหัสหน่วยงาน]],Center[],2,FALSE)</f>
        <v>สำนักงานใหญ่</v>
      </c>
      <c r="L201" s="52">
        <v>1</v>
      </c>
    </row>
    <row r="202" spans="1:12">
      <c r="A202" s="49">
        <v>15</v>
      </c>
      <c r="B202" s="109">
        <v>244300</v>
      </c>
      <c r="C202" s="51" t="s">
        <v>48</v>
      </c>
      <c r="D202" s="55" t="s">
        <v>161</v>
      </c>
      <c r="E202" s="52">
        <v>101001</v>
      </c>
      <c r="F202" s="49" t="str">
        <f>VLOOKUP(Database[[#This Row],[เลขที่บัญชี]],COA[],2,FALSE)</f>
        <v>เงินสด</v>
      </c>
      <c r="G202" s="53">
        <v>70</v>
      </c>
      <c r="I202" s="52" t="str">
        <f>VLOOKUP(Database[[#This Row],[เลขที่บัญชี]],COA[],3,FALSE)</f>
        <v>1</v>
      </c>
      <c r="J202" s="52" t="s">
        <v>129</v>
      </c>
      <c r="K202" s="52" t="str">
        <f>VLOOKUP(Database[[#This Row],[รหัสหน่วยงาน]],Center[],2,FALSE)</f>
        <v>สำนักงานใหญ่</v>
      </c>
      <c r="L202" s="52">
        <v>1</v>
      </c>
    </row>
    <row r="203" spans="1:12">
      <c r="A203" s="49">
        <v>15</v>
      </c>
      <c r="B203" s="109">
        <v>244300</v>
      </c>
      <c r="C203" s="51" t="s">
        <v>48</v>
      </c>
      <c r="D203" s="55" t="s">
        <v>161</v>
      </c>
      <c r="E203" s="52">
        <v>401012</v>
      </c>
      <c r="F203" s="49" t="str">
        <f>VLOOKUP(Database[[#This Row],[เลขที่บัญชี]],COA[],2,FALSE)</f>
        <v>รายได้ค่าแคดดี้</v>
      </c>
      <c r="H203" s="53">
        <v>70</v>
      </c>
      <c r="I203" s="52" t="str">
        <f>VLOOKUP(Database[[#This Row],[เลขที่บัญชี]],COA[],3,FALSE)</f>
        <v>4</v>
      </c>
      <c r="J203" s="52" t="s">
        <v>129</v>
      </c>
      <c r="K203" s="52" t="str">
        <f>VLOOKUP(Database[[#This Row],[รหัสหน่วยงาน]],Center[],2,FALSE)</f>
        <v>สำนักงานใหญ่</v>
      </c>
      <c r="L203" s="52">
        <v>1</v>
      </c>
    </row>
    <row r="204" spans="1:12">
      <c r="A204" s="49">
        <v>15</v>
      </c>
      <c r="B204" s="109">
        <v>244300</v>
      </c>
      <c r="C204" s="51" t="s">
        <v>48</v>
      </c>
      <c r="D204" s="55" t="s">
        <v>161</v>
      </c>
      <c r="E204" s="52">
        <v>101002</v>
      </c>
      <c r="F204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04" s="53">
        <v>670</v>
      </c>
      <c r="I204" s="52" t="str">
        <f>VLOOKUP(Database[[#This Row],[เลขที่บัญชี]],COA[],3,FALSE)</f>
        <v>1</v>
      </c>
      <c r="J204" s="52" t="s">
        <v>129</v>
      </c>
      <c r="K204" s="52" t="str">
        <f>VLOOKUP(Database[[#This Row],[รหัสหน่วยงาน]],Center[],2,FALSE)</f>
        <v>สำนักงานใหญ่</v>
      </c>
      <c r="L204" s="52">
        <v>1</v>
      </c>
    </row>
    <row r="205" spans="1:12">
      <c r="A205" s="49">
        <v>15</v>
      </c>
      <c r="B205" s="109">
        <v>244300</v>
      </c>
      <c r="C205" s="51" t="s">
        <v>48</v>
      </c>
      <c r="D205" s="55" t="s">
        <v>161</v>
      </c>
      <c r="E205" s="52">
        <v>101001</v>
      </c>
      <c r="F205" s="49" t="str">
        <f>VLOOKUP(Database[[#This Row],[เลขที่บัญชี]],COA[],2,FALSE)</f>
        <v>เงินสด</v>
      </c>
      <c r="H205" s="53">
        <v>670</v>
      </c>
      <c r="I205" s="52" t="str">
        <f>VLOOKUP(Database[[#This Row],[เลขที่บัญชี]],COA[],3,FALSE)</f>
        <v>1</v>
      </c>
      <c r="J205" s="52" t="s">
        <v>129</v>
      </c>
      <c r="K205" s="52" t="str">
        <f>VLOOKUP(Database[[#This Row],[รหัสหน่วยงาน]],Center[],2,FALSE)</f>
        <v>สำนักงานใหญ่</v>
      </c>
      <c r="L205" s="52">
        <v>1</v>
      </c>
    </row>
    <row r="206" spans="1:12">
      <c r="A206" s="49">
        <v>16</v>
      </c>
      <c r="B206" s="109">
        <v>244330</v>
      </c>
      <c r="C206" s="51" t="s">
        <v>48</v>
      </c>
      <c r="D206" s="55" t="s">
        <v>161</v>
      </c>
      <c r="E206" s="52">
        <v>101001</v>
      </c>
      <c r="F206" s="49" t="str">
        <f>VLOOKUP(Database[[#This Row],[เลขที่บัญชี]],COA[],2,FALSE)</f>
        <v>เงินสด</v>
      </c>
      <c r="G206" s="53">
        <v>1000</v>
      </c>
      <c r="I206" s="52" t="str">
        <f>VLOOKUP(Database[[#This Row],[เลขที่บัญชี]],COA[],3,FALSE)</f>
        <v>1</v>
      </c>
      <c r="J206" s="52" t="s">
        <v>129</v>
      </c>
      <c r="K206" s="52" t="str">
        <f>VLOOKUP(Database[[#This Row],[รหัสหน่วยงาน]],Center[],2,FALSE)</f>
        <v>สำนักงานใหญ่</v>
      </c>
      <c r="L206" s="52">
        <v>1</v>
      </c>
    </row>
    <row r="207" spans="1:12">
      <c r="A207" s="49">
        <v>16</v>
      </c>
      <c r="B207" s="109">
        <v>244330</v>
      </c>
      <c r="C207" s="51" t="s">
        <v>48</v>
      </c>
      <c r="D207" s="55" t="s">
        <v>161</v>
      </c>
      <c r="E207" s="52">
        <v>401003</v>
      </c>
      <c r="F207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07" s="53">
        <v>1000</v>
      </c>
      <c r="I207" s="52" t="str">
        <f>VLOOKUP(Database[[#This Row],[เลขที่บัญชี]],COA[],3,FALSE)</f>
        <v>4</v>
      </c>
      <c r="J207" s="52" t="s">
        <v>129</v>
      </c>
      <c r="K207" s="52" t="str">
        <f>VLOOKUP(Database[[#This Row],[รหัสหน่วยงาน]],Center[],2,FALSE)</f>
        <v>สำนักงานใหญ่</v>
      </c>
      <c r="L207" s="52">
        <v>1</v>
      </c>
    </row>
    <row r="208" spans="1:12">
      <c r="A208" s="49">
        <v>16</v>
      </c>
      <c r="B208" s="109">
        <v>244330</v>
      </c>
      <c r="C208" s="51" t="s">
        <v>48</v>
      </c>
      <c r="D208" s="55" t="s">
        <v>161</v>
      </c>
      <c r="E208" s="52">
        <v>101001</v>
      </c>
      <c r="F208" s="49" t="str">
        <f>VLOOKUP(Database[[#This Row],[เลขที่บัญชี]],COA[],2,FALSE)</f>
        <v>เงินสด</v>
      </c>
      <c r="G208" s="53">
        <v>90</v>
      </c>
      <c r="I208" s="52" t="str">
        <f>VLOOKUP(Database[[#This Row],[เลขที่บัญชี]],COA[],3,FALSE)</f>
        <v>1</v>
      </c>
      <c r="J208" s="52" t="s">
        <v>129</v>
      </c>
      <c r="K208" s="52" t="str">
        <f>VLOOKUP(Database[[#This Row],[รหัสหน่วยงาน]],Center[],2,FALSE)</f>
        <v>สำนักงานใหญ่</v>
      </c>
      <c r="L208" s="52">
        <v>1</v>
      </c>
    </row>
    <row r="209" spans="1:12">
      <c r="A209" s="49">
        <v>16</v>
      </c>
      <c r="B209" s="109">
        <v>244330</v>
      </c>
      <c r="C209" s="51" t="s">
        <v>48</v>
      </c>
      <c r="D209" s="55" t="s">
        <v>161</v>
      </c>
      <c r="E209" s="52">
        <v>401012</v>
      </c>
      <c r="F209" s="49" t="str">
        <f>VLOOKUP(Database[[#This Row],[เลขที่บัญชี]],COA[],2,FALSE)</f>
        <v>รายได้ค่าแคดดี้</v>
      </c>
      <c r="H209" s="53">
        <v>90</v>
      </c>
      <c r="I209" s="52" t="str">
        <f>VLOOKUP(Database[[#This Row],[เลขที่บัญชี]],COA[],3,FALSE)</f>
        <v>4</v>
      </c>
      <c r="J209" s="52" t="s">
        <v>129</v>
      </c>
      <c r="K209" s="52" t="str">
        <f>VLOOKUP(Database[[#This Row],[รหัสหน่วยงาน]],Center[],2,FALSE)</f>
        <v>สำนักงานใหญ่</v>
      </c>
      <c r="L209" s="52">
        <v>1</v>
      </c>
    </row>
    <row r="210" spans="1:12">
      <c r="A210" s="49">
        <v>16</v>
      </c>
      <c r="B210" s="109">
        <v>244330</v>
      </c>
      <c r="C210" s="51" t="s">
        <v>48</v>
      </c>
      <c r="D210" s="55" t="s">
        <v>161</v>
      </c>
      <c r="E210" s="52">
        <v>101002</v>
      </c>
      <c r="F210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10" s="53">
        <v>1090</v>
      </c>
      <c r="I210" s="52" t="str">
        <f>VLOOKUP(Database[[#This Row],[เลขที่บัญชี]],COA[],3,FALSE)</f>
        <v>1</v>
      </c>
      <c r="J210" s="52" t="s">
        <v>129</v>
      </c>
      <c r="K210" s="52" t="str">
        <f>VLOOKUP(Database[[#This Row],[รหัสหน่วยงาน]],Center[],2,FALSE)</f>
        <v>สำนักงานใหญ่</v>
      </c>
      <c r="L210" s="52">
        <v>1</v>
      </c>
    </row>
    <row r="211" spans="1:12">
      <c r="A211" s="49">
        <v>16</v>
      </c>
      <c r="B211" s="109">
        <v>244330</v>
      </c>
      <c r="C211" s="51" t="s">
        <v>48</v>
      </c>
      <c r="D211" s="55" t="s">
        <v>161</v>
      </c>
      <c r="E211" s="52">
        <v>101001</v>
      </c>
      <c r="F211" s="49" t="str">
        <f>VLOOKUP(Database[[#This Row],[เลขที่บัญชี]],COA[],2,FALSE)</f>
        <v>เงินสด</v>
      </c>
      <c r="H211" s="53">
        <v>1090</v>
      </c>
      <c r="I211" s="52" t="str">
        <f>VLOOKUP(Database[[#This Row],[เลขที่บัญชี]],COA[],3,FALSE)</f>
        <v>1</v>
      </c>
      <c r="J211" s="52" t="s">
        <v>129</v>
      </c>
      <c r="K211" s="52" t="str">
        <f>VLOOKUP(Database[[#This Row],[รหัสหน่วยงาน]],Center[],2,FALSE)</f>
        <v>สำนักงานใหญ่</v>
      </c>
      <c r="L211" s="52">
        <v>1</v>
      </c>
    </row>
    <row r="212" spans="1:12">
      <c r="A212" s="49">
        <v>16</v>
      </c>
      <c r="B212" s="109">
        <v>244330</v>
      </c>
      <c r="C212" s="51" t="s">
        <v>48</v>
      </c>
      <c r="D212" s="55" t="s">
        <v>161</v>
      </c>
      <c r="E212" s="52">
        <v>101001</v>
      </c>
      <c r="F212" s="49" t="str">
        <f>VLOOKUP(Database[[#This Row],[เลขที่บัญชี]],COA[],2,FALSE)</f>
        <v>เงินสด</v>
      </c>
      <c r="G212" s="53">
        <v>1800</v>
      </c>
      <c r="I212" s="52" t="str">
        <f>VLOOKUP(Database[[#This Row],[เลขที่บัญชี]],COA[],3,FALSE)</f>
        <v>1</v>
      </c>
      <c r="J212" s="52" t="s">
        <v>129</v>
      </c>
      <c r="K212" s="52" t="str">
        <f>VLOOKUP(Database[[#This Row],[รหัสหน่วยงาน]],Center[],2,FALSE)</f>
        <v>สำนักงานใหญ่</v>
      </c>
      <c r="L212" s="52">
        <v>1</v>
      </c>
    </row>
    <row r="213" spans="1:12">
      <c r="A213" s="49">
        <v>16</v>
      </c>
      <c r="B213" s="109">
        <v>244330</v>
      </c>
      <c r="C213" s="51" t="s">
        <v>48</v>
      </c>
      <c r="D213" s="55" t="s">
        <v>161</v>
      </c>
      <c r="E213" s="52">
        <v>401003</v>
      </c>
      <c r="F213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13" s="53">
        <v>1800</v>
      </c>
      <c r="I213" s="52" t="str">
        <f>VLOOKUP(Database[[#This Row],[เลขที่บัญชี]],COA[],3,FALSE)</f>
        <v>4</v>
      </c>
      <c r="J213" s="52" t="s">
        <v>129</v>
      </c>
      <c r="K213" s="52" t="str">
        <f>VLOOKUP(Database[[#This Row],[รหัสหน่วยงาน]],Center[],2,FALSE)</f>
        <v>สำนักงานใหญ่</v>
      </c>
      <c r="L213" s="52">
        <v>1</v>
      </c>
    </row>
    <row r="214" spans="1:12">
      <c r="A214" s="49">
        <v>16</v>
      </c>
      <c r="B214" s="109">
        <v>244330</v>
      </c>
      <c r="C214" s="51" t="s">
        <v>48</v>
      </c>
      <c r="D214" s="55" t="s">
        <v>161</v>
      </c>
      <c r="E214" s="52">
        <v>101001</v>
      </c>
      <c r="F214" s="49" t="str">
        <f>VLOOKUP(Database[[#This Row],[เลขที่บัญชี]],COA[],2,FALSE)</f>
        <v>เงินสด</v>
      </c>
      <c r="G214" s="53">
        <v>180</v>
      </c>
      <c r="I214" s="52" t="str">
        <f>VLOOKUP(Database[[#This Row],[เลขที่บัญชี]],COA[],3,FALSE)</f>
        <v>1</v>
      </c>
      <c r="J214" s="52" t="s">
        <v>129</v>
      </c>
      <c r="K214" s="52" t="str">
        <f>VLOOKUP(Database[[#This Row],[รหัสหน่วยงาน]],Center[],2,FALSE)</f>
        <v>สำนักงานใหญ่</v>
      </c>
      <c r="L214" s="52">
        <v>1</v>
      </c>
    </row>
    <row r="215" spans="1:12">
      <c r="A215" s="49">
        <v>16</v>
      </c>
      <c r="B215" s="109">
        <v>244330</v>
      </c>
      <c r="C215" s="51" t="s">
        <v>48</v>
      </c>
      <c r="D215" s="55" t="s">
        <v>161</v>
      </c>
      <c r="E215" s="52">
        <v>401004</v>
      </c>
      <c r="F215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215" s="53">
        <v>180</v>
      </c>
      <c r="I215" s="52" t="str">
        <f>VLOOKUP(Database[[#This Row],[เลขที่บัญชี]],COA[],3,FALSE)</f>
        <v>4</v>
      </c>
      <c r="J215" s="52" t="s">
        <v>129</v>
      </c>
      <c r="K215" s="52" t="str">
        <f>VLOOKUP(Database[[#This Row],[รหัสหน่วยงาน]],Center[],2,FALSE)</f>
        <v>สำนักงานใหญ่</v>
      </c>
      <c r="L215" s="52">
        <v>1</v>
      </c>
    </row>
    <row r="216" spans="1:12">
      <c r="A216" s="49">
        <v>16</v>
      </c>
      <c r="B216" s="109">
        <v>244330</v>
      </c>
      <c r="C216" s="51" t="s">
        <v>48</v>
      </c>
      <c r="D216" s="55" t="s">
        <v>161</v>
      </c>
      <c r="E216" s="52">
        <v>101001</v>
      </c>
      <c r="F216" s="49" t="str">
        <f>VLOOKUP(Database[[#This Row],[เลขที่บัญชี]],COA[],2,FALSE)</f>
        <v>เงินสด</v>
      </c>
      <c r="G216" s="53">
        <v>250</v>
      </c>
      <c r="I216" s="52" t="str">
        <f>VLOOKUP(Database[[#This Row],[เลขที่บัญชี]],COA[],3,FALSE)</f>
        <v>1</v>
      </c>
      <c r="J216" s="52" t="s">
        <v>129</v>
      </c>
      <c r="K216" s="52" t="str">
        <f>VLOOKUP(Database[[#This Row],[รหัสหน่วยงาน]],Center[],2,FALSE)</f>
        <v>สำนักงานใหญ่</v>
      </c>
      <c r="L216" s="52">
        <v>1</v>
      </c>
    </row>
    <row r="217" spans="1:12">
      <c r="A217" s="49">
        <v>16</v>
      </c>
      <c r="B217" s="109">
        <v>244330</v>
      </c>
      <c r="C217" s="51" t="s">
        <v>48</v>
      </c>
      <c r="D217" s="55" t="s">
        <v>161</v>
      </c>
      <c r="E217" s="52">
        <v>401012</v>
      </c>
      <c r="F217" s="49" t="str">
        <f>VLOOKUP(Database[[#This Row],[เลขที่บัญชี]],COA[],2,FALSE)</f>
        <v>รายได้ค่าแคดดี้</v>
      </c>
      <c r="H217" s="53">
        <v>250</v>
      </c>
      <c r="I217" s="52" t="str">
        <f>VLOOKUP(Database[[#This Row],[เลขที่บัญชี]],COA[],3,FALSE)</f>
        <v>4</v>
      </c>
      <c r="J217" s="52" t="s">
        <v>129</v>
      </c>
      <c r="K217" s="52" t="str">
        <f>VLOOKUP(Database[[#This Row],[รหัสหน่วยงาน]],Center[],2,FALSE)</f>
        <v>สำนักงานใหญ่</v>
      </c>
      <c r="L217" s="52">
        <v>1</v>
      </c>
    </row>
    <row r="218" spans="1:12">
      <c r="A218" s="49">
        <v>16</v>
      </c>
      <c r="B218" s="109">
        <v>244330</v>
      </c>
      <c r="C218" s="51" t="s">
        <v>48</v>
      </c>
      <c r="D218" s="55" t="s">
        <v>161</v>
      </c>
      <c r="E218" s="52">
        <v>101002</v>
      </c>
      <c r="F218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18" s="53">
        <v>2230</v>
      </c>
      <c r="I218" s="52" t="str">
        <f>VLOOKUP(Database[[#This Row],[เลขที่บัญชี]],COA[],3,FALSE)</f>
        <v>1</v>
      </c>
      <c r="J218" s="52" t="s">
        <v>129</v>
      </c>
      <c r="K218" s="52" t="str">
        <f>VLOOKUP(Database[[#This Row],[รหัสหน่วยงาน]],Center[],2,FALSE)</f>
        <v>สำนักงานใหญ่</v>
      </c>
      <c r="L218" s="52">
        <v>1</v>
      </c>
    </row>
    <row r="219" spans="1:12">
      <c r="A219" s="49">
        <v>16</v>
      </c>
      <c r="B219" s="109">
        <v>244330</v>
      </c>
      <c r="C219" s="51" t="s">
        <v>48</v>
      </c>
      <c r="D219" s="55" t="s">
        <v>161</v>
      </c>
      <c r="E219" s="52">
        <v>101001</v>
      </c>
      <c r="F219" s="49" t="str">
        <f>VLOOKUP(Database[[#This Row],[เลขที่บัญชี]],COA[],2,FALSE)</f>
        <v>เงินสด</v>
      </c>
      <c r="H219" s="53">
        <v>2230</v>
      </c>
      <c r="I219" s="52" t="str">
        <f>VLOOKUP(Database[[#This Row],[เลขที่บัญชี]],COA[],3,FALSE)</f>
        <v>1</v>
      </c>
      <c r="J219" s="52" t="s">
        <v>129</v>
      </c>
      <c r="K219" s="52" t="str">
        <f>VLOOKUP(Database[[#This Row],[รหัสหน่วยงาน]],Center[],2,FALSE)</f>
        <v>สำนักงานใหญ่</v>
      </c>
      <c r="L219" s="52">
        <v>1</v>
      </c>
    </row>
    <row r="220" spans="1:12">
      <c r="A220" s="49">
        <v>16</v>
      </c>
      <c r="B220" s="109">
        <v>244330</v>
      </c>
      <c r="C220" s="51" t="s">
        <v>48</v>
      </c>
      <c r="D220" s="55" t="s">
        <v>161</v>
      </c>
      <c r="E220" s="52">
        <v>101001</v>
      </c>
      <c r="F220" s="49" t="str">
        <f>VLOOKUP(Database[[#This Row],[เลขที่บัญชี]],COA[],2,FALSE)</f>
        <v>เงินสด</v>
      </c>
      <c r="G220" s="53">
        <v>800</v>
      </c>
      <c r="I220" s="52" t="str">
        <f>VLOOKUP(Database[[#This Row],[เลขที่บัญชี]],COA[],3,FALSE)</f>
        <v>1</v>
      </c>
      <c r="J220" s="52" t="s">
        <v>129</v>
      </c>
      <c r="K220" s="52" t="str">
        <f>VLOOKUP(Database[[#This Row],[รหัสหน่วยงาน]],Center[],2,FALSE)</f>
        <v>สำนักงานใหญ่</v>
      </c>
      <c r="L220" s="52">
        <v>1</v>
      </c>
    </row>
    <row r="221" spans="1:12">
      <c r="A221" s="49">
        <v>16</v>
      </c>
      <c r="B221" s="109">
        <v>244330</v>
      </c>
      <c r="C221" s="51" t="s">
        <v>48</v>
      </c>
      <c r="D221" s="55" t="s">
        <v>161</v>
      </c>
      <c r="E221" s="52">
        <v>201002</v>
      </c>
      <c r="F221" s="49" t="str">
        <f>VLOOKUP(Database[[#This Row],[เลขที่บัญชี]],COA[],2,FALSE)</f>
        <v>เงินรับฝาก-สนามไดร์ฟ</v>
      </c>
      <c r="H221" s="53">
        <v>800</v>
      </c>
      <c r="I221" s="52" t="str">
        <f>VLOOKUP(Database[[#This Row],[เลขที่บัญชี]],COA[],3,FALSE)</f>
        <v>2</v>
      </c>
      <c r="J221" s="52" t="s">
        <v>129</v>
      </c>
      <c r="K221" s="52" t="str">
        <f>VLOOKUP(Database[[#This Row],[รหัสหน่วยงาน]],Center[],2,FALSE)</f>
        <v>สำนักงานใหญ่</v>
      </c>
      <c r="L221" s="52">
        <v>1</v>
      </c>
    </row>
    <row r="222" spans="1:12">
      <c r="A222" s="49">
        <v>16</v>
      </c>
      <c r="B222" s="109">
        <v>244330</v>
      </c>
      <c r="C222" s="51" t="s">
        <v>48</v>
      </c>
      <c r="D222" s="55" t="s">
        <v>161</v>
      </c>
      <c r="E222" s="52">
        <v>101002</v>
      </c>
      <c r="F222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22" s="53">
        <v>800</v>
      </c>
      <c r="I222" s="52" t="str">
        <f>VLOOKUP(Database[[#This Row],[เลขที่บัญชี]],COA[],3,FALSE)</f>
        <v>1</v>
      </c>
      <c r="J222" s="52" t="s">
        <v>129</v>
      </c>
      <c r="K222" s="52" t="str">
        <f>VLOOKUP(Database[[#This Row],[รหัสหน่วยงาน]],Center[],2,FALSE)</f>
        <v>สำนักงานใหญ่</v>
      </c>
      <c r="L222" s="52">
        <v>1</v>
      </c>
    </row>
    <row r="223" spans="1:12">
      <c r="A223" s="49">
        <v>16</v>
      </c>
      <c r="B223" s="109">
        <v>244330</v>
      </c>
      <c r="C223" s="51" t="s">
        <v>48</v>
      </c>
      <c r="D223" s="55" t="s">
        <v>161</v>
      </c>
      <c r="E223" s="52">
        <v>101001</v>
      </c>
      <c r="F223" s="49" t="str">
        <f>VLOOKUP(Database[[#This Row],[เลขที่บัญชี]],COA[],2,FALSE)</f>
        <v>เงินสด</v>
      </c>
      <c r="H223" s="53">
        <v>800</v>
      </c>
      <c r="I223" s="52" t="str">
        <f>VLOOKUP(Database[[#This Row],[เลขที่บัญชี]],COA[],3,FALSE)</f>
        <v>1</v>
      </c>
      <c r="J223" s="52" t="s">
        <v>129</v>
      </c>
      <c r="K223" s="52" t="str">
        <f>VLOOKUP(Database[[#This Row],[รหัสหน่วยงาน]],Center[],2,FALSE)</f>
        <v>สำนักงานใหญ่</v>
      </c>
      <c r="L223" s="52">
        <v>1</v>
      </c>
    </row>
    <row r="224" spans="1:12">
      <c r="A224" s="49">
        <v>17</v>
      </c>
      <c r="B224" s="109" t="s">
        <v>168</v>
      </c>
      <c r="C224" s="51" t="s">
        <v>48</v>
      </c>
      <c r="D224" s="55" t="s">
        <v>161</v>
      </c>
      <c r="E224" s="52">
        <v>101001</v>
      </c>
      <c r="F224" s="49" t="str">
        <f>VLOOKUP(Database[[#This Row],[เลขที่บัญชี]],COA[],2,FALSE)</f>
        <v>เงินสด</v>
      </c>
      <c r="G224" s="53">
        <v>2900</v>
      </c>
      <c r="I224" s="52" t="str">
        <f>VLOOKUP(Database[[#This Row],[เลขที่บัญชี]],COA[],3,FALSE)</f>
        <v>1</v>
      </c>
      <c r="J224" s="52" t="s">
        <v>129</v>
      </c>
      <c r="K224" s="52" t="str">
        <f>VLOOKUP(Database[[#This Row],[รหัสหน่วยงาน]],Center[],2,FALSE)</f>
        <v>สำนักงานใหญ่</v>
      </c>
      <c r="L224" s="52">
        <v>1</v>
      </c>
    </row>
    <row r="225" spans="1:12">
      <c r="A225" s="49">
        <v>17</v>
      </c>
      <c r="B225" s="109" t="s">
        <v>168</v>
      </c>
      <c r="C225" s="51" t="s">
        <v>48</v>
      </c>
      <c r="D225" s="55" t="s">
        <v>161</v>
      </c>
      <c r="E225" s="52">
        <v>401003</v>
      </c>
      <c r="F225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25" s="53">
        <v>2900</v>
      </c>
      <c r="I225" s="52" t="str">
        <f>VLOOKUP(Database[[#This Row],[เลขที่บัญชี]],COA[],3,FALSE)</f>
        <v>4</v>
      </c>
      <c r="J225" s="52" t="s">
        <v>129</v>
      </c>
      <c r="K225" s="52" t="str">
        <f>VLOOKUP(Database[[#This Row],[รหัสหน่วยงาน]],Center[],2,FALSE)</f>
        <v>สำนักงานใหญ่</v>
      </c>
      <c r="L225" s="52">
        <v>1</v>
      </c>
    </row>
    <row r="226" spans="1:12">
      <c r="A226" s="49">
        <v>17</v>
      </c>
      <c r="B226" s="109" t="s">
        <v>168</v>
      </c>
      <c r="C226" s="51" t="s">
        <v>48</v>
      </c>
      <c r="D226" s="55" t="s">
        <v>161</v>
      </c>
      <c r="E226" s="52">
        <v>101001</v>
      </c>
      <c r="F226" s="49" t="str">
        <f>VLOOKUP(Database[[#This Row],[เลขที่บัญชี]],COA[],2,FALSE)</f>
        <v>เงินสด</v>
      </c>
      <c r="G226" s="53">
        <v>240</v>
      </c>
      <c r="I226" s="52" t="str">
        <f>VLOOKUP(Database[[#This Row],[เลขที่บัญชี]],COA[],3,FALSE)</f>
        <v>1</v>
      </c>
      <c r="J226" s="52" t="s">
        <v>129</v>
      </c>
      <c r="K226" s="52" t="str">
        <f>VLOOKUP(Database[[#This Row],[รหัสหน่วยงาน]],Center[],2,FALSE)</f>
        <v>สำนักงานใหญ่</v>
      </c>
      <c r="L226" s="52">
        <v>1</v>
      </c>
    </row>
    <row r="227" spans="1:12">
      <c r="A227" s="49">
        <v>17</v>
      </c>
      <c r="B227" s="109" t="s">
        <v>168</v>
      </c>
      <c r="C227" s="51" t="s">
        <v>48</v>
      </c>
      <c r="D227" s="55" t="s">
        <v>161</v>
      </c>
      <c r="E227" s="52">
        <v>401005</v>
      </c>
      <c r="F227" s="49" t="str">
        <f>VLOOKUP(Database[[#This Row],[เลขที่บัญชี]],COA[],2,FALSE)</f>
        <v>รายได้ค่าบริการสนามกอล์ฟ รหัส 05 (บุคคลทั่วไป-วันหยุดราชการ)</v>
      </c>
      <c r="H227" s="53">
        <v>240</v>
      </c>
      <c r="I227" s="52" t="str">
        <f>VLOOKUP(Database[[#This Row],[เลขที่บัญชี]],COA[],3,FALSE)</f>
        <v>4</v>
      </c>
      <c r="J227" s="52" t="s">
        <v>129</v>
      </c>
      <c r="K227" s="52" t="str">
        <f>VLOOKUP(Database[[#This Row],[รหัสหน่วยงาน]],Center[],2,FALSE)</f>
        <v>สำนักงานใหญ่</v>
      </c>
      <c r="L227" s="52">
        <v>1</v>
      </c>
    </row>
    <row r="228" spans="1:12">
      <c r="A228" s="49">
        <v>17</v>
      </c>
      <c r="B228" s="109" t="s">
        <v>168</v>
      </c>
      <c r="C228" s="51" t="s">
        <v>48</v>
      </c>
      <c r="D228" s="55" t="s">
        <v>161</v>
      </c>
      <c r="E228" s="52">
        <v>101001</v>
      </c>
      <c r="F228" s="49" t="str">
        <f>VLOOKUP(Database[[#This Row],[เลขที่บัญชี]],COA[],2,FALSE)</f>
        <v>เงินสด</v>
      </c>
      <c r="G228" s="53">
        <v>410</v>
      </c>
      <c r="I228" s="52" t="str">
        <f>VLOOKUP(Database[[#This Row],[เลขที่บัญชี]],COA[],3,FALSE)</f>
        <v>1</v>
      </c>
      <c r="J228" s="52" t="s">
        <v>129</v>
      </c>
      <c r="K228" s="52" t="str">
        <f>VLOOKUP(Database[[#This Row],[รหัสหน่วยงาน]],Center[],2,FALSE)</f>
        <v>สำนักงานใหญ่</v>
      </c>
      <c r="L228" s="52">
        <v>1</v>
      </c>
    </row>
    <row r="229" spans="1:12">
      <c r="A229" s="49">
        <v>17</v>
      </c>
      <c r="B229" s="109" t="s">
        <v>168</v>
      </c>
      <c r="C229" s="51" t="s">
        <v>48</v>
      </c>
      <c r="D229" s="55" t="s">
        <v>161</v>
      </c>
      <c r="E229" s="52">
        <v>401012</v>
      </c>
      <c r="F229" s="49" t="str">
        <f>VLOOKUP(Database[[#This Row],[เลขที่บัญชี]],COA[],2,FALSE)</f>
        <v>รายได้ค่าแคดดี้</v>
      </c>
      <c r="H229" s="53">
        <v>410</v>
      </c>
      <c r="I229" s="52" t="str">
        <f>VLOOKUP(Database[[#This Row],[เลขที่บัญชี]],COA[],3,FALSE)</f>
        <v>4</v>
      </c>
      <c r="J229" s="52" t="s">
        <v>129</v>
      </c>
      <c r="K229" s="52" t="str">
        <f>VLOOKUP(Database[[#This Row],[รหัสหน่วยงาน]],Center[],2,FALSE)</f>
        <v>สำนักงานใหญ่</v>
      </c>
      <c r="L229" s="52">
        <v>1</v>
      </c>
    </row>
    <row r="230" spans="1:12">
      <c r="A230" s="49">
        <v>17</v>
      </c>
      <c r="B230" s="109" t="s">
        <v>168</v>
      </c>
      <c r="C230" s="51" t="s">
        <v>48</v>
      </c>
      <c r="D230" s="55" t="s">
        <v>161</v>
      </c>
      <c r="E230" s="52">
        <v>101002</v>
      </c>
      <c r="F230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30" s="53">
        <v>3550</v>
      </c>
      <c r="I230" s="52" t="str">
        <f>VLOOKUP(Database[[#This Row],[เลขที่บัญชี]],COA[],3,FALSE)</f>
        <v>1</v>
      </c>
      <c r="J230" s="52" t="s">
        <v>129</v>
      </c>
      <c r="K230" s="52" t="str">
        <f>VLOOKUP(Database[[#This Row],[รหัสหน่วยงาน]],Center[],2,FALSE)</f>
        <v>สำนักงานใหญ่</v>
      </c>
      <c r="L230" s="52">
        <v>1</v>
      </c>
    </row>
    <row r="231" spans="1:12">
      <c r="A231" s="49">
        <v>17</v>
      </c>
      <c r="B231" s="109" t="s">
        <v>168</v>
      </c>
      <c r="C231" s="51" t="s">
        <v>48</v>
      </c>
      <c r="D231" s="55" t="s">
        <v>161</v>
      </c>
      <c r="E231" s="52">
        <v>101001</v>
      </c>
      <c r="F231" s="49" t="str">
        <f>VLOOKUP(Database[[#This Row],[เลขที่บัญชี]],COA[],2,FALSE)</f>
        <v>เงินสด</v>
      </c>
      <c r="H231" s="53">
        <v>3550</v>
      </c>
      <c r="I231" s="52" t="str">
        <f>VLOOKUP(Database[[#This Row],[เลขที่บัญชี]],COA[],3,FALSE)</f>
        <v>1</v>
      </c>
      <c r="J231" s="52" t="s">
        <v>129</v>
      </c>
      <c r="K231" s="52" t="str">
        <f>VLOOKUP(Database[[#This Row],[รหัสหน่วยงาน]],Center[],2,FALSE)</f>
        <v>สำนักงานใหญ่</v>
      </c>
      <c r="L231" s="52">
        <v>1</v>
      </c>
    </row>
    <row r="232" spans="1:12">
      <c r="A232" s="49">
        <v>18</v>
      </c>
      <c r="B232" s="109" t="s">
        <v>169</v>
      </c>
      <c r="C232" s="51" t="s">
        <v>48</v>
      </c>
      <c r="D232" s="55" t="s">
        <v>161</v>
      </c>
      <c r="E232" s="52">
        <v>101001</v>
      </c>
      <c r="F232" s="49" t="str">
        <f>VLOOKUP(Database[[#This Row],[เลขที่บัญชี]],COA[],2,FALSE)</f>
        <v>เงินสด</v>
      </c>
      <c r="G232" s="53">
        <v>2800</v>
      </c>
      <c r="I232" s="52" t="str">
        <f>VLOOKUP(Database[[#This Row],[เลขที่บัญชี]],COA[],3,FALSE)</f>
        <v>1</v>
      </c>
      <c r="J232" s="52" t="s">
        <v>129</v>
      </c>
      <c r="K232" s="52" t="str">
        <f>VLOOKUP(Database[[#This Row],[รหัสหน่วยงาน]],Center[],2,FALSE)</f>
        <v>สำนักงานใหญ่</v>
      </c>
      <c r="L232" s="52">
        <v>1</v>
      </c>
    </row>
    <row r="233" spans="1:12">
      <c r="A233" s="49">
        <v>18</v>
      </c>
      <c r="B233" s="109" t="s">
        <v>169</v>
      </c>
      <c r="C233" s="51" t="s">
        <v>48</v>
      </c>
      <c r="D233" s="55" t="s">
        <v>161</v>
      </c>
      <c r="E233" s="52">
        <v>401003</v>
      </c>
      <c r="F233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33" s="53">
        <v>2800</v>
      </c>
      <c r="I233" s="52" t="str">
        <f>VLOOKUP(Database[[#This Row],[เลขที่บัญชี]],COA[],3,FALSE)</f>
        <v>4</v>
      </c>
      <c r="J233" s="52" t="s">
        <v>129</v>
      </c>
      <c r="K233" s="52" t="str">
        <f>VLOOKUP(Database[[#This Row],[รหัสหน่วยงาน]],Center[],2,FALSE)</f>
        <v>สำนักงานใหญ่</v>
      </c>
      <c r="L233" s="52">
        <v>1</v>
      </c>
    </row>
    <row r="234" spans="1:12">
      <c r="A234" s="49">
        <v>18</v>
      </c>
      <c r="B234" s="109" t="s">
        <v>169</v>
      </c>
      <c r="C234" s="51" t="s">
        <v>48</v>
      </c>
      <c r="D234" s="55" t="s">
        <v>161</v>
      </c>
      <c r="E234" s="52">
        <v>101001</v>
      </c>
      <c r="F234" s="49" t="str">
        <f>VLOOKUP(Database[[#This Row],[เลขที่บัญชี]],COA[],2,FALSE)</f>
        <v>เงินสด</v>
      </c>
      <c r="G234" s="53">
        <v>240</v>
      </c>
      <c r="I234" s="52" t="str">
        <f>VLOOKUP(Database[[#This Row],[เลขที่บัญชี]],COA[],3,FALSE)</f>
        <v>1</v>
      </c>
      <c r="J234" s="52" t="s">
        <v>129</v>
      </c>
      <c r="K234" s="52" t="str">
        <f>VLOOKUP(Database[[#This Row],[รหัสหน่วยงาน]],Center[],2,FALSE)</f>
        <v>สำนักงานใหญ่</v>
      </c>
      <c r="L234" s="52">
        <v>1</v>
      </c>
    </row>
    <row r="235" spans="1:12">
      <c r="A235" s="49">
        <v>18</v>
      </c>
      <c r="B235" s="109" t="s">
        <v>169</v>
      </c>
      <c r="C235" s="51" t="s">
        <v>48</v>
      </c>
      <c r="D235" s="55" t="s">
        <v>161</v>
      </c>
      <c r="E235" s="52">
        <v>401005</v>
      </c>
      <c r="F235" s="49" t="str">
        <f>VLOOKUP(Database[[#This Row],[เลขที่บัญชี]],COA[],2,FALSE)</f>
        <v>รายได้ค่าบริการสนามกอล์ฟ รหัส 05 (บุคคลทั่วไป-วันหยุดราชการ)</v>
      </c>
      <c r="H235" s="53">
        <v>240</v>
      </c>
      <c r="I235" s="52" t="str">
        <f>VLOOKUP(Database[[#This Row],[เลขที่บัญชี]],COA[],3,FALSE)</f>
        <v>4</v>
      </c>
      <c r="J235" s="52" t="s">
        <v>129</v>
      </c>
      <c r="K235" s="52" t="str">
        <f>VLOOKUP(Database[[#This Row],[รหัสหน่วยงาน]],Center[],2,FALSE)</f>
        <v>สำนักงานใหญ่</v>
      </c>
      <c r="L235" s="52">
        <v>1</v>
      </c>
    </row>
    <row r="236" spans="1:12">
      <c r="A236" s="49">
        <v>18</v>
      </c>
      <c r="B236" s="109" t="s">
        <v>169</v>
      </c>
      <c r="C236" s="51" t="s">
        <v>48</v>
      </c>
      <c r="D236" s="55" t="s">
        <v>161</v>
      </c>
      <c r="E236" s="52">
        <v>101001</v>
      </c>
      <c r="F236" s="49" t="str">
        <f>VLOOKUP(Database[[#This Row],[เลขที่บัญชี]],COA[],2,FALSE)</f>
        <v>เงินสด</v>
      </c>
      <c r="G236" s="53">
        <v>370</v>
      </c>
      <c r="I236" s="52" t="str">
        <f>VLOOKUP(Database[[#This Row],[เลขที่บัญชี]],COA[],3,FALSE)</f>
        <v>1</v>
      </c>
      <c r="J236" s="52" t="s">
        <v>129</v>
      </c>
      <c r="K236" s="52" t="str">
        <f>VLOOKUP(Database[[#This Row],[รหัสหน่วยงาน]],Center[],2,FALSE)</f>
        <v>สำนักงานใหญ่</v>
      </c>
      <c r="L236" s="52">
        <v>1</v>
      </c>
    </row>
    <row r="237" spans="1:12">
      <c r="A237" s="49">
        <v>18</v>
      </c>
      <c r="B237" s="109" t="s">
        <v>169</v>
      </c>
      <c r="C237" s="51" t="s">
        <v>48</v>
      </c>
      <c r="D237" s="55" t="s">
        <v>161</v>
      </c>
      <c r="E237" s="52">
        <v>401012</v>
      </c>
      <c r="F237" s="49" t="str">
        <f>VLOOKUP(Database[[#This Row],[เลขที่บัญชี]],COA[],2,FALSE)</f>
        <v>รายได้ค่าแคดดี้</v>
      </c>
      <c r="H237" s="53">
        <v>370</v>
      </c>
      <c r="I237" s="52" t="str">
        <f>VLOOKUP(Database[[#This Row],[เลขที่บัญชี]],COA[],3,FALSE)</f>
        <v>4</v>
      </c>
      <c r="J237" s="52" t="s">
        <v>129</v>
      </c>
      <c r="K237" s="52" t="str">
        <f>VLOOKUP(Database[[#This Row],[รหัสหน่วยงาน]],Center[],2,FALSE)</f>
        <v>สำนักงานใหญ่</v>
      </c>
      <c r="L237" s="52">
        <v>1</v>
      </c>
    </row>
    <row r="238" spans="1:12">
      <c r="A238" s="49">
        <v>18</v>
      </c>
      <c r="B238" s="109" t="s">
        <v>169</v>
      </c>
      <c r="C238" s="51" t="s">
        <v>48</v>
      </c>
      <c r="D238" s="55" t="s">
        <v>161</v>
      </c>
      <c r="E238" s="52">
        <v>101002</v>
      </c>
      <c r="F238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38" s="53">
        <v>3410</v>
      </c>
      <c r="I238" s="52" t="str">
        <f>VLOOKUP(Database[[#This Row],[เลขที่บัญชี]],COA[],3,FALSE)</f>
        <v>1</v>
      </c>
      <c r="J238" s="52" t="s">
        <v>129</v>
      </c>
      <c r="K238" s="52" t="str">
        <f>VLOOKUP(Database[[#This Row],[รหัสหน่วยงาน]],Center[],2,FALSE)</f>
        <v>สำนักงานใหญ่</v>
      </c>
      <c r="L238" s="52">
        <v>1</v>
      </c>
    </row>
    <row r="239" spans="1:12">
      <c r="A239" s="49">
        <v>18</v>
      </c>
      <c r="B239" s="109" t="s">
        <v>169</v>
      </c>
      <c r="C239" s="51" t="s">
        <v>48</v>
      </c>
      <c r="D239" s="55" t="s">
        <v>161</v>
      </c>
      <c r="E239" s="52">
        <v>101001</v>
      </c>
      <c r="F239" s="49" t="str">
        <f>VLOOKUP(Database[[#This Row],[เลขที่บัญชี]],COA[],2,FALSE)</f>
        <v>เงินสด</v>
      </c>
      <c r="H239" s="53">
        <v>3410</v>
      </c>
      <c r="I239" s="52" t="str">
        <f>VLOOKUP(Database[[#This Row],[เลขที่บัญชี]],COA[],3,FALSE)</f>
        <v>1</v>
      </c>
      <c r="J239" s="52" t="s">
        <v>129</v>
      </c>
      <c r="K239" s="52" t="str">
        <f>VLOOKUP(Database[[#This Row],[รหัสหน่วยงาน]],Center[],2,FALSE)</f>
        <v>สำนักงานใหญ่</v>
      </c>
      <c r="L239" s="52">
        <v>1</v>
      </c>
    </row>
    <row r="240" spans="1:12">
      <c r="A240" s="49">
        <v>19</v>
      </c>
      <c r="B240" s="109" t="s">
        <v>170</v>
      </c>
      <c r="C240" s="51" t="s">
        <v>48</v>
      </c>
      <c r="D240" s="55" t="s">
        <v>161</v>
      </c>
      <c r="E240" s="52">
        <v>101001</v>
      </c>
      <c r="F240" s="49" t="str">
        <f>VLOOKUP(Database[[#This Row],[เลขที่บัญชี]],COA[],2,FALSE)</f>
        <v>เงินสด</v>
      </c>
      <c r="G240" s="53">
        <v>900</v>
      </c>
      <c r="I240" s="52" t="str">
        <f>VLOOKUP(Database[[#This Row],[เลขที่บัญชี]],COA[],3,FALSE)</f>
        <v>1</v>
      </c>
      <c r="J240" s="52" t="s">
        <v>129</v>
      </c>
      <c r="K240" s="52" t="str">
        <f>VLOOKUP(Database[[#This Row],[รหัสหน่วยงาน]],Center[],2,FALSE)</f>
        <v>สำนักงานใหญ่</v>
      </c>
      <c r="L240" s="52">
        <v>1</v>
      </c>
    </row>
    <row r="241" spans="1:12">
      <c r="A241" s="49">
        <v>19</v>
      </c>
      <c r="B241" s="109" t="s">
        <v>170</v>
      </c>
      <c r="C241" s="51" t="s">
        <v>48</v>
      </c>
      <c r="D241" s="55" t="s">
        <v>161</v>
      </c>
      <c r="E241" s="52">
        <v>401003</v>
      </c>
      <c r="F241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41" s="53">
        <v>900</v>
      </c>
      <c r="I241" s="52" t="str">
        <f>VLOOKUP(Database[[#This Row],[เลขที่บัญชี]],COA[],3,FALSE)</f>
        <v>4</v>
      </c>
      <c r="J241" s="52" t="s">
        <v>129</v>
      </c>
      <c r="K241" s="52" t="str">
        <f>VLOOKUP(Database[[#This Row],[รหัสหน่วยงาน]],Center[],2,FALSE)</f>
        <v>สำนักงานใหญ่</v>
      </c>
      <c r="L241" s="52">
        <v>1</v>
      </c>
    </row>
    <row r="242" spans="1:12">
      <c r="A242" s="49">
        <v>19</v>
      </c>
      <c r="B242" s="109" t="s">
        <v>170</v>
      </c>
      <c r="C242" s="51" t="s">
        <v>48</v>
      </c>
      <c r="D242" s="55" t="s">
        <v>161</v>
      </c>
      <c r="E242" s="52">
        <v>101001</v>
      </c>
      <c r="F242" s="49" t="str">
        <f>VLOOKUP(Database[[#This Row],[เลขที่บัญชี]],COA[],2,FALSE)</f>
        <v>เงินสด</v>
      </c>
      <c r="G242" s="53">
        <v>100</v>
      </c>
      <c r="I242" s="52" t="str">
        <f>VLOOKUP(Database[[#This Row],[เลขที่บัญชี]],COA[],3,FALSE)</f>
        <v>1</v>
      </c>
      <c r="J242" s="52" t="s">
        <v>129</v>
      </c>
      <c r="K242" s="52" t="str">
        <f>VLOOKUP(Database[[#This Row],[รหัสหน่วยงาน]],Center[],2,FALSE)</f>
        <v>สำนักงานใหญ่</v>
      </c>
      <c r="L242" s="52">
        <v>1</v>
      </c>
    </row>
    <row r="243" spans="1:12">
      <c r="A243" s="49">
        <v>19</v>
      </c>
      <c r="B243" s="109" t="s">
        <v>170</v>
      </c>
      <c r="C243" s="51" t="s">
        <v>48</v>
      </c>
      <c r="D243" s="55" t="s">
        <v>161</v>
      </c>
      <c r="E243" s="52">
        <v>401012</v>
      </c>
      <c r="F243" s="49" t="str">
        <f>VLOOKUP(Database[[#This Row],[เลขที่บัญชี]],COA[],2,FALSE)</f>
        <v>รายได้ค่าแคดดี้</v>
      </c>
      <c r="H243" s="53">
        <v>100</v>
      </c>
      <c r="I243" s="52" t="str">
        <f>VLOOKUP(Database[[#This Row],[เลขที่บัญชี]],COA[],3,FALSE)</f>
        <v>4</v>
      </c>
      <c r="J243" s="52" t="s">
        <v>129</v>
      </c>
      <c r="K243" s="52" t="str">
        <f>VLOOKUP(Database[[#This Row],[รหัสหน่วยงาน]],Center[],2,FALSE)</f>
        <v>สำนักงานใหญ่</v>
      </c>
      <c r="L243" s="52">
        <v>1</v>
      </c>
    </row>
    <row r="244" spans="1:12">
      <c r="A244" s="49">
        <v>19</v>
      </c>
      <c r="B244" s="109" t="s">
        <v>170</v>
      </c>
      <c r="C244" s="51" t="s">
        <v>48</v>
      </c>
      <c r="D244" s="55" t="s">
        <v>161</v>
      </c>
      <c r="E244" s="52">
        <v>101002</v>
      </c>
      <c r="F244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44" s="53">
        <v>1000</v>
      </c>
      <c r="I244" s="52" t="str">
        <f>VLOOKUP(Database[[#This Row],[เลขที่บัญชี]],COA[],3,FALSE)</f>
        <v>1</v>
      </c>
      <c r="J244" s="52" t="s">
        <v>129</v>
      </c>
      <c r="K244" s="52" t="str">
        <f>VLOOKUP(Database[[#This Row],[รหัสหน่วยงาน]],Center[],2,FALSE)</f>
        <v>สำนักงานใหญ่</v>
      </c>
      <c r="L244" s="52">
        <v>1</v>
      </c>
    </row>
    <row r="245" spans="1:12">
      <c r="A245" s="49">
        <v>19</v>
      </c>
      <c r="B245" s="109" t="s">
        <v>170</v>
      </c>
      <c r="C245" s="51" t="s">
        <v>48</v>
      </c>
      <c r="D245" s="55" t="s">
        <v>161</v>
      </c>
      <c r="E245" s="52">
        <v>101001</v>
      </c>
      <c r="F245" s="49" t="str">
        <f>VLOOKUP(Database[[#This Row],[เลขที่บัญชี]],COA[],2,FALSE)</f>
        <v>เงินสด</v>
      </c>
      <c r="H245" s="53">
        <v>1000</v>
      </c>
      <c r="I245" s="52" t="str">
        <f>VLOOKUP(Database[[#This Row],[เลขที่บัญชี]],COA[],3,FALSE)</f>
        <v>1</v>
      </c>
      <c r="J245" s="52" t="s">
        <v>129</v>
      </c>
      <c r="K245" s="52" t="str">
        <f>VLOOKUP(Database[[#This Row],[รหัสหน่วยงาน]],Center[],2,FALSE)</f>
        <v>สำนักงานใหญ่</v>
      </c>
      <c r="L245" s="52">
        <v>1</v>
      </c>
    </row>
    <row r="246" spans="1:12">
      <c r="A246" s="49">
        <v>19</v>
      </c>
      <c r="B246" s="109" t="s">
        <v>170</v>
      </c>
      <c r="C246" s="51" t="s">
        <v>48</v>
      </c>
      <c r="D246" s="55" t="s">
        <v>161</v>
      </c>
      <c r="E246" s="52">
        <v>101001</v>
      </c>
      <c r="F246" s="49" t="str">
        <f>VLOOKUP(Database[[#This Row],[เลขที่บัญชี]],COA[],2,FALSE)</f>
        <v>เงินสด</v>
      </c>
      <c r="G246" s="53">
        <v>1400</v>
      </c>
      <c r="I246" s="52" t="str">
        <f>VLOOKUP(Database[[#This Row],[เลขที่บัญชี]],COA[],3,FALSE)</f>
        <v>1</v>
      </c>
      <c r="J246" s="52" t="s">
        <v>129</v>
      </c>
      <c r="K246" s="52" t="str">
        <f>VLOOKUP(Database[[#This Row],[รหัสหน่วยงาน]],Center[],2,FALSE)</f>
        <v>สำนักงานใหญ่</v>
      </c>
      <c r="L246" s="52">
        <v>1</v>
      </c>
    </row>
    <row r="247" spans="1:12">
      <c r="A247" s="49">
        <v>19</v>
      </c>
      <c r="B247" s="109" t="s">
        <v>170</v>
      </c>
      <c r="C247" s="51" t="s">
        <v>48</v>
      </c>
      <c r="D247" s="55" t="s">
        <v>161</v>
      </c>
      <c r="E247" s="52">
        <v>401003</v>
      </c>
      <c r="F247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47" s="53">
        <v>1400</v>
      </c>
      <c r="I247" s="52" t="str">
        <f>VLOOKUP(Database[[#This Row],[เลขที่บัญชี]],COA[],3,FALSE)</f>
        <v>4</v>
      </c>
      <c r="J247" s="52" t="s">
        <v>129</v>
      </c>
      <c r="K247" s="52" t="str">
        <f>VLOOKUP(Database[[#This Row],[รหัสหน่วยงาน]],Center[],2,FALSE)</f>
        <v>สำนักงานใหญ่</v>
      </c>
      <c r="L247" s="52">
        <v>1</v>
      </c>
    </row>
    <row r="248" spans="1:12">
      <c r="A248" s="49">
        <v>19</v>
      </c>
      <c r="B248" s="109" t="s">
        <v>170</v>
      </c>
      <c r="C248" s="51" t="s">
        <v>48</v>
      </c>
      <c r="D248" s="55" t="s">
        <v>161</v>
      </c>
      <c r="E248" s="52">
        <v>101001</v>
      </c>
      <c r="F248" s="49" t="str">
        <f>VLOOKUP(Database[[#This Row],[เลขที่บัญชี]],COA[],2,FALSE)</f>
        <v>เงินสด</v>
      </c>
      <c r="G248" s="53">
        <v>900</v>
      </c>
      <c r="I248" s="52" t="str">
        <f>VLOOKUP(Database[[#This Row],[เลขที่บัญชี]],COA[],3,FALSE)</f>
        <v>1</v>
      </c>
      <c r="J248" s="52" t="s">
        <v>129</v>
      </c>
      <c r="K248" s="52" t="str">
        <f>VLOOKUP(Database[[#This Row],[รหัสหน่วยงาน]],Center[],2,FALSE)</f>
        <v>สำนักงานใหญ่</v>
      </c>
      <c r="L248" s="52">
        <v>1</v>
      </c>
    </row>
    <row r="249" spans="1:12">
      <c r="A249" s="49">
        <v>19</v>
      </c>
      <c r="B249" s="109" t="s">
        <v>170</v>
      </c>
      <c r="C249" s="51" t="s">
        <v>48</v>
      </c>
      <c r="D249" s="55" t="s">
        <v>161</v>
      </c>
      <c r="E249" s="52">
        <v>401004</v>
      </c>
      <c r="F249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249" s="53">
        <v>900</v>
      </c>
      <c r="I249" s="52" t="str">
        <f>VLOOKUP(Database[[#This Row],[เลขที่บัญชี]],COA[],3,FALSE)</f>
        <v>4</v>
      </c>
      <c r="J249" s="52" t="s">
        <v>129</v>
      </c>
      <c r="K249" s="52" t="str">
        <f>VLOOKUP(Database[[#This Row],[รหัสหน่วยงาน]],Center[],2,FALSE)</f>
        <v>สำนักงานใหญ่</v>
      </c>
      <c r="L249" s="52">
        <v>1</v>
      </c>
    </row>
    <row r="250" spans="1:12">
      <c r="A250" s="49">
        <v>19</v>
      </c>
      <c r="B250" s="109" t="s">
        <v>170</v>
      </c>
      <c r="C250" s="51" t="s">
        <v>48</v>
      </c>
      <c r="D250" s="55" t="s">
        <v>161</v>
      </c>
      <c r="E250" s="52">
        <v>101001</v>
      </c>
      <c r="F250" s="49" t="str">
        <f>VLOOKUP(Database[[#This Row],[เลขที่บัญชี]],COA[],2,FALSE)</f>
        <v>เงินสด</v>
      </c>
      <c r="G250" s="53">
        <v>50</v>
      </c>
      <c r="I250" s="52" t="str">
        <f>VLOOKUP(Database[[#This Row],[เลขที่บัญชี]],COA[],3,FALSE)</f>
        <v>1</v>
      </c>
      <c r="J250" s="52" t="s">
        <v>129</v>
      </c>
      <c r="K250" s="52" t="str">
        <f>VLOOKUP(Database[[#This Row],[รหัสหน่วยงาน]],Center[],2,FALSE)</f>
        <v>สำนักงานใหญ่</v>
      </c>
      <c r="L250" s="52">
        <v>1</v>
      </c>
    </row>
    <row r="251" spans="1:12">
      <c r="A251" s="49">
        <v>19</v>
      </c>
      <c r="B251" s="109" t="s">
        <v>170</v>
      </c>
      <c r="C251" s="51" t="s">
        <v>48</v>
      </c>
      <c r="D251" s="55" t="s">
        <v>161</v>
      </c>
      <c r="E251" s="52">
        <v>401018</v>
      </c>
      <c r="F251" s="49" t="str">
        <f>VLOOKUP(Database[[#This Row],[เลขที่บัญชี]],COA[],2,FALSE)</f>
        <v>ค่าบริการสนามผู้ติดตาม</v>
      </c>
      <c r="H251" s="53">
        <v>50</v>
      </c>
      <c r="I251" s="52" t="str">
        <f>VLOOKUP(Database[[#This Row],[เลขที่บัญชี]],COA[],3,FALSE)</f>
        <v>4</v>
      </c>
      <c r="J251" s="52" t="s">
        <v>129</v>
      </c>
      <c r="K251" s="52" t="str">
        <f>VLOOKUP(Database[[#This Row],[รหัสหน่วยงาน]],Center[],2,FALSE)</f>
        <v>สำนักงานใหญ่</v>
      </c>
      <c r="L251" s="52">
        <v>1</v>
      </c>
    </row>
    <row r="252" spans="1:12">
      <c r="A252" s="49">
        <v>19</v>
      </c>
      <c r="B252" s="109" t="s">
        <v>170</v>
      </c>
      <c r="C252" s="51" t="s">
        <v>48</v>
      </c>
      <c r="D252" s="55" t="s">
        <v>161</v>
      </c>
      <c r="E252" s="52">
        <v>101001</v>
      </c>
      <c r="F252" s="49" t="str">
        <f>VLOOKUP(Database[[#This Row],[เลขที่บัญชี]],COA[],2,FALSE)</f>
        <v>เงินสด</v>
      </c>
      <c r="G252" s="53">
        <v>200</v>
      </c>
      <c r="I252" s="52" t="str">
        <f>VLOOKUP(Database[[#This Row],[เลขที่บัญชี]],COA[],3,FALSE)</f>
        <v>1</v>
      </c>
      <c r="J252" s="52" t="s">
        <v>129</v>
      </c>
      <c r="K252" s="52" t="str">
        <f>VLOOKUP(Database[[#This Row],[รหัสหน่วยงาน]],Center[],2,FALSE)</f>
        <v>สำนักงานใหญ่</v>
      </c>
      <c r="L252" s="52">
        <v>1</v>
      </c>
    </row>
    <row r="253" spans="1:12">
      <c r="A253" s="49">
        <v>19</v>
      </c>
      <c r="B253" s="109" t="s">
        <v>170</v>
      </c>
      <c r="C253" s="51" t="s">
        <v>48</v>
      </c>
      <c r="D253" s="55" t="s">
        <v>161</v>
      </c>
      <c r="E253" s="52">
        <v>401012</v>
      </c>
      <c r="F253" s="49" t="str">
        <f>VLOOKUP(Database[[#This Row],[เลขที่บัญชี]],COA[],2,FALSE)</f>
        <v>รายได้ค่าแคดดี้</v>
      </c>
      <c r="H253" s="53">
        <v>200</v>
      </c>
      <c r="I253" s="52" t="str">
        <f>VLOOKUP(Database[[#This Row],[เลขที่บัญชี]],COA[],3,FALSE)</f>
        <v>4</v>
      </c>
      <c r="J253" s="52" t="s">
        <v>129</v>
      </c>
      <c r="K253" s="52" t="str">
        <f>VLOOKUP(Database[[#This Row],[รหัสหน่วยงาน]],Center[],2,FALSE)</f>
        <v>สำนักงานใหญ่</v>
      </c>
      <c r="L253" s="52">
        <v>1</v>
      </c>
    </row>
    <row r="254" spans="1:12">
      <c r="A254" s="49">
        <v>19</v>
      </c>
      <c r="B254" s="109" t="s">
        <v>170</v>
      </c>
      <c r="C254" s="51" t="s">
        <v>48</v>
      </c>
      <c r="D254" s="55" t="s">
        <v>161</v>
      </c>
      <c r="E254" s="52">
        <v>101002</v>
      </c>
      <c r="F254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54" s="53">
        <v>2550</v>
      </c>
      <c r="I254" s="52" t="str">
        <f>VLOOKUP(Database[[#This Row],[เลขที่บัญชี]],COA[],3,FALSE)</f>
        <v>1</v>
      </c>
      <c r="J254" s="52" t="s">
        <v>129</v>
      </c>
      <c r="K254" s="52" t="str">
        <f>VLOOKUP(Database[[#This Row],[รหัสหน่วยงาน]],Center[],2,FALSE)</f>
        <v>สำนักงานใหญ่</v>
      </c>
      <c r="L254" s="52">
        <v>1</v>
      </c>
    </row>
    <row r="255" spans="1:12">
      <c r="A255" s="49">
        <v>19</v>
      </c>
      <c r="B255" s="109" t="s">
        <v>170</v>
      </c>
      <c r="C255" s="51" t="s">
        <v>48</v>
      </c>
      <c r="D255" s="55" t="s">
        <v>161</v>
      </c>
      <c r="E255" s="52">
        <v>101001</v>
      </c>
      <c r="F255" s="49" t="str">
        <f>VLOOKUP(Database[[#This Row],[เลขที่บัญชี]],COA[],2,FALSE)</f>
        <v>เงินสด</v>
      </c>
      <c r="H255" s="53">
        <v>2550</v>
      </c>
      <c r="I255" s="52" t="str">
        <f>VLOOKUP(Database[[#This Row],[เลขที่บัญชี]],COA[],3,FALSE)</f>
        <v>1</v>
      </c>
      <c r="J255" s="52" t="s">
        <v>129</v>
      </c>
      <c r="K255" s="52" t="str">
        <f>VLOOKUP(Database[[#This Row],[รหัสหน่วยงาน]],Center[],2,FALSE)</f>
        <v>สำนักงานใหญ่</v>
      </c>
      <c r="L255" s="52">
        <v>1</v>
      </c>
    </row>
    <row r="256" spans="1:12">
      <c r="A256" s="49">
        <v>19</v>
      </c>
      <c r="B256" s="109" t="s">
        <v>170</v>
      </c>
      <c r="C256" s="51" t="s">
        <v>48</v>
      </c>
      <c r="D256" s="55" t="s">
        <v>161</v>
      </c>
      <c r="E256" s="52">
        <v>101001</v>
      </c>
      <c r="F256" s="49" t="str">
        <f>VLOOKUP(Database[[#This Row],[เลขที่บัญชี]],COA[],2,FALSE)</f>
        <v>เงินสด</v>
      </c>
      <c r="G256" s="53">
        <v>400</v>
      </c>
      <c r="I256" s="52" t="str">
        <f>VLOOKUP(Database[[#This Row],[เลขที่บัญชี]],COA[],3,FALSE)</f>
        <v>1</v>
      </c>
      <c r="J256" s="52" t="s">
        <v>129</v>
      </c>
      <c r="K256" s="52" t="str">
        <f>VLOOKUP(Database[[#This Row],[รหัสหน่วยงาน]],Center[],2,FALSE)</f>
        <v>สำนักงานใหญ่</v>
      </c>
      <c r="L256" s="52">
        <v>1</v>
      </c>
    </row>
    <row r="257" spans="1:12">
      <c r="A257" s="49">
        <v>19</v>
      </c>
      <c r="B257" s="109" t="s">
        <v>170</v>
      </c>
      <c r="C257" s="51" t="s">
        <v>48</v>
      </c>
      <c r="D257" s="55" t="s">
        <v>161</v>
      </c>
      <c r="E257" s="52">
        <v>201002</v>
      </c>
      <c r="F257" s="49" t="str">
        <f>VLOOKUP(Database[[#This Row],[เลขที่บัญชี]],COA[],2,FALSE)</f>
        <v>เงินรับฝาก-สนามไดร์ฟ</v>
      </c>
      <c r="H257" s="53">
        <v>400</v>
      </c>
      <c r="I257" s="52" t="str">
        <f>VLOOKUP(Database[[#This Row],[เลขที่บัญชี]],COA[],3,FALSE)</f>
        <v>2</v>
      </c>
      <c r="J257" s="52" t="s">
        <v>129</v>
      </c>
      <c r="K257" s="52" t="str">
        <f>VLOOKUP(Database[[#This Row],[รหัสหน่วยงาน]],Center[],2,FALSE)</f>
        <v>สำนักงานใหญ่</v>
      </c>
      <c r="L257" s="52">
        <v>1</v>
      </c>
    </row>
    <row r="258" spans="1:12">
      <c r="A258" s="49">
        <v>19</v>
      </c>
      <c r="B258" s="109" t="s">
        <v>170</v>
      </c>
      <c r="C258" s="51" t="s">
        <v>48</v>
      </c>
      <c r="D258" s="55" t="s">
        <v>161</v>
      </c>
      <c r="E258" s="52">
        <v>101002</v>
      </c>
      <c r="F258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58" s="53">
        <v>400</v>
      </c>
      <c r="I258" s="52" t="str">
        <f>VLOOKUP(Database[[#This Row],[เลขที่บัญชี]],COA[],3,FALSE)</f>
        <v>1</v>
      </c>
      <c r="J258" s="52" t="s">
        <v>129</v>
      </c>
      <c r="K258" s="52" t="str">
        <f>VLOOKUP(Database[[#This Row],[รหัสหน่วยงาน]],Center[],2,FALSE)</f>
        <v>สำนักงานใหญ่</v>
      </c>
      <c r="L258" s="52">
        <v>1</v>
      </c>
    </row>
    <row r="259" spans="1:12">
      <c r="A259" s="49">
        <v>19</v>
      </c>
      <c r="B259" s="109" t="s">
        <v>170</v>
      </c>
      <c r="C259" s="51" t="s">
        <v>48</v>
      </c>
      <c r="D259" s="55" t="s">
        <v>161</v>
      </c>
      <c r="E259" s="52">
        <v>101001</v>
      </c>
      <c r="F259" s="49" t="str">
        <f>VLOOKUP(Database[[#This Row],[เลขที่บัญชี]],COA[],2,FALSE)</f>
        <v>เงินสด</v>
      </c>
      <c r="H259" s="53">
        <v>400</v>
      </c>
      <c r="I259" s="52" t="str">
        <f>VLOOKUP(Database[[#This Row],[เลขที่บัญชี]],COA[],3,FALSE)</f>
        <v>1</v>
      </c>
      <c r="J259" s="52" t="s">
        <v>129</v>
      </c>
      <c r="K259" s="52" t="str">
        <f>VLOOKUP(Database[[#This Row],[รหัสหน่วยงาน]],Center[],2,FALSE)</f>
        <v>สำนักงานใหญ่</v>
      </c>
      <c r="L259" s="52">
        <v>1</v>
      </c>
    </row>
    <row r="260" spans="1:12">
      <c r="A260" s="49">
        <v>20</v>
      </c>
      <c r="B260" s="109" t="s">
        <v>171</v>
      </c>
      <c r="C260" s="51" t="s">
        <v>48</v>
      </c>
      <c r="D260" s="55" t="s">
        <v>161</v>
      </c>
      <c r="E260" s="52">
        <v>101001</v>
      </c>
      <c r="F260" s="49" t="str">
        <f>VLOOKUP(Database[[#This Row],[เลขที่บัญชี]],COA[],2,FALSE)</f>
        <v>เงินสด</v>
      </c>
      <c r="G260" s="53">
        <v>1000</v>
      </c>
      <c r="I260" s="52" t="str">
        <f>VLOOKUP(Database[[#This Row],[เลขที่บัญชี]],COA[],3,FALSE)</f>
        <v>1</v>
      </c>
      <c r="J260" s="52" t="s">
        <v>129</v>
      </c>
      <c r="K260" s="52" t="str">
        <f>VLOOKUP(Database[[#This Row],[รหัสหน่วยงาน]],Center[],2,FALSE)</f>
        <v>สำนักงานใหญ่</v>
      </c>
      <c r="L260" s="52">
        <v>1</v>
      </c>
    </row>
    <row r="261" spans="1:12">
      <c r="A261" s="49">
        <v>20</v>
      </c>
      <c r="B261" s="109" t="s">
        <v>171</v>
      </c>
      <c r="C261" s="51" t="s">
        <v>48</v>
      </c>
      <c r="D261" s="55" t="s">
        <v>161</v>
      </c>
      <c r="E261" s="52">
        <v>401003</v>
      </c>
      <c r="F261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61" s="53">
        <v>1000</v>
      </c>
      <c r="I261" s="52" t="str">
        <f>VLOOKUP(Database[[#This Row],[เลขที่บัญชี]],COA[],3,FALSE)</f>
        <v>4</v>
      </c>
      <c r="J261" s="52" t="s">
        <v>129</v>
      </c>
      <c r="K261" s="52" t="str">
        <f>VLOOKUP(Database[[#This Row],[รหัสหน่วยงาน]],Center[],2,FALSE)</f>
        <v>สำนักงานใหญ่</v>
      </c>
      <c r="L261" s="52">
        <v>1</v>
      </c>
    </row>
    <row r="262" spans="1:12">
      <c r="A262" s="49">
        <v>20</v>
      </c>
      <c r="B262" s="109" t="s">
        <v>171</v>
      </c>
      <c r="C262" s="51" t="s">
        <v>48</v>
      </c>
      <c r="D262" s="55" t="s">
        <v>161</v>
      </c>
      <c r="E262" s="52">
        <v>101001</v>
      </c>
      <c r="F262" s="49" t="str">
        <f>VLOOKUP(Database[[#This Row],[เลขที่บัญชี]],COA[],2,FALSE)</f>
        <v>เงินสด</v>
      </c>
      <c r="G262" s="53">
        <v>360</v>
      </c>
      <c r="I262" s="52" t="str">
        <f>VLOOKUP(Database[[#This Row],[เลขที่บัญชี]],COA[],3,FALSE)</f>
        <v>1</v>
      </c>
      <c r="J262" s="52" t="s">
        <v>129</v>
      </c>
      <c r="K262" s="52" t="str">
        <f>VLOOKUP(Database[[#This Row],[รหัสหน่วยงาน]],Center[],2,FALSE)</f>
        <v>สำนักงานใหญ่</v>
      </c>
      <c r="L262" s="52">
        <v>1</v>
      </c>
    </row>
    <row r="263" spans="1:12">
      <c r="A263" s="49">
        <v>20</v>
      </c>
      <c r="B263" s="109" t="s">
        <v>171</v>
      </c>
      <c r="C263" s="51" t="s">
        <v>48</v>
      </c>
      <c r="D263" s="55" t="s">
        <v>161</v>
      </c>
      <c r="E263" s="52">
        <v>401004</v>
      </c>
      <c r="F263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263" s="53">
        <v>360</v>
      </c>
      <c r="I263" s="52" t="str">
        <f>VLOOKUP(Database[[#This Row],[เลขที่บัญชี]],COA[],3,FALSE)</f>
        <v>4</v>
      </c>
      <c r="J263" s="52" t="s">
        <v>129</v>
      </c>
      <c r="K263" s="52" t="str">
        <f>VLOOKUP(Database[[#This Row],[รหัสหน่วยงาน]],Center[],2,FALSE)</f>
        <v>สำนักงานใหญ่</v>
      </c>
      <c r="L263" s="52">
        <v>1</v>
      </c>
    </row>
    <row r="264" spans="1:12">
      <c r="A264" s="49">
        <v>20</v>
      </c>
      <c r="B264" s="109" t="s">
        <v>171</v>
      </c>
      <c r="C264" s="51" t="s">
        <v>48</v>
      </c>
      <c r="D264" s="55" t="s">
        <v>161</v>
      </c>
      <c r="E264" s="52">
        <v>101001</v>
      </c>
      <c r="F264" s="49" t="str">
        <f>VLOOKUP(Database[[#This Row],[เลขที่บัญชี]],COA[],2,FALSE)</f>
        <v>เงินสด</v>
      </c>
      <c r="G264" s="53">
        <v>170</v>
      </c>
      <c r="I264" s="52" t="str">
        <f>VLOOKUP(Database[[#This Row],[เลขที่บัญชี]],COA[],3,FALSE)</f>
        <v>1</v>
      </c>
      <c r="J264" s="52" t="s">
        <v>129</v>
      </c>
      <c r="K264" s="52" t="str">
        <f>VLOOKUP(Database[[#This Row],[รหัสหน่วยงาน]],Center[],2,FALSE)</f>
        <v>สำนักงานใหญ่</v>
      </c>
      <c r="L264" s="52">
        <v>1</v>
      </c>
    </row>
    <row r="265" spans="1:12">
      <c r="A265" s="49">
        <v>20</v>
      </c>
      <c r="B265" s="109" t="s">
        <v>171</v>
      </c>
      <c r="C265" s="51" t="s">
        <v>48</v>
      </c>
      <c r="D265" s="55" t="s">
        <v>161</v>
      </c>
      <c r="E265" s="52">
        <v>401012</v>
      </c>
      <c r="F265" s="49" t="str">
        <f>VLOOKUP(Database[[#This Row],[เลขที่บัญชี]],COA[],2,FALSE)</f>
        <v>รายได้ค่าแคดดี้</v>
      </c>
      <c r="H265" s="53">
        <v>170</v>
      </c>
      <c r="I265" s="52" t="str">
        <f>VLOOKUP(Database[[#This Row],[เลขที่บัญชี]],COA[],3,FALSE)</f>
        <v>4</v>
      </c>
      <c r="J265" s="52" t="s">
        <v>129</v>
      </c>
      <c r="K265" s="52" t="str">
        <f>VLOOKUP(Database[[#This Row],[รหัสหน่วยงาน]],Center[],2,FALSE)</f>
        <v>สำนักงานใหญ่</v>
      </c>
      <c r="L265" s="52">
        <v>1</v>
      </c>
    </row>
    <row r="266" spans="1:12">
      <c r="A266" s="49">
        <v>20</v>
      </c>
      <c r="B266" s="109" t="s">
        <v>171</v>
      </c>
      <c r="C266" s="51" t="s">
        <v>48</v>
      </c>
      <c r="D266" s="55" t="s">
        <v>161</v>
      </c>
      <c r="E266" s="52">
        <v>101002</v>
      </c>
      <c r="F266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66" s="53">
        <v>1530</v>
      </c>
      <c r="I266" s="52" t="str">
        <f>VLOOKUP(Database[[#This Row],[เลขที่บัญชี]],COA[],3,FALSE)</f>
        <v>1</v>
      </c>
      <c r="J266" s="52" t="s">
        <v>129</v>
      </c>
      <c r="K266" s="52" t="str">
        <f>VLOOKUP(Database[[#This Row],[รหัสหน่วยงาน]],Center[],2,FALSE)</f>
        <v>สำนักงานใหญ่</v>
      </c>
      <c r="L266" s="52">
        <v>1</v>
      </c>
    </row>
    <row r="267" spans="1:12">
      <c r="A267" s="49">
        <v>20</v>
      </c>
      <c r="B267" s="109" t="s">
        <v>171</v>
      </c>
      <c r="C267" s="51" t="s">
        <v>48</v>
      </c>
      <c r="D267" s="55" t="s">
        <v>161</v>
      </c>
      <c r="E267" s="52">
        <v>101001</v>
      </c>
      <c r="F267" s="49" t="str">
        <f>VLOOKUP(Database[[#This Row],[เลขที่บัญชี]],COA[],2,FALSE)</f>
        <v>เงินสด</v>
      </c>
      <c r="H267" s="53">
        <v>1530</v>
      </c>
      <c r="I267" s="52" t="str">
        <f>VLOOKUP(Database[[#This Row],[เลขที่บัญชี]],COA[],3,FALSE)</f>
        <v>1</v>
      </c>
      <c r="J267" s="52" t="s">
        <v>129</v>
      </c>
      <c r="K267" s="52" t="str">
        <f>VLOOKUP(Database[[#This Row],[รหัสหน่วยงาน]],Center[],2,FALSE)</f>
        <v>สำนักงานใหญ่</v>
      </c>
      <c r="L267" s="52">
        <v>1</v>
      </c>
    </row>
    <row r="268" spans="1:12">
      <c r="A268" s="49">
        <v>20</v>
      </c>
      <c r="B268" s="109" t="s">
        <v>171</v>
      </c>
      <c r="C268" s="51" t="s">
        <v>48</v>
      </c>
      <c r="D268" s="55" t="s">
        <v>161</v>
      </c>
      <c r="E268" s="52">
        <v>101001</v>
      </c>
      <c r="F268" s="49" t="str">
        <f>VLOOKUP(Database[[#This Row],[เลขที่บัญชี]],COA[],2,FALSE)</f>
        <v>เงินสด</v>
      </c>
      <c r="G268" s="53">
        <v>1300</v>
      </c>
      <c r="I268" s="52" t="str">
        <f>VLOOKUP(Database[[#This Row],[เลขที่บัญชี]],COA[],3,FALSE)</f>
        <v>1</v>
      </c>
      <c r="J268" s="52" t="s">
        <v>129</v>
      </c>
      <c r="K268" s="52" t="str">
        <f>VLOOKUP(Database[[#This Row],[รหัสหน่วยงาน]],Center[],2,FALSE)</f>
        <v>สำนักงานใหญ่</v>
      </c>
      <c r="L268" s="52">
        <v>1</v>
      </c>
    </row>
    <row r="269" spans="1:12">
      <c r="A269" s="49">
        <v>20</v>
      </c>
      <c r="B269" s="109" t="s">
        <v>171</v>
      </c>
      <c r="C269" s="51" t="s">
        <v>48</v>
      </c>
      <c r="D269" s="55" t="s">
        <v>161</v>
      </c>
      <c r="E269" s="52">
        <v>401003</v>
      </c>
      <c r="F269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69" s="53">
        <v>1300</v>
      </c>
      <c r="I269" s="52" t="str">
        <f>VLOOKUP(Database[[#This Row],[เลขที่บัญชี]],COA[],3,FALSE)</f>
        <v>4</v>
      </c>
      <c r="J269" s="52" t="s">
        <v>129</v>
      </c>
      <c r="K269" s="52" t="str">
        <f>VLOOKUP(Database[[#This Row],[รหัสหน่วยงาน]],Center[],2,FALSE)</f>
        <v>สำนักงานใหญ่</v>
      </c>
      <c r="L269" s="52">
        <v>1</v>
      </c>
    </row>
    <row r="270" spans="1:12">
      <c r="A270" s="49">
        <v>20</v>
      </c>
      <c r="B270" s="109" t="s">
        <v>171</v>
      </c>
      <c r="C270" s="51" t="s">
        <v>48</v>
      </c>
      <c r="D270" s="55" t="s">
        <v>161</v>
      </c>
      <c r="E270" s="52">
        <v>101001</v>
      </c>
      <c r="F270" s="49" t="str">
        <f>VLOOKUP(Database[[#This Row],[เลขที่บัญชี]],COA[],2,FALSE)</f>
        <v>เงินสด</v>
      </c>
      <c r="G270" s="53">
        <v>180</v>
      </c>
      <c r="I270" s="52" t="str">
        <f>VLOOKUP(Database[[#This Row],[เลขที่บัญชี]],COA[],3,FALSE)</f>
        <v>1</v>
      </c>
      <c r="J270" s="52" t="s">
        <v>129</v>
      </c>
      <c r="K270" s="52" t="str">
        <f>VLOOKUP(Database[[#This Row],[รหัสหน่วยงาน]],Center[],2,FALSE)</f>
        <v>สำนักงานใหญ่</v>
      </c>
      <c r="L270" s="52">
        <v>1</v>
      </c>
    </row>
    <row r="271" spans="1:12">
      <c r="A271" s="49">
        <v>20</v>
      </c>
      <c r="B271" s="109" t="s">
        <v>171</v>
      </c>
      <c r="C271" s="51" t="s">
        <v>48</v>
      </c>
      <c r="D271" s="55" t="s">
        <v>161</v>
      </c>
      <c r="E271" s="52">
        <v>401004</v>
      </c>
      <c r="F271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271" s="53">
        <v>180</v>
      </c>
      <c r="I271" s="52" t="str">
        <f>VLOOKUP(Database[[#This Row],[เลขที่บัญชี]],COA[],3,FALSE)</f>
        <v>4</v>
      </c>
      <c r="J271" s="52" t="s">
        <v>129</v>
      </c>
      <c r="K271" s="52" t="str">
        <f>VLOOKUP(Database[[#This Row],[รหัสหน่วยงาน]],Center[],2,FALSE)</f>
        <v>สำนักงานใหญ่</v>
      </c>
      <c r="L271" s="52">
        <v>1</v>
      </c>
    </row>
    <row r="272" spans="1:12">
      <c r="A272" s="49">
        <v>20</v>
      </c>
      <c r="B272" s="109" t="s">
        <v>171</v>
      </c>
      <c r="C272" s="51" t="s">
        <v>48</v>
      </c>
      <c r="D272" s="55" t="s">
        <v>161</v>
      </c>
      <c r="E272" s="52">
        <v>101001</v>
      </c>
      <c r="F272" s="49" t="str">
        <f>VLOOKUP(Database[[#This Row],[เลขที่บัญชี]],COA[],2,FALSE)</f>
        <v>เงินสด</v>
      </c>
      <c r="G272" s="53">
        <v>90</v>
      </c>
      <c r="I272" s="52" t="str">
        <f>VLOOKUP(Database[[#This Row],[เลขที่บัญชี]],COA[],3,FALSE)</f>
        <v>1</v>
      </c>
      <c r="J272" s="52" t="s">
        <v>129</v>
      </c>
      <c r="K272" s="52" t="str">
        <f>VLOOKUP(Database[[#This Row],[รหัสหน่วยงาน]],Center[],2,FALSE)</f>
        <v>สำนักงานใหญ่</v>
      </c>
      <c r="L272" s="52">
        <v>1</v>
      </c>
    </row>
    <row r="273" spans="1:12">
      <c r="A273" s="49">
        <v>20</v>
      </c>
      <c r="B273" s="109" t="s">
        <v>171</v>
      </c>
      <c r="C273" s="51" t="s">
        <v>48</v>
      </c>
      <c r="D273" s="55" t="s">
        <v>161</v>
      </c>
      <c r="E273" s="52">
        <v>401012</v>
      </c>
      <c r="F273" s="49" t="str">
        <f>VLOOKUP(Database[[#This Row],[เลขที่บัญชี]],COA[],2,FALSE)</f>
        <v>รายได้ค่าแคดดี้</v>
      </c>
      <c r="H273" s="53">
        <v>90</v>
      </c>
      <c r="I273" s="52" t="str">
        <f>VLOOKUP(Database[[#This Row],[เลขที่บัญชี]],COA[],3,FALSE)</f>
        <v>4</v>
      </c>
      <c r="J273" s="52" t="s">
        <v>129</v>
      </c>
      <c r="K273" s="52" t="str">
        <f>VLOOKUP(Database[[#This Row],[รหัสหน่วยงาน]],Center[],2,FALSE)</f>
        <v>สำนักงานใหญ่</v>
      </c>
      <c r="L273" s="52">
        <v>1</v>
      </c>
    </row>
    <row r="274" spans="1:12">
      <c r="A274" s="49">
        <v>20</v>
      </c>
      <c r="B274" s="109" t="s">
        <v>171</v>
      </c>
      <c r="C274" s="51" t="s">
        <v>48</v>
      </c>
      <c r="D274" s="55" t="s">
        <v>161</v>
      </c>
      <c r="E274" s="52">
        <v>101002</v>
      </c>
      <c r="F274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74" s="53">
        <v>1570</v>
      </c>
      <c r="I274" s="52" t="str">
        <f>VLOOKUP(Database[[#This Row],[เลขที่บัญชี]],COA[],3,FALSE)</f>
        <v>1</v>
      </c>
      <c r="J274" s="52" t="s">
        <v>129</v>
      </c>
      <c r="K274" s="52" t="str">
        <f>VLOOKUP(Database[[#This Row],[รหัสหน่วยงาน]],Center[],2,FALSE)</f>
        <v>สำนักงานใหญ่</v>
      </c>
      <c r="L274" s="52">
        <v>1</v>
      </c>
    </row>
    <row r="275" spans="1:12">
      <c r="A275" s="49">
        <v>20</v>
      </c>
      <c r="B275" s="109" t="s">
        <v>171</v>
      </c>
      <c r="C275" s="51" t="s">
        <v>48</v>
      </c>
      <c r="D275" s="55" t="s">
        <v>161</v>
      </c>
      <c r="E275" s="52">
        <v>101001</v>
      </c>
      <c r="F275" s="49" t="str">
        <f>VLOOKUP(Database[[#This Row],[เลขที่บัญชี]],COA[],2,FALSE)</f>
        <v>เงินสด</v>
      </c>
      <c r="H275" s="53">
        <v>1570</v>
      </c>
      <c r="I275" s="52" t="str">
        <f>VLOOKUP(Database[[#This Row],[เลขที่บัญชี]],COA[],3,FALSE)</f>
        <v>1</v>
      </c>
      <c r="J275" s="52" t="s">
        <v>129</v>
      </c>
      <c r="K275" s="52" t="str">
        <f>VLOOKUP(Database[[#This Row],[รหัสหน่วยงาน]],Center[],2,FALSE)</f>
        <v>สำนักงานใหญ่</v>
      </c>
      <c r="L275" s="52">
        <v>1</v>
      </c>
    </row>
    <row r="276" spans="1:12">
      <c r="A276" s="49">
        <v>21</v>
      </c>
      <c r="B276" s="109" t="s">
        <v>172</v>
      </c>
      <c r="C276" s="51" t="s">
        <v>48</v>
      </c>
      <c r="D276" s="55" t="s">
        <v>161</v>
      </c>
      <c r="E276" s="52">
        <v>101001</v>
      </c>
      <c r="F276" s="49" t="str">
        <f>VLOOKUP(Database[[#This Row],[เลขที่บัญชี]],COA[],2,FALSE)</f>
        <v>เงินสด</v>
      </c>
      <c r="G276" s="53">
        <v>700</v>
      </c>
      <c r="I276" s="52" t="str">
        <f>VLOOKUP(Database[[#This Row],[เลขที่บัญชี]],COA[],3,FALSE)</f>
        <v>1</v>
      </c>
      <c r="J276" s="52" t="s">
        <v>129</v>
      </c>
      <c r="K276" s="52" t="str">
        <f>VLOOKUP(Database[[#This Row],[รหัสหน่วยงาน]],Center[],2,FALSE)</f>
        <v>สำนักงานใหญ่</v>
      </c>
      <c r="L276" s="52">
        <v>1</v>
      </c>
    </row>
    <row r="277" spans="1:12">
      <c r="A277" s="49">
        <v>21</v>
      </c>
      <c r="B277" s="109" t="s">
        <v>172</v>
      </c>
      <c r="C277" s="51" t="s">
        <v>48</v>
      </c>
      <c r="D277" s="55" t="s">
        <v>161</v>
      </c>
      <c r="E277" s="52">
        <v>401003</v>
      </c>
      <c r="F277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77" s="53">
        <v>700</v>
      </c>
      <c r="I277" s="52" t="str">
        <f>VLOOKUP(Database[[#This Row],[เลขที่บัญชี]],COA[],3,FALSE)</f>
        <v>4</v>
      </c>
      <c r="J277" s="52" t="s">
        <v>129</v>
      </c>
      <c r="K277" s="52" t="str">
        <f>VLOOKUP(Database[[#This Row],[รหัสหน่วยงาน]],Center[],2,FALSE)</f>
        <v>สำนักงานใหญ่</v>
      </c>
      <c r="L277" s="52">
        <v>1</v>
      </c>
    </row>
    <row r="278" spans="1:12">
      <c r="A278" s="49">
        <v>21</v>
      </c>
      <c r="B278" s="109" t="s">
        <v>172</v>
      </c>
      <c r="C278" s="51" t="s">
        <v>48</v>
      </c>
      <c r="D278" s="55" t="s">
        <v>161</v>
      </c>
      <c r="E278" s="52">
        <v>101001</v>
      </c>
      <c r="F278" s="49" t="str">
        <f>VLOOKUP(Database[[#This Row],[เลขที่บัญชี]],COA[],2,FALSE)</f>
        <v>เงินสด</v>
      </c>
      <c r="G278" s="53">
        <v>30</v>
      </c>
      <c r="I278" s="52" t="str">
        <f>VLOOKUP(Database[[#This Row],[เลขที่บัญชี]],COA[],3,FALSE)</f>
        <v>1</v>
      </c>
      <c r="J278" s="52" t="s">
        <v>129</v>
      </c>
      <c r="K278" s="52" t="str">
        <f>VLOOKUP(Database[[#This Row],[รหัสหน่วยงาน]],Center[],2,FALSE)</f>
        <v>สำนักงานใหญ่</v>
      </c>
      <c r="L278" s="52">
        <v>1</v>
      </c>
    </row>
    <row r="279" spans="1:12">
      <c r="A279" s="49">
        <v>21</v>
      </c>
      <c r="B279" s="109" t="s">
        <v>172</v>
      </c>
      <c r="C279" s="51" t="s">
        <v>48</v>
      </c>
      <c r="D279" s="55" t="s">
        <v>161</v>
      </c>
      <c r="E279" s="52">
        <v>401012</v>
      </c>
      <c r="F279" s="49" t="str">
        <f>VLOOKUP(Database[[#This Row],[เลขที่บัญชี]],COA[],2,FALSE)</f>
        <v>รายได้ค่าแคดดี้</v>
      </c>
      <c r="H279" s="53">
        <v>30</v>
      </c>
      <c r="I279" s="52" t="str">
        <f>VLOOKUP(Database[[#This Row],[เลขที่บัญชี]],COA[],3,FALSE)</f>
        <v>4</v>
      </c>
      <c r="J279" s="52" t="s">
        <v>129</v>
      </c>
      <c r="K279" s="52" t="str">
        <f>VLOOKUP(Database[[#This Row],[รหัสหน่วยงาน]],Center[],2,FALSE)</f>
        <v>สำนักงานใหญ่</v>
      </c>
      <c r="L279" s="52">
        <v>1</v>
      </c>
    </row>
    <row r="280" spans="1:12">
      <c r="A280" s="49">
        <v>21</v>
      </c>
      <c r="B280" s="109" t="s">
        <v>172</v>
      </c>
      <c r="C280" s="51" t="s">
        <v>48</v>
      </c>
      <c r="D280" s="55" t="s">
        <v>161</v>
      </c>
      <c r="E280" s="52">
        <v>101002</v>
      </c>
      <c r="F280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80" s="53">
        <v>730</v>
      </c>
      <c r="I280" s="52" t="str">
        <f>VLOOKUP(Database[[#This Row],[เลขที่บัญชี]],COA[],3,FALSE)</f>
        <v>1</v>
      </c>
      <c r="J280" s="52" t="s">
        <v>129</v>
      </c>
      <c r="K280" s="52" t="str">
        <f>VLOOKUP(Database[[#This Row],[รหัสหน่วยงาน]],Center[],2,FALSE)</f>
        <v>สำนักงานใหญ่</v>
      </c>
      <c r="L280" s="52">
        <v>1</v>
      </c>
    </row>
    <row r="281" spans="1:12">
      <c r="A281" s="49">
        <v>21</v>
      </c>
      <c r="B281" s="109" t="s">
        <v>172</v>
      </c>
      <c r="C281" s="51" t="s">
        <v>48</v>
      </c>
      <c r="D281" s="55" t="s">
        <v>161</v>
      </c>
      <c r="E281" s="52">
        <v>101001</v>
      </c>
      <c r="F281" s="49" t="str">
        <f>VLOOKUP(Database[[#This Row],[เลขที่บัญชี]],COA[],2,FALSE)</f>
        <v>เงินสด</v>
      </c>
      <c r="H281" s="53">
        <v>730</v>
      </c>
      <c r="I281" s="52" t="str">
        <f>VLOOKUP(Database[[#This Row],[เลขที่บัญชี]],COA[],3,FALSE)</f>
        <v>1</v>
      </c>
      <c r="J281" s="52" t="s">
        <v>129</v>
      </c>
      <c r="K281" s="52" t="str">
        <f>VLOOKUP(Database[[#This Row],[รหัสหน่วยงาน]],Center[],2,FALSE)</f>
        <v>สำนักงานใหญ่</v>
      </c>
      <c r="L281" s="52">
        <v>1</v>
      </c>
    </row>
    <row r="282" spans="1:12">
      <c r="A282" s="49">
        <v>21</v>
      </c>
      <c r="B282" s="109" t="s">
        <v>172</v>
      </c>
      <c r="C282" s="51" t="s">
        <v>48</v>
      </c>
      <c r="D282" s="55" t="s">
        <v>161</v>
      </c>
      <c r="E282" s="52">
        <v>101001</v>
      </c>
      <c r="F282" s="49" t="str">
        <f>VLOOKUP(Database[[#This Row],[เลขที่บัญชี]],COA[],2,FALSE)</f>
        <v>เงินสด</v>
      </c>
      <c r="G282" s="53">
        <v>500</v>
      </c>
      <c r="I282" s="52" t="str">
        <f>VLOOKUP(Database[[#This Row],[เลขที่บัญชี]],COA[],3,FALSE)</f>
        <v>1</v>
      </c>
      <c r="J282" s="52" t="s">
        <v>129</v>
      </c>
      <c r="K282" s="52" t="str">
        <f>VLOOKUP(Database[[#This Row],[รหัสหน่วยงาน]],Center[],2,FALSE)</f>
        <v>สำนักงานใหญ่</v>
      </c>
      <c r="L282" s="52">
        <v>1</v>
      </c>
    </row>
    <row r="283" spans="1:12">
      <c r="A283" s="49">
        <v>21</v>
      </c>
      <c r="B283" s="109" t="s">
        <v>172</v>
      </c>
      <c r="C283" s="51" t="s">
        <v>48</v>
      </c>
      <c r="D283" s="55" t="s">
        <v>161</v>
      </c>
      <c r="E283" s="52">
        <v>401003</v>
      </c>
      <c r="F283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83" s="53">
        <v>500</v>
      </c>
      <c r="I283" s="52" t="str">
        <f>VLOOKUP(Database[[#This Row],[เลขที่บัญชี]],COA[],3,FALSE)</f>
        <v>4</v>
      </c>
      <c r="J283" s="52" t="s">
        <v>129</v>
      </c>
      <c r="K283" s="52" t="str">
        <f>VLOOKUP(Database[[#This Row],[รหัสหน่วยงาน]],Center[],2,FALSE)</f>
        <v>สำนักงานใหญ่</v>
      </c>
      <c r="L283" s="52">
        <v>1</v>
      </c>
    </row>
    <row r="284" spans="1:12">
      <c r="A284" s="49">
        <v>21</v>
      </c>
      <c r="B284" s="109" t="s">
        <v>172</v>
      </c>
      <c r="C284" s="51" t="s">
        <v>48</v>
      </c>
      <c r="D284" s="55" t="s">
        <v>161</v>
      </c>
      <c r="E284" s="52">
        <v>101001</v>
      </c>
      <c r="F284" s="49" t="str">
        <f>VLOOKUP(Database[[#This Row],[เลขที่บัญชี]],COA[],2,FALSE)</f>
        <v>เงินสด</v>
      </c>
      <c r="G284" s="53">
        <v>180</v>
      </c>
      <c r="I284" s="52" t="str">
        <f>VLOOKUP(Database[[#This Row],[เลขที่บัญชี]],COA[],3,FALSE)</f>
        <v>1</v>
      </c>
      <c r="J284" s="52" t="s">
        <v>129</v>
      </c>
      <c r="K284" s="52" t="str">
        <f>VLOOKUP(Database[[#This Row],[รหัสหน่วยงาน]],Center[],2,FALSE)</f>
        <v>สำนักงานใหญ่</v>
      </c>
      <c r="L284" s="52">
        <v>1</v>
      </c>
    </row>
    <row r="285" spans="1:12">
      <c r="A285" s="49">
        <v>21</v>
      </c>
      <c r="B285" s="109" t="s">
        <v>172</v>
      </c>
      <c r="C285" s="51" t="s">
        <v>48</v>
      </c>
      <c r="D285" s="55" t="s">
        <v>161</v>
      </c>
      <c r="E285" s="52">
        <v>401004</v>
      </c>
      <c r="F285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285" s="53">
        <v>180</v>
      </c>
      <c r="I285" s="52" t="str">
        <f>VLOOKUP(Database[[#This Row],[เลขที่บัญชี]],COA[],3,FALSE)</f>
        <v>4</v>
      </c>
      <c r="J285" s="52" t="s">
        <v>129</v>
      </c>
      <c r="K285" s="52" t="str">
        <f>VLOOKUP(Database[[#This Row],[รหัสหน่วยงาน]],Center[],2,FALSE)</f>
        <v>สำนักงานใหญ่</v>
      </c>
      <c r="L285" s="52">
        <v>1</v>
      </c>
    </row>
    <row r="286" spans="1:12">
      <c r="A286" s="49">
        <v>21</v>
      </c>
      <c r="B286" s="109" t="s">
        <v>172</v>
      </c>
      <c r="C286" s="51" t="s">
        <v>48</v>
      </c>
      <c r="D286" s="55" t="s">
        <v>161</v>
      </c>
      <c r="E286" s="52">
        <v>101001</v>
      </c>
      <c r="F286" s="49" t="str">
        <f>VLOOKUP(Database[[#This Row],[เลขที่บัญชี]],COA[],2,FALSE)</f>
        <v>เงินสด</v>
      </c>
      <c r="G286" s="53">
        <v>60</v>
      </c>
      <c r="I286" s="52" t="str">
        <f>VLOOKUP(Database[[#This Row],[เลขที่บัญชี]],COA[],3,FALSE)</f>
        <v>1</v>
      </c>
      <c r="J286" s="52" t="s">
        <v>129</v>
      </c>
      <c r="K286" s="52" t="str">
        <f>VLOOKUP(Database[[#This Row],[รหัสหน่วยงาน]],Center[],2,FALSE)</f>
        <v>สำนักงานใหญ่</v>
      </c>
      <c r="L286" s="52">
        <v>1</v>
      </c>
    </row>
    <row r="287" spans="1:12">
      <c r="A287" s="49">
        <v>21</v>
      </c>
      <c r="B287" s="109" t="s">
        <v>172</v>
      </c>
      <c r="C287" s="51" t="s">
        <v>48</v>
      </c>
      <c r="D287" s="55" t="s">
        <v>161</v>
      </c>
      <c r="E287" s="52">
        <v>401012</v>
      </c>
      <c r="F287" s="49" t="str">
        <f>VLOOKUP(Database[[#This Row],[เลขที่บัญชี]],COA[],2,FALSE)</f>
        <v>รายได้ค่าแคดดี้</v>
      </c>
      <c r="H287" s="53">
        <v>60</v>
      </c>
      <c r="I287" s="52" t="str">
        <f>VLOOKUP(Database[[#This Row],[เลขที่บัญชี]],COA[],3,FALSE)</f>
        <v>4</v>
      </c>
      <c r="J287" s="52" t="s">
        <v>129</v>
      </c>
      <c r="K287" s="52" t="str">
        <f>VLOOKUP(Database[[#This Row],[รหัสหน่วยงาน]],Center[],2,FALSE)</f>
        <v>สำนักงานใหญ่</v>
      </c>
      <c r="L287" s="52">
        <v>1</v>
      </c>
    </row>
    <row r="288" spans="1:12">
      <c r="A288" s="49">
        <v>21</v>
      </c>
      <c r="B288" s="109" t="s">
        <v>172</v>
      </c>
      <c r="C288" s="51" t="s">
        <v>48</v>
      </c>
      <c r="D288" s="55" t="s">
        <v>161</v>
      </c>
      <c r="E288" s="52">
        <v>101002</v>
      </c>
      <c r="F288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88" s="53">
        <v>740</v>
      </c>
      <c r="I288" s="52" t="str">
        <f>VLOOKUP(Database[[#This Row],[เลขที่บัญชี]],COA[],3,FALSE)</f>
        <v>1</v>
      </c>
      <c r="J288" s="52" t="s">
        <v>129</v>
      </c>
      <c r="K288" s="52" t="str">
        <f>VLOOKUP(Database[[#This Row],[รหัสหน่วยงาน]],Center[],2,FALSE)</f>
        <v>สำนักงานใหญ่</v>
      </c>
      <c r="L288" s="52">
        <v>1</v>
      </c>
    </row>
    <row r="289" spans="1:12">
      <c r="A289" s="49">
        <v>21</v>
      </c>
      <c r="B289" s="109" t="s">
        <v>172</v>
      </c>
      <c r="C289" s="51" t="s">
        <v>48</v>
      </c>
      <c r="D289" s="55" t="s">
        <v>161</v>
      </c>
      <c r="E289" s="52">
        <v>101001</v>
      </c>
      <c r="F289" s="49" t="str">
        <f>VLOOKUP(Database[[#This Row],[เลขที่บัญชี]],COA[],2,FALSE)</f>
        <v>เงินสด</v>
      </c>
      <c r="H289" s="53">
        <v>740</v>
      </c>
      <c r="I289" s="52" t="str">
        <f>VLOOKUP(Database[[#This Row],[เลขที่บัญชี]],COA[],3,FALSE)</f>
        <v>1</v>
      </c>
      <c r="J289" s="52" t="s">
        <v>129</v>
      </c>
      <c r="K289" s="52" t="str">
        <f>VLOOKUP(Database[[#This Row],[รหัสหน่วยงาน]],Center[],2,FALSE)</f>
        <v>สำนักงานใหญ่</v>
      </c>
      <c r="L289" s="52">
        <v>1</v>
      </c>
    </row>
    <row r="290" spans="1:12">
      <c r="A290" s="49">
        <v>22</v>
      </c>
      <c r="B290" s="109" t="s">
        <v>173</v>
      </c>
      <c r="C290" s="51" t="s">
        <v>48</v>
      </c>
      <c r="D290" s="55" t="s">
        <v>161</v>
      </c>
      <c r="E290" s="52">
        <v>101001</v>
      </c>
      <c r="F290" s="49" t="str">
        <f>VLOOKUP(Database[[#This Row],[เลขที่บัญชี]],COA[],2,FALSE)</f>
        <v>เงินสด</v>
      </c>
      <c r="G290" s="53">
        <v>700</v>
      </c>
      <c r="I290" s="52" t="str">
        <f>VLOOKUP(Database[[#This Row],[เลขที่บัญชี]],COA[],3,FALSE)</f>
        <v>1</v>
      </c>
      <c r="J290" s="52" t="s">
        <v>129</v>
      </c>
      <c r="K290" s="52" t="str">
        <f>VLOOKUP(Database[[#This Row],[รหัสหน่วยงาน]],Center[],2,FALSE)</f>
        <v>สำนักงานใหญ่</v>
      </c>
      <c r="L290" s="52">
        <v>1</v>
      </c>
    </row>
    <row r="291" spans="1:12">
      <c r="A291" s="49">
        <v>22</v>
      </c>
      <c r="B291" s="109" t="s">
        <v>173</v>
      </c>
      <c r="C291" s="51" t="s">
        <v>48</v>
      </c>
      <c r="D291" s="55" t="s">
        <v>161</v>
      </c>
      <c r="E291" s="52">
        <v>401003</v>
      </c>
      <c r="F291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91" s="53">
        <v>700</v>
      </c>
      <c r="I291" s="52" t="str">
        <f>VLOOKUP(Database[[#This Row],[เลขที่บัญชี]],COA[],3,FALSE)</f>
        <v>4</v>
      </c>
      <c r="J291" s="52" t="s">
        <v>129</v>
      </c>
      <c r="K291" s="52" t="str">
        <f>VLOOKUP(Database[[#This Row],[รหัสหน่วยงาน]],Center[],2,FALSE)</f>
        <v>สำนักงานใหญ่</v>
      </c>
      <c r="L291" s="52">
        <v>1</v>
      </c>
    </row>
    <row r="292" spans="1:12">
      <c r="A292" s="49">
        <v>22</v>
      </c>
      <c r="B292" s="109" t="s">
        <v>173</v>
      </c>
      <c r="C292" s="51" t="s">
        <v>48</v>
      </c>
      <c r="D292" s="55" t="s">
        <v>161</v>
      </c>
      <c r="E292" s="52">
        <v>101001</v>
      </c>
      <c r="F292" s="49" t="str">
        <f>VLOOKUP(Database[[#This Row],[เลขที่บัญชี]],COA[],2,FALSE)</f>
        <v>เงินสด</v>
      </c>
      <c r="G292" s="53">
        <v>10</v>
      </c>
      <c r="I292" s="52" t="str">
        <f>VLOOKUP(Database[[#This Row],[เลขที่บัญชี]],COA[],3,FALSE)</f>
        <v>1</v>
      </c>
      <c r="J292" s="52" t="s">
        <v>129</v>
      </c>
      <c r="K292" s="52" t="str">
        <f>VLOOKUP(Database[[#This Row],[รหัสหน่วยงาน]],Center[],2,FALSE)</f>
        <v>สำนักงานใหญ่</v>
      </c>
      <c r="L292" s="52">
        <v>1</v>
      </c>
    </row>
    <row r="293" spans="1:12">
      <c r="A293" s="49">
        <v>22</v>
      </c>
      <c r="B293" s="109" t="s">
        <v>173</v>
      </c>
      <c r="C293" s="51" t="s">
        <v>48</v>
      </c>
      <c r="D293" s="55" t="s">
        <v>161</v>
      </c>
      <c r="E293" s="52">
        <v>401012</v>
      </c>
      <c r="F293" s="49" t="str">
        <f>VLOOKUP(Database[[#This Row],[เลขที่บัญชี]],COA[],2,FALSE)</f>
        <v>รายได้ค่าแคดดี้</v>
      </c>
      <c r="H293" s="53">
        <v>10</v>
      </c>
      <c r="I293" s="52" t="str">
        <f>VLOOKUP(Database[[#This Row],[เลขที่บัญชี]],COA[],3,FALSE)</f>
        <v>4</v>
      </c>
      <c r="J293" s="52" t="s">
        <v>129</v>
      </c>
      <c r="K293" s="52" t="str">
        <f>VLOOKUP(Database[[#This Row],[รหัสหน่วยงาน]],Center[],2,FALSE)</f>
        <v>สำนักงานใหญ่</v>
      </c>
      <c r="L293" s="52">
        <v>1</v>
      </c>
    </row>
    <row r="294" spans="1:12">
      <c r="A294" s="49">
        <v>22</v>
      </c>
      <c r="B294" s="109" t="s">
        <v>173</v>
      </c>
      <c r="C294" s="51" t="s">
        <v>48</v>
      </c>
      <c r="D294" s="55" t="s">
        <v>161</v>
      </c>
      <c r="E294" s="52">
        <v>101002</v>
      </c>
      <c r="F294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294" s="53">
        <v>710</v>
      </c>
      <c r="I294" s="52" t="str">
        <f>VLOOKUP(Database[[#This Row],[เลขที่บัญชี]],COA[],3,FALSE)</f>
        <v>1</v>
      </c>
      <c r="J294" s="52" t="s">
        <v>129</v>
      </c>
      <c r="K294" s="52" t="str">
        <f>VLOOKUP(Database[[#This Row],[รหัสหน่วยงาน]],Center[],2,FALSE)</f>
        <v>สำนักงานใหญ่</v>
      </c>
      <c r="L294" s="52">
        <v>1</v>
      </c>
    </row>
    <row r="295" spans="1:12">
      <c r="A295" s="49">
        <v>22</v>
      </c>
      <c r="B295" s="109" t="s">
        <v>173</v>
      </c>
      <c r="C295" s="51" t="s">
        <v>48</v>
      </c>
      <c r="D295" s="55" t="s">
        <v>161</v>
      </c>
      <c r="E295" s="52">
        <v>101001</v>
      </c>
      <c r="F295" s="49" t="str">
        <f>VLOOKUP(Database[[#This Row],[เลขที่บัญชี]],COA[],2,FALSE)</f>
        <v>เงินสด</v>
      </c>
      <c r="H295" s="53">
        <v>710</v>
      </c>
      <c r="I295" s="52" t="str">
        <f>VLOOKUP(Database[[#This Row],[เลขที่บัญชี]],COA[],3,FALSE)</f>
        <v>1</v>
      </c>
      <c r="J295" s="52" t="s">
        <v>129</v>
      </c>
      <c r="K295" s="52" t="str">
        <f>VLOOKUP(Database[[#This Row],[รหัสหน่วยงาน]],Center[],2,FALSE)</f>
        <v>สำนักงานใหญ่</v>
      </c>
      <c r="L295" s="52">
        <v>1</v>
      </c>
    </row>
    <row r="296" spans="1:12">
      <c r="A296" s="49">
        <v>22</v>
      </c>
      <c r="B296" s="109" t="s">
        <v>173</v>
      </c>
      <c r="C296" s="51" t="s">
        <v>48</v>
      </c>
      <c r="D296" s="55" t="s">
        <v>161</v>
      </c>
      <c r="E296" s="52">
        <v>101001</v>
      </c>
      <c r="F296" s="49" t="str">
        <f>VLOOKUP(Database[[#This Row],[เลขที่บัญชี]],COA[],2,FALSE)</f>
        <v>เงินสด</v>
      </c>
      <c r="G296" s="53">
        <v>600</v>
      </c>
      <c r="I296" s="52" t="str">
        <f>VLOOKUP(Database[[#This Row],[เลขที่บัญชี]],COA[],3,FALSE)</f>
        <v>1</v>
      </c>
      <c r="J296" s="52" t="s">
        <v>129</v>
      </c>
      <c r="K296" s="52" t="str">
        <f>VLOOKUP(Database[[#This Row],[รหัสหน่วยงาน]],Center[],2,FALSE)</f>
        <v>สำนักงานใหญ่</v>
      </c>
      <c r="L296" s="52">
        <v>1</v>
      </c>
    </row>
    <row r="297" spans="1:12">
      <c r="A297" s="49">
        <v>22</v>
      </c>
      <c r="B297" s="109" t="s">
        <v>173</v>
      </c>
      <c r="C297" s="51" t="s">
        <v>48</v>
      </c>
      <c r="D297" s="55" t="s">
        <v>161</v>
      </c>
      <c r="E297" s="52">
        <v>401003</v>
      </c>
      <c r="F297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297" s="53">
        <v>600</v>
      </c>
      <c r="I297" s="52" t="str">
        <f>VLOOKUP(Database[[#This Row],[เลขที่บัญชี]],COA[],3,FALSE)</f>
        <v>4</v>
      </c>
      <c r="J297" s="52" t="s">
        <v>129</v>
      </c>
      <c r="K297" s="52" t="str">
        <f>VLOOKUP(Database[[#This Row],[รหัสหน่วยงาน]],Center[],2,FALSE)</f>
        <v>สำนักงานใหญ่</v>
      </c>
      <c r="L297" s="52">
        <v>1</v>
      </c>
    </row>
    <row r="298" spans="1:12">
      <c r="A298" s="49">
        <v>22</v>
      </c>
      <c r="B298" s="109" t="s">
        <v>173</v>
      </c>
      <c r="C298" s="51" t="s">
        <v>48</v>
      </c>
      <c r="D298" s="55" t="s">
        <v>161</v>
      </c>
      <c r="E298" s="52">
        <v>101001</v>
      </c>
      <c r="F298" s="49" t="str">
        <f>VLOOKUP(Database[[#This Row],[เลขที่บัญชี]],COA[],2,FALSE)</f>
        <v>เงินสด</v>
      </c>
      <c r="G298" s="53">
        <v>360</v>
      </c>
      <c r="I298" s="52" t="str">
        <f>VLOOKUP(Database[[#This Row],[เลขที่บัญชี]],COA[],3,FALSE)</f>
        <v>1</v>
      </c>
      <c r="J298" s="52" t="s">
        <v>129</v>
      </c>
      <c r="K298" s="52" t="str">
        <f>VLOOKUP(Database[[#This Row],[รหัสหน่วยงาน]],Center[],2,FALSE)</f>
        <v>สำนักงานใหญ่</v>
      </c>
      <c r="L298" s="52">
        <v>1</v>
      </c>
    </row>
    <row r="299" spans="1:12">
      <c r="A299" s="49">
        <v>22</v>
      </c>
      <c r="B299" s="109" t="s">
        <v>173</v>
      </c>
      <c r="C299" s="51" t="s">
        <v>48</v>
      </c>
      <c r="D299" s="55" t="s">
        <v>161</v>
      </c>
      <c r="E299" s="52">
        <v>401004</v>
      </c>
      <c r="F299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299" s="53">
        <v>360</v>
      </c>
      <c r="I299" s="52" t="str">
        <f>VLOOKUP(Database[[#This Row],[เลขที่บัญชี]],COA[],3,FALSE)</f>
        <v>4</v>
      </c>
      <c r="J299" s="52" t="s">
        <v>129</v>
      </c>
      <c r="K299" s="52" t="str">
        <f>VLOOKUP(Database[[#This Row],[รหัสหน่วยงาน]],Center[],2,FALSE)</f>
        <v>สำนักงานใหญ่</v>
      </c>
      <c r="L299" s="52">
        <v>1</v>
      </c>
    </row>
    <row r="300" spans="1:12">
      <c r="A300" s="49">
        <v>22</v>
      </c>
      <c r="B300" s="109" t="s">
        <v>173</v>
      </c>
      <c r="C300" s="51" t="s">
        <v>48</v>
      </c>
      <c r="D300" s="55" t="s">
        <v>161</v>
      </c>
      <c r="E300" s="52">
        <v>101001</v>
      </c>
      <c r="F300" s="49" t="str">
        <f>VLOOKUP(Database[[#This Row],[เลขที่บัญชี]],COA[],2,FALSE)</f>
        <v>เงินสด</v>
      </c>
      <c r="G300" s="53">
        <v>80</v>
      </c>
      <c r="I300" s="52" t="str">
        <f>VLOOKUP(Database[[#This Row],[เลขที่บัญชี]],COA[],3,FALSE)</f>
        <v>1</v>
      </c>
      <c r="J300" s="52" t="s">
        <v>129</v>
      </c>
      <c r="K300" s="52" t="str">
        <f>VLOOKUP(Database[[#This Row],[รหัสหน่วยงาน]],Center[],2,FALSE)</f>
        <v>สำนักงานใหญ่</v>
      </c>
      <c r="L300" s="52">
        <v>1</v>
      </c>
    </row>
    <row r="301" spans="1:12">
      <c r="A301" s="49">
        <v>22</v>
      </c>
      <c r="B301" s="109" t="s">
        <v>173</v>
      </c>
      <c r="C301" s="51" t="s">
        <v>48</v>
      </c>
      <c r="D301" s="55" t="s">
        <v>161</v>
      </c>
      <c r="E301" s="52">
        <v>401012</v>
      </c>
      <c r="F301" s="49" t="str">
        <f>VLOOKUP(Database[[#This Row],[เลขที่บัญชี]],COA[],2,FALSE)</f>
        <v>รายได้ค่าแคดดี้</v>
      </c>
      <c r="H301" s="53">
        <v>80</v>
      </c>
      <c r="I301" s="52" t="str">
        <f>VLOOKUP(Database[[#This Row],[เลขที่บัญชี]],COA[],3,FALSE)</f>
        <v>4</v>
      </c>
      <c r="J301" s="52" t="s">
        <v>129</v>
      </c>
      <c r="K301" s="52" t="str">
        <f>VLOOKUP(Database[[#This Row],[รหัสหน่วยงาน]],Center[],2,FALSE)</f>
        <v>สำนักงานใหญ่</v>
      </c>
      <c r="L301" s="52">
        <v>1</v>
      </c>
    </row>
    <row r="302" spans="1:12">
      <c r="A302" s="49">
        <v>22</v>
      </c>
      <c r="B302" s="109" t="s">
        <v>173</v>
      </c>
      <c r="C302" s="51" t="s">
        <v>48</v>
      </c>
      <c r="D302" s="55" t="s">
        <v>161</v>
      </c>
      <c r="E302" s="52">
        <v>101002</v>
      </c>
      <c r="F302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02" s="53">
        <v>1040</v>
      </c>
      <c r="I302" s="52" t="str">
        <f>VLOOKUP(Database[[#This Row],[เลขที่บัญชี]],COA[],3,FALSE)</f>
        <v>1</v>
      </c>
      <c r="J302" s="52" t="s">
        <v>129</v>
      </c>
      <c r="K302" s="52" t="str">
        <f>VLOOKUP(Database[[#This Row],[รหัสหน่วยงาน]],Center[],2,FALSE)</f>
        <v>สำนักงานใหญ่</v>
      </c>
      <c r="L302" s="52">
        <v>1</v>
      </c>
    </row>
    <row r="303" spans="1:12">
      <c r="A303" s="49">
        <v>22</v>
      </c>
      <c r="B303" s="109" t="s">
        <v>173</v>
      </c>
      <c r="C303" s="51" t="s">
        <v>48</v>
      </c>
      <c r="D303" s="55" t="s">
        <v>161</v>
      </c>
      <c r="E303" s="52">
        <v>101001</v>
      </c>
      <c r="F303" s="49" t="str">
        <f>VLOOKUP(Database[[#This Row],[เลขที่บัญชี]],COA[],2,FALSE)</f>
        <v>เงินสด</v>
      </c>
      <c r="H303" s="53">
        <v>1040</v>
      </c>
      <c r="I303" s="52" t="str">
        <f>VLOOKUP(Database[[#This Row],[เลขที่บัญชี]],COA[],3,FALSE)</f>
        <v>1</v>
      </c>
      <c r="J303" s="52" t="s">
        <v>129</v>
      </c>
      <c r="K303" s="52" t="str">
        <f>VLOOKUP(Database[[#This Row],[รหัสหน่วยงาน]],Center[],2,FALSE)</f>
        <v>สำนักงานใหญ่</v>
      </c>
      <c r="L303" s="52">
        <v>1</v>
      </c>
    </row>
    <row r="304" spans="1:12">
      <c r="A304" s="49">
        <v>23</v>
      </c>
      <c r="B304" s="109" t="s">
        <v>174</v>
      </c>
      <c r="C304" s="51" t="s">
        <v>48</v>
      </c>
      <c r="D304" s="55" t="s">
        <v>161</v>
      </c>
      <c r="E304" s="52">
        <v>101001</v>
      </c>
      <c r="F304" s="49" t="str">
        <f>VLOOKUP(Database[[#This Row],[เลขที่บัญชี]],COA[],2,FALSE)</f>
        <v>เงินสด</v>
      </c>
      <c r="G304" s="53">
        <v>1200</v>
      </c>
      <c r="I304" s="52" t="str">
        <f>VLOOKUP(Database[[#This Row],[เลขที่บัญชี]],COA[],3,FALSE)</f>
        <v>1</v>
      </c>
      <c r="J304" s="52" t="s">
        <v>129</v>
      </c>
      <c r="K304" s="52" t="str">
        <f>VLOOKUP(Database[[#This Row],[รหัสหน่วยงาน]],Center[],2,FALSE)</f>
        <v>สำนักงานใหญ่</v>
      </c>
      <c r="L304" s="52">
        <v>1</v>
      </c>
    </row>
    <row r="305" spans="1:12">
      <c r="A305" s="49">
        <v>23</v>
      </c>
      <c r="B305" s="109" t="s">
        <v>174</v>
      </c>
      <c r="C305" s="51" t="s">
        <v>48</v>
      </c>
      <c r="D305" s="55" t="s">
        <v>161</v>
      </c>
      <c r="E305" s="52">
        <v>401003</v>
      </c>
      <c r="F305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305" s="53">
        <v>1200</v>
      </c>
      <c r="I305" s="52" t="str">
        <f>VLOOKUP(Database[[#This Row],[เลขที่บัญชี]],COA[],3,FALSE)</f>
        <v>4</v>
      </c>
      <c r="J305" s="52" t="s">
        <v>129</v>
      </c>
      <c r="K305" s="52" t="str">
        <f>VLOOKUP(Database[[#This Row],[รหัสหน่วยงาน]],Center[],2,FALSE)</f>
        <v>สำนักงานใหญ่</v>
      </c>
      <c r="L305" s="52">
        <v>1</v>
      </c>
    </row>
    <row r="306" spans="1:12">
      <c r="A306" s="49">
        <v>23</v>
      </c>
      <c r="B306" s="109" t="s">
        <v>174</v>
      </c>
      <c r="C306" s="51" t="s">
        <v>48</v>
      </c>
      <c r="D306" s="55" t="s">
        <v>161</v>
      </c>
      <c r="E306" s="52">
        <v>101001</v>
      </c>
      <c r="F306" s="49" t="str">
        <f>VLOOKUP(Database[[#This Row],[เลขที่บัญชี]],COA[],2,FALSE)</f>
        <v>เงินสด</v>
      </c>
      <c r="G306" s="53">
        <v>90</v>
      </c>
      <c r="I306" s="52" t="str">
        <f>VLOOKUP(Database[[#This Row],[เลขที่บัญชี]],COA[],3,FALSE)</f>
        <v>1</v>
      </c>
      <c r="J306" s="52" t="s">
        <v>129</v>
      </c>
      <c r="K306" s="52" t="str">
        <f>VLOOKUP(Database[[#This Row],[รหัสหน่วยงาน]],Center[],2,FALSE)</f>
        <v>สำนักงานใหญ่</v>
      </c>
      <c r="L306" s="52">
        <v>1</v>
      </c>
    </row>
    <row r="307" spans="1:12">
      <c r="A307" s="49">
        <v>23</v>
      </c>
      <c r="B307" s="109" t="s">
        <v>174</v>
      </c>
      <c r="C307" s="51" t="s">
        <v>48</v>
      </c>
      <c r="D307" s="55" t="s">
        <v>161</v>
      </c>
      <c r="E307" s="52">
        <v>401012</v>
      </c>
      <c r="F307" s="49" t="str">
        <f>VLOOKUP(Database[[#This Row],[เลขที่บัญชี]],COA[],2,FALSE)</f>
        <v>รายได้ค่าแคดดี้</v>
      </c>
      <c r="H307" s="53">
        <v>90</v>
      </c>
      <c r="I307" s="52" t="str">
        <f>VLOOKUP(Database[[#This Row],[เลขที่บัญชี]],COA[],3,FALSE)</f>
        <v>4</v>
      </c>
      <c r="J307" s="52" t="s">
        <v>129</v>
      </c>
      <c r="K307" s="52" t="str">
        <f>VLOOKUP(Database[[#This Row],[รหัสหน่วยงาน]],Center[],2,FALSE)</f>
        <v>สำนักงานใหญ่</v>
      </c>
      <c r="L307" s="52">
        <v>1</v>
      </c>
    </row>
    <row r="308" spans="1:12">
      <c r="A308" s="49">
        <v>23</v>
      </c>
      <c r="B308" s="109" t="s">
        <v>174</v>
      </c>
      <c r="C308" s="51" t="s">
        <v>48</v>
      </c>
      <c r="D308" s="55" t="s">
        <v>161</v>
      </c>
      <c r="E308" s="52">
        <v>101002</v>
      </c>
      <c r="F308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08" s="53">
        <v>1290</v>
      </c>
      <c r="I308" s="52" t="str">
        <f>VLOOKUP(Database[[#This Row],[เลขที่บัญชี]],COA[],3,FALSE)</f>
        <v>1</v>
      </c>
      <c r="J308" s="52" t="s">
        <v>129</v>
      </c>
      <c r="K308" s="52" t="str">
        <f>VLOOKUP(Database[[#This Row],[รหัสหน่วยงาน]],Center[],2,FALSE)</f>
        <v>สำนักงานใหญ่</v>
      </c>
      <c r="L308" s="52">
        <v>1</v>
      </c>
    </row>
    <row r="309" spans="1:12">
      <c r="A309" s="49">
        <v>23</v>
      </c>
      <c r="B309" s="109" t="s">
        <v>174</v>
      </c>
      <c r="C309" s="51" t="s">
        <v>48</v>
      </c>
      <c r="D309" s="55" t="s">
        <v>161</v>
      </c>
      <c r="E309" s="52">
        <v>101001</v>
      </c>
      <c r="F309" s="49" t="str">
        <f>VLOOKUP(Database[[#This Row],[เลขที่บัญชี]],COA[],2,FALSE)</f>
        <v>เงินสด</v>
      </c>
      <c r="H309" s="53">
        <v>1290</v>
      </c>
      <c r="I309" s="52" t="str">
        <f>VLOOKUP(Database[[#This Row],[เลขที่บัญชี]],COA[],3,FALSE)</f>
        <v>1</v>
      </c>
      <c r="J309" s="52" t="s">
        <v>129</v>
      </c>
      <c r="K309" s="52" t="str">
        <f>VLOOKUP(Database[[#This Row],[รหัสหน่วยงาน]],Center[],2,FALSE)</f>
        <v>สำนักงานใหญ่</v>
      </c>
      <c r="L309" s="52">
        <v>1</v>
      </c>
    </row>
    <row r="310" spans="1:12">
      <c r="A310" s="49">
        <v>23</v>
      </c>
      <c r="B310" s="109" t="s">
        <v>174</v>
      </c>
      <c r="C310" s="51" t="s">
        <v>48</v>
      </c>
      <c r="D310" s="55" t="s">
        <v>161</v>
      </c>
      <c r="E310" s="52">
        <v>101001</v>
      </c>
      <c r="F310" s="49" t="str">
        <f>VLOOKUP(Database[[#This Row],[เลขที่บัญชี]],COA[],2,FALSE)</f>
        <v>เงินสด</v>
      </c>
      <c r="G310" s="53">
        <v>1600</v>
      </c>
      <c r="I310" s="52" t="str">
        <f>VLOOKUP(Database[[#This Row],[เลขที่บัญชี]],COA[],3,FALSE)</f>
        <v>1</v>
      </c>
      <c r="J310" s="52" t="s">
        <v>129</v>
      </c>
      <c r="K310" s="52" t="str">
        <f>VLOOKUP(Database[[#This Row],[รหัสหน่วยงาน]],Center[],2,FALSE)</f>
        <v>สำนักงานใหญ่</v>
      </c>
      <c r="L310" s="52">
        <v>1</v>
      </c>
    </row>
    <row r="311" spans="1:12">
      <c r="A311" s="49">
        <v>23</v>
      </c>
      <c r="B311" s="109" t="s">
        <v>174</v>
      </c>
      <c r="C311" s="51" t="s">
        <v>48</v>
      </c>
      <c r="D311" s="55" t="s">
        <v>161</v>
      </c>
      <c r="E311" s="52">
        <v>401003</v>
      </c>
      <c r="F311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311" s="53">
        <v>1600</v>
      </c>
      <c r="I311" s="52" t="str">
        <f>VLOOKUP(Database[[#This Row],[เลขที่บัญชี]],COA[],3,FALSE)</f>
        <v>4</v>
      </c>
      <c r="J311" s="52" t="s">
        <v>129</v>
      </c>
      <c r="K311" s="52" t="str">
        <f>VLOOKUP(Database[[#This Row],[รหัสหน่วยงาน]],Center[],2,FALSE)</f>
        <v>สำนักงานใหญ่</v>
      </c>
      <c r="L311" s="52">
        <v>1</v>
      </c>
    </row>
    <row r="312" spans="1:12">
      <c r="A312" s="49">
        <v>23</v>
      </c>
      <c r="B312" s="109" t="s">
        <v>174</v>
      </c>
      <c r="C312" s="51" t="s">
        <v>48</v>
      </c>
      <c r="D312" s="55" t="s">
        <v>161</v>
      </c>
      <c r="E312" s="52">
        <v>101001</v>
      </c>
      <c r="F312" s="49" t="str">
        <f>VLOOKUP(Database[[#This Row],[เลขที่บัญชี]],COA[],2,FALSE)</f>
        <v>เงินสด</v>
      </c>
      <c r="G312" s="53">
        <v>360</v>
      </c>
      <c r="I312" s="52" t="str">
        <f>VLOOKUP(Database[[#This Row],[เลขที่บัญชี]],COA[],3,FALSE)</f>
        <v>1</v>
      </c>
      <c r="J312" s="52" t="s">
        <v>129</v>
      </c>
      <c r="K312" s="52" t="str">
        <f>VLOOKUP(Database[[#This Row],[รหัสหน่วยงาน]],Center[],2,FALSE)</f>
        <v>สำนักงานใหญ่</v>
      </c>
      <c r="L312" s="52">
        <v>1</v>
      </c>
    </row>
    <row r="313" spans="1:12">
      <c r="A313" s="49">
        <v>23</v>
      </c>
      <c r="B313" s="109" t="s">
        <v>174</v>
      </c>
      <c r="C313" s="51" t="s">
        <v>48</v>
      </c>
      <c r="D313" s="55" t="s">
        <v>161</v>
      </c>
      <c r="E313" s="52">
        <v>401004</v>
      </c>
      <c r="F313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313" s="53">
        <v>360</v>
      </c>
      <c r="I313" s="52" t="str">
        <f>VLOOKUP(Database[[#This Row],[เลขที่บัญชี]],COA[],3,FALSE)</f>
        <v>4</v>
      </c>
      <c r="J313" s="52" t="s">
        <v>129</v>
      </c>
      <c r="K313" s="52" t="str">
        <f>VLOOKUP(Database[[#This Row],[รหัสหน่วยงาน]],Center[],2,FALSE)</f>
        <v>สำนักงานใหญ่</v>
      </c>
      <c r="L313" s="52">
        <v>1</v>
      </c>
    </row>
    <row r="314" spans="1:12">
      <c r="A314" s="49">
        <v>23</v>
      </c>
      <c r="B314" s="109" t="s">
        <v>174</v>
      </c>
      <c r="C314" s="51" t="s">
        <v>48</v>
      </c>
      <c r="D314" s="55" t="s">
        <v>161</v>
      </c>
      <c r="E314" s="52">
        <v>101001</v>
      </c>
      <c r="F314" s="49" t="str">
        <f>VLOOKUP(Database[[#This Row],[เลขที่บัญชี]],COA[],2,FALSE)</f>
        <v>เงินสด</v>
      </c>
      <c r="G314" s="53">
        <v>50</v>
      </c>
      <c r="I314" s="52" t="str">
        <f>VLOOKUP(Database[[#This Row],[เลขที่บัญชี]],COA[],3,FALSE)</f>
        <v>1</v>
      </c>
      <c r="J314" s="52" t="s">
        <v>129</v>
      </c>
      <c r="K314" s="52" t="str">
        <f>VLOOKUP(Database[[#This Row],[รหัสหน่วยงาน]],Center[],2,FALSE)</f>
        <v>สำนักงานใหญ่</v>
      </c>
      <c r="L314" s="52">
        <v>1</v>
      </c>
    </row>
    <row r="315" spans="1:12">
      <c r="A315" s="49">
        <v>23</v>
      </c>
      <c r="B315" s="109" t="s">
        <v>174</v>
      </c>
      <c r="C315" s="51" t="s">
        <v>48</v>
      </c>
      <c r="D315" s="55" t="s">
        <v>161</v>
      </c>
      <c r="E315" s="52">
        <v>401018</v>
      </c>
      <c r="F315" s="49" t="str">
        <f>VLOOKUP(Database[[#This Row],[เลขที่บัญชี]],COA[],2,FALSE)</f>
        <v>ค่าบริการสนามผู้ติดตาม</v>
      </c>
      <c r="H315" s="53">
        <v>50</v>
      </c>
      <c r="I315" s="52" t="str">
        <f>VLOOKUP(Database[[#This Row],[เลขที่บัญชี]],COA[],3,FALSE)</f>
        <v>4</v>
      </c>
      <c r="J315" s="52" t="s">
        <v>129</v>
      </c>
      <c r="K315" s="52" t="str">
        <f>VLOOKUP(Database[[#This Row],[รหัสหน่วยงาน]],Center[],2,FALSE)</f>
        <v>สำนักงานใหญ่</v>
      </c>
      <c r="L315" s="52">
        <v>1</v>
      </c>
    </row>
    <row r="316" spans="1:12">
      <c r="A316" s="49">
        <v>23</v>
      </c>
      <c r="B316" s="109" t="s">
        <v>174</v>
      </c>
      <c r="C316" s="51" t="s">
        <v>48</v>
      </c>
      <c r="D316" s="55" t="s">
        <v>161</v>
      </c>
      <c r="E316" s="52">
        <v>101001</v>
      </c>
      <c r="F316" s="49" t="str">
        <f>VLOOKUP(Database[[#This Row],[เลขที่บัญชี]],COA[],2,FALSE)</f>
        <v>เงินสด</v>
      </c>
      <c r="G316" s="53">
        <v>290</v>
      </c>
      <c r="I316" s="52" t="str">
        <f>VLOOKUP(Database[[#This Row],[เลขที่บัญชี]],COA[],3,FALSE)</f>
        <v>1</v>
      </c>
      <c r="J316" s="52" t="s">
        <v>129</v>
      </c>
      <c r="K316" s="52" t="str">
        <f>VLOOKUP(Database[[#This Row],[รหัสหน่วยงาน]],Center[],2,FALSE)</f>
        <v>สำนักงานใหญ่</v>
      </c>
      <c r="L316" s="52">
        <v>1</v>
      </c>
    </row>
    <row r="317" spans="1:12">
      <c r="A317" s="49">
        <v>23</v>
      </c>
      <c r="B317" s="109" t="s">
        <v>174</v>
      </c>
      <c r="C317" s="51" t="s">
        <v>48</v>
      </c>
      <c r="D317" s="55" t="s">
        <v>161</v>
      </c>
      <c r="E317" s="52">
        <v>401012</v>
      </c>
      <c r="F317" s="49" t="str">
        <f>VLOOKUP(Database[[#This Row],[เลขที่บัญชี]],COA[],2,FALSE)</f>
        <v>รายได้ค่าแคดดี้</v>
      </c>
      <c r="H317" s="53">
        <v>290</v>
      </c>
      <c r="I317" s="52" t="str">
        <f>VLOOKUP(Database[[#This Row],[เลขที่บัญชี]],COA[],3,FALSE)</f>
        <v>4</v>
      </c>
      <c r="J317" s="52" t="s">
        <v>129</v>
      </c>
      <c r="K317" s="52" t="str">
        <f>VLOOKUP(Database[[#This Row],[รหัสหน่วยงาน]],Center[],2,FALSE)</f>
        <v>สำนักงานใหญ่</v>
      </c>
      <c r="L317" s="52">
        <v>1</v>
      </c>
    </row>
    <row r="318" spans="1:12">
      <c r="A318" s="49">
        <v>23</v>
      </c>
      <c r="B318" s="109" t="s">
        <v>174</v>
      </c>
      <c r="C318" s="51" t="s">
        <v>48</v>
      </c>
      <c r="D318" s="55" t="s">
        <v>161</v>
      </c>
      <c r="E318" s="52">
        <v>101002</v>
      </c>
      <c r="F318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18" s="53">
        <v>2300</v>
      </c>
      <c r="I318" s="52" t="str">
        <f>VLOOKUP(Database[[#This Row],[เลขที่บัญชี]],COA[],3,FALSE)</f>
        <v>1</v>
      </c>
      <c r="J318" s="52" t="s">
        <v>129</v>
      </c>
      <c r="K318" s="52" t="str">
        <f>VLOOKUP(Database[[#This Row],[รหัสหน่วยงาน]],Center[],2,FALSE)</f>
        <v>สำนักงานใหญ่</v>
      </c>
      <c r="L318" s="52">
        <v>1</v>
      </c>
    </row>
    <row r="319" spans="1:12">
      <c r="A319" s="49">
        <v>23</v>
      </c>
      <c r="B319" s="109" t="s">
        <v>174</v>
      </c>
      <c r="C319" s="51" t="s">
        <v>48</v>
      </c>
      <c r="D319" s="55" t="s">
        <v>161</v>
      </c>
      <c r="E319" s="52">
        <v>101001</v>
      </c>
      <c r="F319" s="49" t="str">
        <f>VLOOKUP(Database[[#This Row],[เลขที่บัญชี]],COA[],2,FALSE)</f>
        <v>เงินสด</v>
      </c>
      <c r="H319" s="53">
        <v>2300</v>
      </c>
      <c r="I319" s="52" t="str">
        <f>VLOOKUP(Database[[#This Row],[เลขที่บัญชี]],COA[],3,FALSE)</f>
        <v>1</v>
      </c>
      <c r="J319" s="52" t="s">
        <v>129</v>
      </c>
      <c r="K319" s="52" t="str">
        <f>VLOOKUP(Database[[#This Row],[รหัสหน่วยงาน]],Center[],2,FALSE)</f>
        <v>สำนักงานใหญ่</v>
      </c>
      <c r="L319" s="52">
        <v>1</v>
      </c>
    </row>
    <row r="320" spans="1:12">
      <c r="A320" s="49">
        <v>23</v>
      </c>
      <c r="B320" s="109" t="s">
        <v>174</v>
      </c>
      <c r="C320" s="51" t="s">
        <v>48</v>
      </c>
      <c r="D320" s="55" t="s">
        <v>161</v>
      </c>
      <c r="E320" s="52">
        <v>101001</v>
      </c>
      <c r="F320" s="49" t="str">
        <f>VLOOKUP(Database[[#This Row],[เลขที่บัญชี]],COA[],2,FALSE)</f>
        <v>เงินสด</v>
      </c>
      <c r="G320" s="53">
        <v>800</v>
      </c>
      <c r="I320" s="52" t="str">
        <f>VLOOKUP(Database[[#This Row],[เลขที่บัญชี]],COA[],3,FALSE)</f>
        <v>1</v>
      </c>
      <c r="J320" s="52" t="s">
        <v>129</v>
      </c>
      <c r="K320" s="52" t="str">
        <f>VLOOKUP(Database[[#This Row],[รหัสหน่วยงาน]],Center[],2,FALSE)</f>
        <v>สำนักงานใหญ่</v>
      </c>
      <c r="L320" s="52">
        <v>1</v>
      </c>
    </row>
    <row r="321" spans="1:12">
      <c r="A321" s="49">
        <v>23</v>
      </c>
      <c r="B321" s="109" t="s">
        <v>174</v>
      </c>
      <c r="C321" s="51" t="s">
        <v>48</v>
      </c>
      <c r="D321" s="55" t="s">
        <v>161</v>
      </c>
      <c r="E321" s="52">
        <v>201002</v>
      </c>
      <c r="F321" s="49" t="str">
        <f>VLOOKUP(Database[[#This Row],[เลขที่บัญชี]],COA[],2,FALSE)</f>
        <v>เงินรับฝาก-สนามไดร์ฟ</v>
      </c>
      <c r="H321" s="53">
        <v>800</v>
      </c>
      <c r="I321" s="52" t="str">
        <f>VLOOKUP(Database[[#This Row],[เลขที่บัญชี]],COA[],3,FALSE)</f>
        <v>2</v>
      </c>
      <c r="J321" s="52" t="s">
        <v>129</v>
      </c>
      <c r="K321" s="52" t="str">
        <f>VLOOKUP(Database[[#This Row],[รหัสหน่วยงาน]],Center[],2,FALSE)</f>
        <v>สำนักงานใหญ่</v>
      </c>
      <c r="L321" s="52">
        <v>1</v>
      </c>
    </row>
    <row r="322" spans="1:12">
      <c r="A322" s="49">
        <v>23</v>
      </c>
      <c r="B322" s="109" t="s">
        <v>174</v>
      </c>
      <c r="C322" s="51" t="s">
        <v>48</v>
      </c>
      <c r="D322" s="55" t="s">
        <v>161</v>
      </c>
      <c r="E322" s="52">
        <v>101002</v>
      </c>
      <c r="F322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22" s="53">
        <v>800</v>
      </c>
      <c r="I322" s="52" t="str">
        <f>VLOOKUP(Database[[#This Row],[เลขที่บัญชี]],COA[],3,FALSE)</f>
        <v>1</v>
      </c>
      <c r="J322" s="52" t="s">
        <v>129</v>
      </c>
      <c r="K322" s="52" t="str">
        <f>VLOOKUP(Database[[#This Row],[รหัสหน่วยงาน]],Center[],2,FALSE)</f>
        <v>สำนักงานใหญ่</v>
      </c>
      <c r="L322" s="52">
        <v>1</v>
      </c>
    </row>
    <row r="323" spans="1:12">
      <c r="A323" s="49">
        <v>23</v>
      </c>
      <c r="B323" s="109" t="s">
        <v>174</v>
      </c>
      <c r="C323" s="51" t="s">
        <v>48</v>
      </c>
      <c r="D323" s="55" t="s">
        <v>161</v>
      </c>
      <c r="E323" s="52">
        <v>101001</v>
      </c>
      <c r="F323" s="49" t="str">
        <f>VLOOKUP(Database[[#This Row],[เลขที่บัญชี]],COA[],2,FALSE)</f>
        <v>เงินสด</v>
      </c>
      <c r="H323" s="53">
        <v>800</v>
      </c>
      <c r="I323" s="52" t="str">
        <f>VLOOKUP(Database[[#This Row],[เลขที่บัญชี]],COA[],3,FALSE)</f>
        <v>1</v>
      </c>
      <c r="J323" s="52" t="s">
        <v>129</v>
      </c>
      <c r="K323" s="52" t="str">
        <f>VLOOKUP(Database[[#This Row],[รหัสหน่วยงาน]],Center[],2,FALSE)</f>
        <v>สำนักงานใหญ่</v>
      </c>
      <c r="L323" s="52">
        <v>1</v>
      </c>
    </row>
    <row r="324" spans="1:12">
      <c r="A324" s="49">
        <v>24</v>
      </c>
      <c r="B324" s="109" t="s">
        <v>175</v>
      </c>
      <c r="C324" s="51" t="s">
        <v>48</v>
      </c>
      <c r="D324" s="55" t="s">
        <v>161</v>
      </c>
      <c r="E324" s="52">
        <v>101001</v>
      </c>
      <c r="F324" s="49" t="str">
        <f>VLOOKUP(Database[[#This Row],[เลขที่บัญชี]],COA[],2,FALSE)</f>
        <v>เงินสด</v>
      </c>
      <c r="G324" s="53">
        <v>1700</v>
      </c>
      <c r="I324" s="52" t="str">
        <f>VLOOKUP(Database[[#This Row],[เลขที่บัญชี]],COA[],3,FALSE)</f>
        <v>1</v>
      </c>
      <c r="J324" s="52" t="s">
        <v>129</v>
      </c>
      <c r="K324" s="52" t="str">
        <f>VLOOKUP(Database[[#This Row],[รหัสหน่วยงาน]],Center[],2,FALSE)</f>
        <v>สำนักงานใหญ่</v>
      </c>
      <c r="L324" s="52">
        <v>1</v>
      </c>
    </row>
    <row r="325" spans="1:12">
      <c r="A325" s="49">
        <v>24</v>
      </c>
      <c r="B325" s="109" t="s">
        <v>175</v>
      </c>
      <c r="C325" s="51" t="s">
        <v>48</v>
      </c>
      <c r="D325" s="55" t="s">
        <v>161</v>
      </c>
      <c r="E325" s="52">
        <v>401003</v>
      </c>
      <c r="F325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325" s="53">
        <v>1700</v>
      </c>
      <c r="I325" s="52" t="str">
        <f>VLOOKUP(Database[[#This Row],[เลขที่บัญชี]],COA[],3,FALSE)</f>
        <v>4</v>
      </c>
      <c r="J325" s="52" t="s">
        <v>129</v>
      </c>
      <c r="K325" s="52" t="str">
        <f>VLOOKUP(Database[[#This Row],[รหัสหน่วยงาน]],Center[],2,FALSE)</f>
        <v>สำนักงานใหญ่</v>
      </c>
      <c r="L325" s="52">
        <v>1</v>
      </c>
    </row>
    <row r="326" spans="1:12">
      <c r="A326" s="49">
        <v>24</v>
      </c>
      <c r="B326" s="109" t="s">
        <v>175</v>
      </c>
      <c r="C326" s="51" t="s">
        <v>48</v>
      </c>
      <c r="D326" s="55" t="s">
        <v>161</v>
      </c>
      <c r="E326" s="52">
        <v>101001</v>
      </c>
      <c r="F326" s="49" t="str">
        <f>VLOOKUP(Database[[#This Row],[เลขที่บัญชี]],COA[],2,FALSE)</f>
        <v>เงินสด</v>
      </c>
      <c r="G326" s="53">
        <v>50</v>
      </c>
      <c r="I326" s="52" t="str">
        <f>VLOOKUP(Database[[#This Row],[เลขที่บัญชี]],COA[],3,FALSE)</f>
        <v>1</v>
      </c>
      <c r="J326" s="52" t="s">
        <v>129</v>
      </c>
      <c r="K326" s="52" t="str">
        <f>VLOOKUP(Database[[#This Row],[รหัสหน่วยงาน]],Center[],2,FALSE)</f>
        <v>สำนักงานใหญ่</v>
      </c>
      <c r="L326" s="52">
        <v>1</v>
      </c>
    </row>
    <row r="327" spans="1:12">
      <c r="A327" s="49">
        <v>24</v>
      </c>
      <c r="B327" s="109" t="s">
        <v>175</v>
      </c>
      <c r="C327" s="51" t="s">
        <v>48</v>
      </c>
      <c r="D327" s="55" t="s">
        <v>161</v>
      </c>
      <c r="E327" s="52">
        <v>401018</v>
      </c>
      <c r="F327" s="49" t="str">
        <f>VLOOKUP(Database[[#This Row],[เลขที่บัญชี]],COA[],2,FALSE)</f>
        <v>ค่าบริการสนามผู้ติดตาม</v>
      </c>
      <c r="H327" s="53">
        <v>50</v>
      </c>
      <c r="I327" s="52" t="str">
        <f>VLOOKUP(Database[[#This Row],[เลขที่บัญชี]],COA[],3,FALSE)</f>
        <v>4</v>
      </c>
      <c r="J327" s="52" t="s">
        <v>129</v>
      </c>
      <c r="K327" s="52" t="str">
        <f>VLOOKUP(Database[[#This Row],[รหัสหน่วยงาน]],Center[],2,FALSE)</f>
        <v>สำนักงานใหญ่</v>
      </c>
      <c r="L327" s="52">
        <v>1</v>
      </c>
    </row>
    <row r="328" spans="1:12">
      <c r="A328" s="49">
        <v>24</v>
      </c>
      <c r="B328" s="109" t="s">
        <v>175</v>
      </c>
      <c r="C328" s="51" t="s">
        <v>48</v>
      </c>
      <c r="D328" s="55" t="s">
        <v>161</v>
      </c>
      <c r="E328" s="52">
        <v>101001</v>
      </c>
      <c r="F328" s="49" t="str">
        <f>VLOOKUP(Database[[#This Row],[เลขที่บัญชี]],COA[],2,FALSE)</f>
        <v>เงินสด</v>
      </c>
      <c r="G328" s="53">
        <v>210</v>
      </c>
      <c r="I328" s="52" t="str">
        <f>VLOOKUP(Database[[#This Row],[เลขที่บัญชี]],COA[],3,FALSE)</f>
        <v>1</v>
      </c>
      <c r="J328" s="52" t="s">
        <v>129</v>
      </c>
      <c r="K328" s="52" t="str">
        <f>VLOOKUP(Database[[#This Row],[รหัสหน่วยงาน]],Center[],2,FALSE)</f>
        <v>สำนักงานใหญ่</v>
      </c>
      <c r="L328" s="52">
        <v>1</v>
      </c>
    </row>
    <row r="329" spans="1:12">
      <c r="A329" s="49">
        <v>24</v>
      </c>
      <c r="B329" s="109" t="s">
        <v>175</v>
      </c>
      <c r="C329" s="51" t="s">
        <v>48</v>
      </c>
      <c r="D329" s="55" t="s">
        <v>161</v>
      </c>
      <c r="E329" s="52">
        <v>401012</v>
      </c>
      <c r="F329" s="49" t="str">
        <f>VLOOKUP(Database[[#This Row],[เลขที่บัญชี]],COA[],2,FALSE)</f>
        <v>รายได้ค่าแคดดี้</v>
      </c>
      <c r="H329" s="53">
        <v>210</v>
      </c>
      <c r="I329" s="52" t="str">
        <f>VLOOKUP(Database[[#This Row],[เลขที่บัญชี]],COA[],3,FALSE)</f>
        <v>4</v>
      </c>
      <c r="J329" s="52" t="s">
        <v>129</v>
      </c>
      <c r="K329" s="52" t="str">
        <f>VLOOKUP(Database[[#This Row],[รหัสหน่วยงาน]],Center[],2,FALSE)</f>
        <v>สำนักงานใหญ่</v>
      </c>
      <c r="L329" s="52">
        <v>1</v>
      </c>
    </row>
    <row r="330" spans="1:12">
      <c r="A330" s="49">
        <v>24</v>
      </c>
      <c r="B330" s="109" t="s">
        <v>175</v>
      </c>
      <c r="C330" s="51" t="s">
        <v>48</v>
      </c>
      <c r="D330" s="55" t="s">
        <v>161</v>
      </c>
      <c r="E330" s="52">
        <v>101002</v>
      </c>
      <c r="F330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30" s="53">
        <v>1960</v>
      </c>
      <c r="I330" s="52" t="str">
        <f>VLOOKUP(Database[[#This Row],[เลขที่บัญชี]],COA[],3,FALSE)</f>
        <v>1</v>
      </c>
      <c r="J330" s="52" t="s">
        <v>129</v>
      </c>
      <c r="K330" s="52" t="str">
        <f>VLOOKUP(Database[[#This Row],[รหัสหน่วยงาน]],Center[],2,FALSE)</f>
        <v>สำนักงานใหญ่</v>
      </c>
      <c r="L330" s="52">
        <v>1</v>
      </c>
    </row>
    <row r="331" spans="1:12">
      <c r="A331" s="49">
        <v>24</v>
      </c>
      <c r="B331" s="109" t="s">
        <v>175</v>
      </c>
      <c r="C331" s="51" t="s">
        <v>48</v>
      </c>
      <c r="D331" s="55" t="s">
        <v>161</v>
      </c>
      <c r="E331" s="52">
        <v>101001</v>
      </c>
      <c r="F331" s="49" t="str">
        <f>VLOOKUP(Database[[#This Row],[เลขที่บัญชี]],COA[],2,FALSE)</f>
        <v>เงินสด</v>
      </c>
      <c r="H331" s="53">
        <v>1960</v>
      </c>
      <c r="I331" s="52" t="str">
        <f>VLOOKUP(Database[[#This Row],[เลขที่บัญชี]],COA[],3,FALSE)</f>
        <v>1</v>
      </c>
      <c r="J331" s="52" t="s">
        <v>129</v>
      </c>
      <c r="K331" s="52" t="str">
        <f>VLOOKUP(Database[[#This Row],[รหัสหน่วยงาน]],Center[],2,FALSE)</f>
        <v>สำนักงานใหญ่</v>
      </c>
      <c r="L331" s="52">
        <v>1</v>
      </c>
    </row>
    <row r="332" spans="1:12">
      <c r="A332" s="49">
        <v>25</v>
      </c>
      <c r="B332" s="109" t="s">
        <v>176</v>
      </c>
      <c r="C332" s="51" t="s">
        <v>48</v>
      </c>
      <c r="D332" s="55" t="s">
        <v>161</v>
      </c>
      <c r="E332" s="52">
        <v>101001</v>
      </c>
      <c r="F332" s="49" t="str">
        <f>VLOOKUP(Database[[#This Row],[เลขที่บัญชี]],COA[],2,FALSE)</f>
        <v>เงินสด</v>
      </c>
      <c r="G332" s="53">
        <v>2500</v>
      </c>
      <c r="I332" s="52" t="str">
        <f>VLOOKUP(Database[[#This Row],[เลขที่บัญชี]],COA[],3,FALSE)</f>
        <v>1</v>
      </c>
      <c r="J332" s="52" t="s">
        <v>129</v>
      </c>
      <c r="K332" s="52" t="str">
        <f>VLOOKUP(Database[[#This Row],[รหัสหน่วยงาน]],Center[],2,FALSE)</f>
        <v>สำนักงานใหญ่</v>
      </c>
      <c r="L332" s="52">
        <v>1</v>
      </c>
    </row>
    <row r="333" spans="1:12">
      <c r="A333" s="49">
        <v>25</v>
      </c>
      <c r="B333" s="109" t="s">
        <v>176</v>
      </c>
      <c r="C333" s="51" t="s">
        <v>48</v>
      </c>
      <c r="D333" s="55" t="s">
        <v>161</v>
      </c>
      <c r="E333" s="52">
        <v>401003</v>
      </c>
      <c r="F333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333" s="53">
        <v>2500</v>
      </c>
      <c r="I333" s="52" t="str">
        <f>VLOOKUP(Database[[#This Row],[เลขที่บัญชี]],COA[],3,FALSE)</f>
        <v>4</v>
      </c>
      <c r="J333" s="52" t="s">
        <v>129</v>
      </c>
      <c r="K333" s="52" t="str">
        <f>VLOOKUP(Database[[#This Row],[รหัสหน่วยงาน]],Center[],2,FALSE)</f>
        <v>สำนักงานใหญ่</v>
      </c>
      <c r="L333" s="52">
        <v>1</v>
      </c>
    </row>
    <row r="334" spans="1:12">
      <c r="A334" s="49">
        <v>25</v>
      </c>
      <c r="B334" s="109" t="s">
        <v>176</v>
      </c>
      <c r="C334" s="51" t="s">
        <v>48</v>
      </c>
      <c r="D334" s="55" t="s">
        <v>161</v>
      </c>
      <c r="E334" s="52">
        <v>101001</v>
      </c>
      <c r="F334" s="49" t="str">
        <f>VLOOKUP(Database[[#This Row],[เลขที่บัญชี]],COA[],2,FALSE)</f>
        <v>เงินสด</v>
      </c>
      <c r="G334" s="53">
        <v>480</v>
      </c>
      <c r="I334" s="52" t="str">
        <f>VLOOKUP(Database[[#This Row],[เลขที่บัญชี]],COA[],3,FALSE)</f>
        <v>1</v>
      </c>
      <c r="J334" s="52" t="s">
        <v>129</v>
      </c>
      <c r="K334" s="52" t="str">
        <f>VLOOKUP(Database[[#This Row],[รหัสหน่วยงาน]],Center[],2,FALSE)</f>
        <v>สำนักงานใหญ่</v>
      </c>
      <c r="L334" s="52">
        <v>1</v>
      </c>
    </row>
    <row r="335" spans="1:12">
      <c r="A335" s="49">
        <v>25</v>
      </c>
      <c r="B335" s="109" t="s">
        <v>176</v>
      </c>
      <c r="C335" s="51" t="s">
        <v>48</v>
      </c>
      <c r="D335" s="55" t="s">
        <v>161</v>
      </c>
      <c r="E335" s="52">
        <v>401005</v>
      </c>
      <c r="F335" s="49" t="str">
        <f>VLOOKUP(Database[[#This Row],[เลขที่บัญชี]],COA[],2,FALSE)</f>
        <v>รายได้ค่าบริการสนามกอล์ฟ รหัส 05 (บุคคลทั่วไป-วันหยุดราชการ)</v>
      </c>
      <c r="H335" s="53">
        <v>480</v>
      </c>
      <c r="I335" s="52" t="str">
        <f>VLOOKUP(Database[[#This Row],[เลขที่บัญชี]],COA[],3,FALSE)</f>
        <v>4</v>
      </c>
      <c r="J335" s="52" t="s">
        <v>129</v>
      </c>
      <c r="K335" s="52" t="str">
        <f>VLOOKUP(Database[[#This Row],[รหัสหน่วยงาน]],Center[],2,FALSE)</f>
        <v>สำนักงานใหญ่</v>
      </c>
      <c r="L335" s="52">
        <v>1</v>
      </c>
    </row>
    <row r="336" spans="1:12">
      <c r="A336" s="49">
        <v>25</v>
      </c>
      <c r="B336" s="109" t="s">
        <v>176</v>
      </c>
      <c r="C336" s="51" t="s">
        <v>48</v>
      </c>
      <c r="D336" s="55" t="s">
        <v>161</v>
      </c>
      <c r="E336" s="52">
        <v>101001</v>
      </c>
      <c r="F336" s="49" t="str">
        <f>VLOOKUP(Database[[#This Row],[เลขที่บัญชี]],COA[],2,FALSE)</f>
        <v>เงินสด</v>
      </c>
      <c r="G336" s="53">
        <v>100</v>
      </c>
      <c r="I336" s="52" t="str">
        <f>VLOOKUP(Database[[#This Row],[เลขที่บัญชี]],COA[],3,FALSE)</f>
        <v>1</v>
      </c>
      <c r="J336" s="52" t="s">
        <v>129</v>
      </c>
      <c r="K336" s="52" t="str">
        <f>VLOOKUP(Database[[#This Row],[รหัสหน่วยงาน]],Center[],2,FALSE)</f>
        <v>สำนักงานใหญ่</v>
      </c>
      <c r="L336" s="52">
        <v>1</v>
      </c>
    </row>
    <row r="337" spans="1:12">
      <c r="A337" s="49">
        <v>25</v>
      </c>
      <c r="B337" s="109" t="s">
        <v>176</v>
      </c>
      <c r="C337" s="51" t="s">
        <v>48</v>
      </c>
      <c r="D337" s="55" t="s">
        <v>161</v>
      </c>
      <c r="E337" s="52">
        <v>401007</v>
      </c>
      <c r="F337" s="49" t="str">
        <f>VLOOKUP(Database[[#This Row],[เลขที่บัญชี]],COA[],2,FALSE)</f>
        <v>รายได้ค่าบริการสนามกอล์ฟ รหัส 07 (ค่าบริการสนาม-เพิ่มรอบที่ 3)</v>
      </c>
      <c r="H337" s="53">
        <v>100</v>
      </c>
      <c r="I337" s="52" t="str">
        <f>VLOOKUP(Database[[#This Row],[เลขที่บัญชี]],COA[],3,FALSE)</f>
        <v>4</v>
      </c>
      <c r="J337" s="52" t="s">
        <v>129</v>
      </c>
      <c r="K337" s="52" t="str">
        <f>VLOOKUP(Database[[#This Row],[รหัสหน่วยงาน]],Center[],2,FALSE)</f>
        <v>สำนักงานใหญ่</v>
      </c>
      <c r="L337" s="52">
        <v>1</v>
      </c>
    </row>
    <row r="338" spans="1:12">
      <c r="A338" s="49">
        <v>25</v>
      </c>
      <c r="B338" s="109" t="s">
        <v>176</v>
      </c>
      <c r="C338" s="51" t="s">
        <v>48</v>
      </c>
      <c r="D338" s="55" t="s">
        <v>161</v>
      </c>
      <c r="E338" s="52">
        <v>101001</v>
      </c>
      <c r="F338" s="49" t="str">
        <f>VLOOKUP(Database[[#This Row],[เลขที่บัญชี]],COA[],2,FALSE)</f>
        <v>เงินสด</v>
      </c>
      <c r="G338" s="53">
        <v>100</v>
      </c>
      <c r="I338" s="52" t="str">
        <f>VLOOKUP(Database[[#This Row],[เลขที่บัญชี]],COA[],3,FALSE)</f>
        <v>1</v>
      </c>
      <c r="J338" s="52" t="s">
        <v>129</v>
      </c>
      <c r="K338" s="52" t="str">
        <f>VLOOKUP(Database[[#This Row],[รหัสหน่วยงาน]],Center[],2,FALSE)</f>
        <v>สำนักงานใหญ่</v>
      </c>
      <c r="L338" s="52">
        <v>1</v>
      </c>
    </row>
    <row r="339" spans="1:12">
      <c r="A339" s="49">
        <v>25</v>
      </c>
      <c r="B339" s="109" t="s">
        <v>176</v>
      </c>
      <c r="C339" s="51" t="s">
        <v>48</v>
      </c>
      <c r="D339" s="55" t="s">
        <v>161</v>
      </c>
      <c r="E339" s="52">
        <v>401018</v>
      </c>
      <c r="F339" s="49" t="str">
        <f>VLOOKUP(Database[[#This Row],[เลขที่บัญชี]],COA[],2,FALSE)</f>
        <v>ค่าบริการสนามผู้ติดตาม</v>
      </c>
      <c r="H339" s="53">
        <v>100</v>
      </c>
      <c r="I339" s="52" t="str">
        <f>VLOOKUP(Database[[#This Row],[เลขที่บัญชี]],COA[],3,FALSE)</f>
        <v>4</v>
      </c>
      <c r="J339" s="52" t="s">
        <v>129</v>
      </c>
      <c r="K339" s="52" t="str">
        <f>VLOOKUP(Database[[#This Row],[รหัสหน่วยงาน]],Center[],2,FALSE)</f>
        <v>สำนักงานใหญ่</v>
      </c>
      <c r="L339" s="52">
        <v>1</v>
      </c>
    </row>
    <row r="340" spans="1:12">
      <c r="A340" s="49">
        <v>25</v>
      </c>
      <c r="B340" s="109" t="s">
        <v>176</v>
      </c>
      <c r="C340" s="51" t="s">
        <v>48</v>
      </c>
      <c r="D340" s="55" t="s">
        <v>161</v>
      </c>
      <c r="E340" s="52">
        <v>101001</v>
      </c>
      <c r="F340" s="49" t="str">
        <f>VLOOKUP(Database[[#This Row],[เลขที่บัญชี]],COA[],2,FALSE)</f>
        <v>เงินสด</v>
      </c>
      <c r="G340" s="53">
        <v>400</v>
      </c>
      <c r="I340" s="52" t="str">
        <f>VLOOKUP(Database[[#This Row],[เลขที่บัญชี]],COA[],3,FALSE)</f>
        <v>1</v>
      </c>
      <c r="J340" s="52" t="s">
        <v>129</v>
      </c>
      <c r="K340" s="52" t="str">
        <f>VLOOKUP(Database[[#This Row],[รหัสหน่วยงาน]],Center[],2,FALSE)</f>
        <v>สำนักงานใหญ่</v>
      </c>
      <c r="L340" s="52">
        <v>1</v>
      </c>
    </row>
    <row r="341" spans="1:12">
      <c r="A341" s="49">
        <v>25</v>
      </c>
      <c r="B341" s="109" t="s">
        <v>176</v>
      </c>
      <c r="C341" s="51" t="s">
        <v>48</v>
      </c>
      <c r="D341" s="55" t="s">
        <v>161</v>
      </c>
      <c r="E341" s="52">
        <v>401012</v>
      </c>
      <c r="F341" s="49" t="str">
        <f>VLOOKUP(Database[[#This Row],[เลขที่บัญชี]],COA[],2,FALSE)</f>
        <v>รายได้ค่าแคดดี้</v>
      </c>
      <c r="H341" s="53">
        <v>400</v>
      </c>
      <c r="I341" s="52" t="str">
        <f>VLOOKUP(Database[[#This Row],[เลขที่บัญชี]],COA[],3,FALSE)</f>
        <v>4</v>
      </c>
      <c r="J341" s="52" t="s">
        <v>129</v>
      </c>
      <c r="K341" s="52" t="str">
        <f>VLOOKUP(Database[[#This Row],[รหัสหน่วยงาน]],Center[],2,FALSE)</f>
        <v>สำนักงานใหญ่</v>
      </c>
      <c r="L341" s="52">
        <v>1</v>
      </c>
    </row>
    <row r="342" spans="1:12">
      <c r="A342" s="49">
        <v>25</v>
      </c>
      <c r="B342" s="109" t="s">
        <v>176</v>
      </c>
      <c r="C342" s="51" t="s">
        <v>48</v>
      </c>
      <c r="D342" s="55" t="s">
        <v>161</v>
      </c>
      <c r="E342" s="52">
        <v>101002</v>
      </c>
      <c r="F342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42" s="53">
        <v>3580</v>
      </c>
      <c r="I342" s="52" t="str">
        <f>VLOOKUP(Database[[#This Row],[เลขที่บัญชี]],COA[],3,FALSE)</f>
        <v>1</v>
      </c>
      <c r="J342" s="52" t="s">
        <v>129</v>
      </c>
      <c r="K342" s="52" t="str">
        <f>VLOOKUP(Database[[#This Row],[รหัสหน่วยงาน]],Center[],2,FALSE)</f>
        <v>สำนักงานใหญ่</v>
      </c>
      <c r="L342" s="52">
        <v>1</v>
      </c>
    </row>
    <row r="343" spans="1:12">
      <c r="A343" s="49">
        <v>25</v>
      </c>
      <c r="B343" s="109" t="s">
        <v>176</v>
      </c>
      <c r="C343" s="51" t="s">
        <v>48</v>
      </c>
      <c r="D343" s="55" t="s">
        <v>161</v>
      </c>
      <c r="E343" s="52">
        <v>101001</v>
      </c>
      <c r="F343" s="49" t="str">
        <f>VLOOKUP(Database[[#This Row],[เลขที่บัญชี]],COA[],2,FALSE)</f>
        <v>เงินสด</v>
      </c>
      <c r="H343" s="53">
        <v>3580</v>
      </c>
      <c r="I343" s="52" t="str">
        <f>VLOOKUP(Database[[#This Row],[เลขที่บัญชี]],COA[],3,FALSE)</f>
        <v>1</v>
      </c>
      <c r="J343" s="52" t="s">
        <v>129</v>
      </c>
      <c r="K343" s="52" t="str">
        <f>VLOOKUP(Database[[#This Row],[รหัสหน่วยงาน]],Center[],2,FALSE)</f>
        <v>สำนักงานใหญ่</v>
      </c>
      <c r="L343" s="52">
        <v>1</v>
      </c>
    </row>
    <row r="344" spans="1:12">
      <c r="A344" s="49">
        <v>26</v>
      </c>
      <c r="B344" s="109" t="s">
        <v>177</v>
      </c>
      <c r="C344" s="51" t="s">
        <v>48</v>
      </c>
      <c r="D344" s="55" t="s">
        <v>161</v>
      </c>
      <c r="E344" s="52">
        <v>101001</v>
      </c>
      <c r="F344" s="49" t="str">
        <f>VLOOKUP(Database[[#This Row],[เลขที่บัญชี]],COA[],2,FALSE)</f>
        <v>เงินสด</v>
      </c>
      <c r="G344" s="53">
        <v>500</v>
      </c>
      <c r="I344" s="52" t="str">
        <f>VLOOKUP(Database[[#This Row],[เลขที่บัญชี]],COA[],3,FALSE)</f>
        <v>1</v>
      </c>
      <c r="J344" s="52" t="s">
        <v>129</v>
      </c>
      <c r="K344" s="52" t="str">
        <f>VLOOKUP(Database[[#This Row],[รหัสหน่วยงาน]],Center[],2,FALSE)</f>
        <v>สำนักงานใหญ่</v>
      </c>
      <c r="L344" s="52">
        <v>1</v>
      </c>
    </row>
    <row r="345" spans="1:12">
      <c r="A345" s="49">
        <v>26</v>
      </c>
      <c r="B345" s="109" t="s">
        <v>177</v>
      </c>
      <c r="C345" s="51" t="s">
        <v>48</v>
      </c>
      <c r="D345" s="55" t="s">
        <v>161</v>
      </c>
      <c r="E345" s="52">
        <v>401003</v>
      </c>
      <c r="F345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345" s="53">
        <v>500</v>
      </c>
      <c r="I345" s="52" t="str">
        <f>VLOOKUP(Database[[#This Row],[เลขที่บัญชี]],COA[],3,FALSE)</f>
        <v>4</v>
      </c>
      <c r="J345" s="52" t="s">
        <v>129</v>
      </c>
      <c r="K345" s="52" t="str">
        <f>VLOOKUP(Database[[#This Row],[รหัสหน่วยงาน]],Center[],2,FALSE)</f>
        <v>สำนักงานใหญ่</v>
      </c>
      <c r="L345" s="52">
        <v>1</v>
      </c>
    </row>
    <row r="346" spans="1:12">
      <c r="A346" s="49">
        <v>26</v>
      </c>
      <c r="B346" s="109" t="s">
        <v>177</v>
      </c>
      <c r="C346" s="51" t="s">
        <v>48</v>
      </c>
      <c r="D346" s="55" t="s">
        <v>161</v>
      </c>
      <c r="E346" s="52">
        <v>101001</v>
      </c>
      <c r="F346" s="49" t="str">
        <f>VLOOKUP(Database[[#This Row],[เลขที่บัญชี]],COA[],2,FALSE)</f>
        <v>เงินสด</v>
      </c>
      <c r="G346" s="53">
        <v>10</v>
      </c>
      <c r="I346" s="52" t="str">
        <f>VLOOKUP(Database[[#This Row],[เลขที่บัญชี]],COA[],3,FALSE)</f>
        <v>1</v>
      </c>
      <c r="J346" s="52" t="s">
        <v>129</v>
      </c>
      <c r="K346" s="52" t="str">
        <f>VLOOKUP(Database[[#This Row],[รหัสหน่วยงาน]],Center[],2,FALSE)</f>
        <v>สำนักงานใหญ่</v>
      </c>
      <c r="L346" s="52">
        <v>1</v>
      </c>
    </row>
    <row r="347" spans="1:12">
      <c r="A347" s="49">
        <v>26</v>
      </c>
      <c r="B347" s="109" t="s">
        <v>177</v>
      </c>
      <c r="C347" s="51" t="s">
        <v>48</v>
      </c>
      <c r="D347" s="55" t="s">
        <v>161</v>
      </c>
      <c r="E347" s="52">
        <v>401012</v>
      </c>
      <c r="F347" s="49" t="str">
        <f>VLOOKUP(Database[[#This Row],[เลขที่บัญชี]],COA[],2,FALSE)</f>
        <v>รายได้ค่าแคดดี้</v>
      </c>
      <c r="H347" s="53">
        <v>10</v>
      </c>
      <c r="I347" s="52" t="str">
        <f>VLOOKUP(Database[[#This Row],[เลขที่บัญชี]],COA[],3,FALSE)</f>
        <v>4</v>
      </c>
      <c r="J347" s="52" t="s">
        <v>129</v>
      </c>
      <c r="K347" s="52" t="str">
        <f>VLOOKUP(Database[[#This Row],[รหัสหน่วยงาน]],Center[],2,FALSE)</f>
        <v>สำนักงานใหญ่</v>
      </c>
      <c r="L347" s="52">
        <v>1</v>
      </c>
    </row>
    <row r="348" spans="1:12">
      <c r="A348" s="49">
        <v>26</v>
      </c>
      <c r="B348" s="109" t="s">
        <v>177</v>
      </c>
      <c r="C348" s="51" t="s">
        <v>48</v>
      </c>
      <c r="D348" s="55" t="s">
        <v>161</v>
      </c>
      <c r="E348" s="52">
        <v>101002</v>
      </c>
      <c r="F348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48" s="53">
        <v>510</v>
      </c>
      <c r="I348" s="52" t="str">
        <f>VLOOKUP(Database[[#This Row],[เลขที่บัญชี]],COA[],3,FALSE)</f>
        <v>1</v>
      </c>
      <c r="J348" s="52" t="s">
        <v>129</v>
      </c>
      <c r="K348" s="52" t="str">
        <f>VLOOKUP(Database[[#This Row],[รหัสหน่วยงาน]],Center[],2,FALSE)</f>
        <v>สำนักงานใหญ่</v>
      </c>
      <c r="L348" s="52">
        <v>1</v>
      </c>
    </row>
    <row r="349" spans="1:12">
      <c r="A349" s="49">
        <v>26</v>
      </c>
      <c r="B349" s="109" t="s">
        <v>177</v>
      </c>
      <c r="C349" s="51" t="s">
        <v>48</v>
      </c>
      <c r="D349" s="55" t="s">
        <v>161</v>
      </c>
      <c r="E349" s="52">
        <v>101001</v>
      </c>
      <c r="F349" s="49" t="str">
        <f>VLOOKUP(Database[[#This Row],[เลขที่บัญชี]],COA[],2,FALSE)</f>
        <v>เงินสด</v>
      </c>
      <c r="H349" s="53">
        <v>510</v>
      </c>
      <c r="I349" s="52" t="str">
        <f>VLOOKUP(Database[[#This Row],[เลขที่บัญชี]],COA[],3,FALSE)</f>
        <v>1</v>
      </c>
      <c r="J349" s="52" t="s">
        <v>129</v>
      </c>
      <c r="K349" s="52" t="str">
        <f>VLOOKUP(Database[[#This Row],[รหัสหน่วยงาน]],Center[],2,FALSE)</f>
        <v>สำนักงานใหญ่</v>
      </c>
      <c r="L349" s="52">
        <v>1</v>
      </c>
    </row>
    <row r="350" spans="1:12">
      <c r="A350" s="49">
        <v>26</v>
      </c>
      <c r="B350" s="109" t="s">
        <v>177</v>
      </c>
      <c r="C350" s="51" t="s">
        <v>48</v>
      </c>
      <c r="D350" s="55" t="s">
        <v>161</v>
      </c>
      <c r="E350" s="52">
        <v>101001</v>
      </c>
      <c r="F350" s="49" t="str">
        <f>VLOOKUP(Database[[#This Row],[เลขที่บัญชี]],COA[],2,FALSE)</f>
        <v>เงินสด</v>
      </c>
      <c r="G350" s="53">
        <v>1200</v>
      </c>
      <c r="I350" s="52" t="str">
        <f>VLOOKUP(Database[[#This Row],[เลขที่บัญชี]],COA[],3,FALSE)</f>
        <v>1</v>
      </c>
      <c r="J350" s="52" t="s">
        <v>129</v>
      </c>
      <c r="K350" s="52" t="str">
        <f>VLOOKUP(Database[[#This Row],[รหัสหน่วยงาน]],Center[],2,FALSE)</f>
        <v>สำนักงานใหญ่</v>
      </c>
      <c r="L350" s="52">
        <v>1</v>
      </c>
    </row>
    <row r="351" spans="1:12">
      <c r="A351" s="49">
        <v>26</v>
      </c>
      <c r="B351" s="109" t="s">
        <v>177</v>
      </c>
      <c r="C351" s="51" t="s">
        <v>48</v>
      </c>
      <c r="D351" s="55" t="s">
        <v>161</v>
      </c>
      <c r="E351" s="52">
        <v>401003</v>
      </c>
      <c r="F351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351" s="53">
        <v>1200</v>
      </c>
      <c r="I351" s="52" t="str">
        <f>VLOOKUP(Database[[#This Row],[เลขที่บัญชี]],COA[],3,FALSE)</f>
        <v>4</v>
      </c>
      <c r="J351" s="52" t="s">
        <v>129</v>
      </c>
      <c r="K351" s="52" t="str">
        <f>VLOOKUP(Database[[#This Row],[รหัสหน่วยงาน]],Center[],2,FALSE)</f>
        <v>สำนักงานใหญ่</v>
      </c>
      <c r="L351" s="52">
        <v>1</v>
      </c>
    </row>
    <row r="352" spans="1:12">
      <c r="A352" s="49">
        <v>26</v>
      </c>
      <c r="B352" s="109" t="s">
        <v>177</v>
      </c>
      <c r="C352" s="51" t="s">
        <v>48</v>
      </c>
      <c r="D352" s="55" t="s">
        <v>161</v>
      </c>
      <c r="E352" s="52">
        <v>101001</v>
      </c>
      <c r="F352" s="49" t="str">
        <f>VLOOKUP(Database[[#This Row],[เลขที่บัญชี]],COA[],2,FALSE)</f>
        <v>เงินสด</v>
      </c>
      <c r="G352" s="53">
        <v>180</v>
      </c>
      <c r="I352" s="52" t="str">
        <f>VLOOKUP(Database[[#This Row],[เลขที่บัญชี]],COA[],3,FALSE)</f>
        <v>1</v>
      </c>
      <c r="J352" s="52" t="s">
        <v>129</v>
      </c>
      <c r="K352" s="52" t="str">
        <f>VLOOKUP(Database[[#This Row],[รหัสหน่วยงาน]],Center[],2,FALSE)</f>
        <v>สำนักงานใหญ่</v>
      </c>
      <c r="L352" s="52">
        <v>1</v>
      </c>
    </row>
    <row r="353" spans="1:12">
      <c r="A353" s="49">
        <v>26</v>
      </c>
      <c r="B353" s="109" t="s">
        <v>177</v>
      </c>
      <c r="C353" s="51" t="s">
        <v>48</v>
      </c>
      <c r="D353" s="55" t="s">
        <v>161</v>
      </c>
      <c r="E353" s="52">
        <v>401004</v>
      </c>
      <c r="F353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353" s="53">
        <v>180</v>
      </c>
      <c r="I353" s="52" t="str">
        <f>VLOOKUP(Database[[#This Row],[เลขที่บัญชี]],COA[],3,FALSE)</f>
        <v>4</v>
      </c>
      <c r="J353" s="52" t="s">
        <v>129</v>
      </c>
      <c r="K353" s="52" t="str">
        <f>VLOOKUP(Database[[#This Row],[รหัสหน่วยงาน]],Center[],2,FALSE)</f>
        <v>สำนักงานใหญ่</v>
      </c>
      <c r="L353" s="52">
        <v>1</v>
      </c>
    </row>
    <row r="354" spans="1:12">
      <c r="A354" s="49">
        <v>26</v>
      </c>
      <c r="B354" s="109" t="s">
        <v>177</v>
      </c>
      <c r="C354" s="51" t="s">
        <v>48</v>
      </c>
      <c r="D354" s="55" t="s">
        <v>161</v>
      </c>
      <c r="E354" s="52">
        <v>101001</v>
      </c>
      <c r="F354" s="49" t="str">
        <f>VLOOKUP(Database[[#This Row],[เลขที่บัญชี]],COA[],2,FALSE)</f>
        <v>เงินสด</v>
      </c>
      <c r="G354" s="53">
        <v>170</v>
      </c>
      <c r="I354" s="52" t="str">
        <f>VLOOKUP(Database[[#This Row],[เลขที่บัญชี]],COA[],3,FALSE)</f>
        <v>1</v>
      </c>
      <c r="J354" s="52" t="s">
        <v>129</v>
      </c>
      <c r="K354" s="52" t="str">
        <f>VLOOKUP(Database[[#This Row],[รหัสหน่วยงาน]],Center[],2,FALSE)</f>
        <v>สำนักงานใหญ่</v>
      </c>
      <c r="L354" s="52">
        <v>1</v>
      </c>
    </row>
    <row r="355" spans="1:12">
      <c r="A355" s="49">
        <v>26</v>
      </c>
      <c r="B355" s="109" t="s">
        <v>177</v>
      </c>
      <c r="C355" s="51" t="s">
        <v>48</v>
      </c>
      <c r="D355" s="55" t="s">
        <v>161</v>
      </c>
      <c r="E355" s="52">
        <v>401012</v>
      </c>
      <c r="F355" s="49" t="str">
        <f>VLOOKUP(Database[[#This Row],[เลขที่บัญชี]],COA[],2,FALSE)</f>
        <v>รายได้ค่าแคดดี้</v>
      </c>
      <c r="H355" s="53">
        <v>170</v>
      </c>
      <c r="I355" s="52" t="str">
        <f>VLOOKUP(Database[[#This Row],[เลขที่บัญชี]],COA[],3,FALSE)</f>
        <v>4</v>
      </c>
      <c r="J355" s="52" t="s">
        <v>129</v>
      </c>
      <c r="K355" s="52" t="str">
        <f>VLOOKUP(Database[[#This Row],[รหัสหน่วยงาน]],Center[],2,FALSE)</f>
        <v>สำนักงานใหญ่</v>
      </c>
      <c r="L355" s="52">
        <v>1</v>
      </c>
    </row>
    <row r="356" spans="1:12">
      <c r="A356" s="49">
        <v>26</v>
      </c>
      <c r="B356" s="109" t="s">
        <v>177</v>
      </c>
      <c r="C356" s="51" t="s">
        <v>48</v>
      </c>
      <c r="D356" s="55" t="s">
        <v>161</v>
      </c>
      <c r="E356" s="52">
        <v>101002</v>
      </c>
      <c r="F356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56" s="53">
        <v>1550</v>
      </c>
      <c r="I356" s="52" t="str">
        <f>VLOOKUP(Database[[#This Row],[เลขที่บัญชี]],COA[],3,FALSE)</f>
        <v>1</v>
      </c>
      <c r="J356" s="52" t="s">
        <v>129</v>
      </c>
      <c r="K356" s="52" t="str">
        <f>VLOOKUP(Database[[#This Row],[รหัสหน่วยงาน]],Center[],2,FALSE)</f>
        <v>สำนักงานใหญ่</v>
      </c>
      <c r="L356" s="52">
        <v>1</v>
      </c>
    </row>
    <row r="357" spans="1:12">
      <c r="A357" s="49">
        <v>26</v>
      </c>
      <c r="B357" s="109" t="s">
        <v>177</v>
      </c>
      <c r="C357" s="51" t="s">
        <v>48</v>
      </c>
      <c r="D357" s="55" t="s">
        <v>161</v>
      </c>
      <c r="E357" s="52">
        <v>101001</v>
      </c>
      <c r="F357" s="49" t="str">
        <f>VLOOKUP(Database[[#This Row],[เลขที่บัญชี]],COA[],2,FALSE)</f>
        <v>เงินสด</v>
      </c>
      <c r="H357" s="53">
        <v>1550</v>
      </c>
      <c r="I357" s="52" t="str">
        <f>VLOOKUP(Database[[#This Row],[เลขที่บัญชี]],COA[],3,FALSE)</f>
        <v>1</v>
      </c>
      <c r="J357" s="52" t="s">
        <v>129</v>
      </c>
      <c r="K357" s="52" t="str">
        <f>VLOOKUP(Database[[#This Row],[รหัสหน่วยงาน]],Center[],2,FALSE)</f>
        <v>สำนักงานใหญ่</v>
      </c>
      <c r="L357" s="52">
        <v>1</v>
      </c>
    </row>
    <row r="358" spans="1:12">
      <c r="A358" s="49">
        <v>26</v>
      </c>
      <c r="B358" s="109" t="s">
        <v>177</v>
      </c>
      <c r="C358" s="51" t="s">
        <v>48</v>
      </c>
      <c r="D358" s="55" t="s">
        <v>161</v>
      </c>
      <c r="E358" s="52">
        <v>101001</v>
      </c>
      <c r="F358" s="49" t="str">
        <f>VLOOKUP(Database[[#This Row],[เลขที่บัญชี]],COA[],2,FALSE)</f>
        <v>เงินสด</v>
      </c>
      <c r="G358" s="53">
        <v>600</v>
      </c>
      <c r="I358" s="52" t="str">
        <f>VLOOKUP(Database[[#This Row],[เลขที่บัญชี]],COA[],3,FALSE)</f>
        <v>1</v>
      </c>
      <c r="J358" s="52" t="s">
        <v>129</v>
      </c>
      <c r="K358" s="52" t="str">
        <f>VLOOKUP(Database[[#This Row],[รหัสหน่วยงาน]],Center[],2,FALSE)</f>
        <v>สำนักงานใหญ่</v>
      </c>
      <c r="L358" s="52">
        <v>1</v>
      </c>
    </row>
    <row r="359" spans="1:12">
      <c r="A359" s="49">
        <v>26</v>
      </c>
      <c r="B359" s="109" t="s">
        <v>177</v>
      </c>
      <c r="C359" s="51" t="s">
        <v>48</v>
      </c>
      <c r="D359" s="55" t="s">
        <v>161</v>
      </c>
      <c r="E359" s="52">
        <v>201002</v>
      </c>
      <c r="F359" s="49" t="str">
        <f>VLOOKUP(Database[[#This Row],[เลขที่บัญชี]],COA[],2,FALSE)</f>
        <v>เงินรับฝาก-สนามไดร์ฟ</v>
      </c>
      <c r="H359" s="53">
        <v>600</v>
      </c>
      <c r="I359" s="52" t="str">
        <f>VLOOKUP(Database[[#This Row],[เลขที่บัญชี]],COA[],3,FALSE)</f>
        <v>2</v>
      </c>
      <c r="J359" s="52" t="s">
        <v>129</v>
      </c>
      <c r="K359" s="52" t="str">
        <f>VLOOKUP(Database[[#This Row],[รหัสหน่วยงาน]],Center[],2,FALSE)</f>
        <v>สำนักงานใหญ่</v>
      </c>
      <c r="L359" s="52">
        <v>1</v>
      </c>
    </row>
    <row r="360" spans="1:12">
      <c r="A360" s="49">
        <v>26</v>
      </c>
      <c r="B360" s="109" t="s">
        <v>177</v>
      </c>
      <c r="C360" s="51" t="s">
        <v>48</v>
      </c>
      <c r="D360" s="55" t="s">
        <v>161</v>
      </c>
      <c r="E360" s="52">
        <v>101002</v>
      </c>
      <c r="F360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60" s="53">
        <v>600</v>
      </c>
      <c r="I360" s="52" t="str">
        <f>VLOOKUP(Database[[#This Row],[เลขที่บัญชี]],COA[],3,FALSE)</f>
        <v>1</v>
      </c>
      <c r="J360" s="52" t="s">
        <v>129</v>
      </c>
      <c r="K360" s="52" t="str">
        <f>VLOOKUP(Database[[#This Row],[รหัสหน่วยงาน]],Center[],2,FALSE)</f>
        <v>สำนักงานใหญ่</v>
      </c>
      <c r="L360" s="52">
        <v>1</v>
      </c>
    </row>
    <row r="361" spans="1:12">
      <c r="A361" s="49">
        <v>26</v>
      </c>
      <c r="B361" s="109" t="s">
        <v>177</v>
      </c>
      <c r="C361" s="51" t="s">
        <v>48</v>
      </c>
      <c r="D361" s="55" t="s">
        <v>161</v>
      </c>
      <c r="E361" s="52">
        <v>101001</v>
      </c>
      <c r="F361" s="49" t="str">
        <f>VLOOKUP(Database[[#This Row],[เลขที่บัญชี]],COA[],2,FALSE)</f>
        <v>เงินสด</v>
      </c>
      <c r="H361" s="53">
        <v>600</v>
      </c>
      <c r="I361" s="52" t="str">
        <f>VLOOKUP(Database[[#This Row],[เลขที่บัญชี]],COA[],3,FALSE)</f>
        <v>1</v>
      </c>
      <c r="J361" s="52" t="s">
        <v>129</v>
      </c>
      <c r="K361" s="52" t="str">
        <f>VLOOKUP(Database[[#This Row],[รหัสหน่วยงาน]],Center[],2,FALSE)</f>
        <v>สำนักงานใหญ่</v>
      </c>
      <c r="L361" s="52">
        <v>1</v>
      </c>
    </row>
    <row r="362" spans="1:12">
      <c r="A362" s="49">
        <v>27</v>
      </c>
      <c r="B362" s="109" t="s">
        <v>178</v>
      </c>
      <c r="C362" s="51" t="s">
        <v>48</v>
      </c>
      <c r="D362" s="55" t="s">
        <v>161</v>
      </c>
      <c r="E362" s="52">
        <v>101001</v>
      </c>
      <c r="F362" s="49" t="str">
        <f>VLOOKUP(Database[[#This Row],[เลขที่บัญชี]],COA[],2,FALSE)</f>
        <v>เงินสด</v>
      </c>
      <c r="G362" s="53">
        <v>1100</v>
      </c>
      <c r="I362" s="52" t="str">
        <f>VLOOKUP(Database[[#This Row],[เลขที่บัญชี]],COA[],3,FALSE)</f>
        <v>1</v>
      </c>
      <c r="J362" s="52" t="s">
        <v>129</v>
      </c>
      <c r="K362" s="52" t="str">
        <f>VLOOKUP(Database[[#This Row],[รหัสหน่วยงาน]],Center[],2,FALSE)</f>
        <v>สำนักงานใหญ่</v>
      </c>
      <c r="L362" s="52">
        <v>1</v>
      </c>
    </row>
    <row r="363" spans="1:12">
      <c r="A363" s="49">
        <v>27</v>
      </c>
      <c r="B363" s="109" t="s">
        <v>178</v>
      </c>
      <c r="C363" s="51" t="s">
        <v>48</v>
      </c>
      <c r="D363" s="55" t="s">
        <v>161</v>
      </c>
      <c r="E363" s="52">
        <v>401003</v>
      </c>
      <c r="F363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363" s="53">
        <v>1100</v>
      </c>
      <c r="I363" s="52" t="str">
        <f>VLOOKUP(Database[[#This Row],[เลขที่บัญชี]],COA[],3,FALSE)</f>
        <v>4</v>
      </c>
      <c r="J363" s="52" t="s">
        <v>129</v>
      </c>
      <c r="K363" s="52" t="str">
        <f>VLOOKUP(Database[[#This Row],[รหัสหน่วยงาน]],Center[],2,FALSE)</f>
        <v>สำนักงานใหญ่</v>
      </c>
      <c r="L363" s="52">
        <v>1</v>
      </c>
    </row>
    <row r="364" spans="1:12">
      <c r="A364" s="49">
        <v>27</v>
      </c>
      <c r="B364" s="109" t="s">
        <v>178</v>
      </c>
      <c r="C364" s="51" t="s">
        <v>48</v>
      </c>
      <c r="D364" s="55" t="s">
        <v>161</v>
      </c>
      <c r="E364" s="52">
        <v>101001</v>
      </c>
      <c r="F364" s="49" t="str">
        <f>VLOOKUP(Database[[#This Row],[เลขที่บัญชี]],COA[],2,FALSE)</f>
        <v>เงินสด</v>
      </c>
      <c r="G364" s="53">
        <v>90</v>
      </c>
      <c r="I364" s="52" t="str">
        <f>VLOOKUP(Database[[#This Row],[เลขที่บัญชี]],COA[],3,FALSE)</f>
        <v>1</v>
      </c>
      <c r="J364" s="52" t="s">
        <v>129</v>
      </c>
      <c r="K364" s="52" t="str">
        <f>VLOOKUP(Database[[#This Row],[รหัสหน่วยงาน]],Center[],2,FALSE)</f>
        <v>สำนักงานใหญ่</v>
      </c>
      <c r="L364" s="52">
        <v>1</v>
      </c>
    </row>
    <row r="365" spans="1:12">
      <c r="A365" s="49">
        <v>27</v>
      </c>
      <c r="B365" s="109" t="s">
        <v>178</v>
      </c>
      <c r="C365" s="51" t="s">
        <v>48</v>
      </c>
      <c r="D365" s="55" t="s">
        <v>161</v>
      </c>
      <c r="E365" s="52">
        <v>401012</v>
      </c>
      <c r="F365" s="49" t="str">
        <f>VLOOKUP(Database[[#This Row],[เลขที่บัญชี]],COA[],2,FALSE)</f>
        <v>รายได้ค่าแคดดี้</v>
      </c>
      <c r="H365" s="53">
        <v>90</v>
      </c>
      <c r="I365" s="52" t="str">
        <f>VLOOKUP(Database[[#This Row],[เลขที่บัญชี]],COA[],3,FALSE)</f>
        <v>4</v>
      </c>
      <c r="J365" s="52" t="s">
        <v>129</v>
      </c>
      <c r="K365" s="52" t="str">
        <f>VLOOKUP(Database[[#This Row],[รหัสหน่วยงาน]],Center[],2,FALSE)</f>
        <v>สำนักงานใหญ่</v>
      </c>
      <c r="L365" s="52">
        <v>1</v>
      </c>
    </row>
    <row r="366" spans="1:12">
      <c r="A366" s="49">
        <v>27</v>
      </c>
      <c r="B366" s="109" t="s">
        <v>178</v>
      </c>
      <c r="C366" s="51" t="s">
        <v>48</v>
      </c>
      <c r="D366" s="55" t="s">
        <v>161</v>
      </c>
      <c r="E366" s="52">
        <v>101002</v>
      </c>
      <c r="F366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66" s="53">
        <v>1190</v>
      </c>
      <c r="I366" s="52" t="str">
        <f>VLOOKUP(Database[[#This Row],[เลขที่บัญชี]],COA[],3,FALSE)</f>
        <v>1</v>
      </c>
      <c r="J366" s="52" t="s">
        <v>129</v>
      </c>
      <c r="K366" s="52" t="str">
        <f>VLOOKUP(Database[[#This Row],[รหัสหน่วยงาน]],Center[],2,FALSE)</f>
        <v>สำนักงานใหญ่</v>
      </c>
      <c r="L366" s="52">
        <v>1</v>
      </c>
    </row>
    <row r="367" spans="1:12">
      <c r="A367" s="49">
        <v>27</v>
      </c>
      <c r="B367" s="109" t="s">
        <v>178</v>
      </c>
      <c r="C367" s="51" t="s">
        <v>48</v>
      </c>
      <c r="D367" s="55" t="s">
        <v>161</v>
      </c>
      <c r="E367" s="52">
        <v>101001</v>
      </c>
      <c r="F367" s="49" t="str">
        <f>VLOOKUP(Database[[#This Row],[เลขที่บัญชี]],COA[],2,FALSE)</f>
        <v>เงินสด</v>
      </c>
      <c r="H367" s="53">
        <v>1190</v>
      </c>
      <c r="I367" s="52" t="str">
        <f>VLOOKUP(Database[[#This Row],[เลขที่บัญชี]],COA[],3,FALSE)</f>
        <v>1</v>
      </c>
      <c r="J367" s="52" t="s">
        <v>129</v>
      </c>
      <c r="K367" s="52" t="str">
        <f>VLOOKUP(Database[[#This Row],[รหัสหน่วยงาน]],Center[],2,FALSE)</f>
        <v>สำนักงานใหญ่</v>
      </c>
      <c r="L367" s="52">
        <v>1</v>
      </c>
    </row>
    <row r="368" spans="1:12">
      <c r="A368" s="49">
        <v>27</v>
      </c>
      <c r="B368" s="109" t="s">
        <v>178</v>
      </c>
      <c r="C368" s="51" t="s">
        <v>48</v>
      </c>
      <c r="D368" s="55" t="s">
        <v>161</v>
      </c>
      <c r="E368" s="52">
        <v>101001</v>
      </c>
      <c r="F368" s="49" t="str">
        <f>VLOOKUP(Database[[#This Row],[เลขที่บัญชี]],COA[],2,FALSE)</f>
        <v>เงินสด</v>
      </c>
      <c r="G368" s="53">
        <v>1300</v>
      </c>
      <c r="I368" s="52" t="str">
        <f>VLOOKUP(Database[[#This Row],[เลขที่บัญชี]],COA[],3,FALSE)</f>
        <v>1</v>
      </c>
      <c r="J368" s="52" t="s">
        <v>129</v>
      </c>
      <c r="K368" s="52" t="str">
        <f>VLOOKUP(Database[[#This Row],[รหัสหน่วยงาน]],Center[],2,FALSE)</f>
        <v>สำนักงานใหญ่</v>
      </c>
      <c r="L368" s="52">
        <v>1</v>
      </c>
    </row>
    <row r="369" spans="1:12">
      <c r="A369" s="49">
        <v>27</v>
      </c>
      <c r="B369" s="109" t="s">
        <v>178</v>
      </c>
      <c r="C369" s="51" t="s">
        <v>48</v>
      </c>
      <c r="D369" s="55" t="s">
        <v>161</v>
      </c>
      <c r="E369" s="52">
        <v>401003</v>
      </c>
      <c r="F369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369" s="53">
        <v>1300</v>
      </c>
      <c r="I369" s="52" t="str">
        <f>VLOOKUP(Database[[#This Row],[เลขที่บัญชี]],COA[],3,FALSE)</f>
        <v>4</v>
      </c>
      <c r="J369" s="52" t="s">
        <v>129</v>
      </c>
      <c r="K369" s="52" t="str">
        <f>VLOOKUP(Database[[#This Row],[รหัสหน่วยงาน]],Center[],2,FALSE)</f>
        <v>สำนักงานใหญ่</v>
      </c>
      <c r="L369" s="52">
        <v>1</v>
      </c>
    </row>
    <row r="370" spans="1:12">
      <c r="A370" s="49">
        <v>27</v>
      </c>
      <c r="B370" s="109" t="s">
        <v>178</v>
      </c>
      <c r="C370" s="51" t="s">
        <v>48</v>
      </c>
      <c r="D370" s="55" t="s">
        <v>161</v>
      </c>
      <c r="E370" s="52">
        <v>101001</v>
      </c>
      <c r="F370" s="49" t="str">
        <f>VLOOKUP(Database[[#This Row],[เลขที่บัญชี]],COA[],2,FALSE)</f>
        <v>เงินสด</v>
      </c>
      <c r="G370" s="53">
        <v>900</v>
      </c>
      <c r="I370" s="52" t="str">
        <f>VLOOKUP(Database[[#This Row],[เลขที่บัญชี]],COA[],3,FALSE)</f>
        <v>1</v>
      </c>
      <c r="J370" s="52" t="s">
        <v>129</v>
      </c>
      <c r="K370" s="52" t="str">
        <f>VLOOKUP(Database[[#This Row],[รหัสหน่วยงาน]],Center[],2,FALSE)</f>
        <v>สำนักงานใหญ่</v>
      </c>
      <c r="L370" s="52">
        <v>1</v>
      </c>
    </row>
    <row r="371" spans="1:12">
      <c r="A371" s="49">
        <v>27</v>
      </c>
      <c r="B371" s="109" t="s">
        <v>178</v>
      </c>
      <c r="C371" s="51" t="s">
        <v>48</v>
      </c>
      <c r="D371" s="55" t="s">
        <v>161</v>
      </c>
      <c r="E371" s="52">
        <v>401004</v>
      </c>
      <c r="F371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371" s="53">
        <v>900</v>
      </c>
      <c r="I371" s="52" t="str">
        <f>VLOOKUP(Database[[#This Row],[เลขที่บัญชี]],COA[],3,FALSE)</f>
        <v>4</v>
      </c>
      <c r="J371" s="52" t="s">
        <v>129</v>
      </c>
      <c r="K371" s="52" t="str">
        <f>VLOOKUP(Database[[#This Row],[รหัสหน่วยงาน]],Center[],2,FALSE)</f>
        <v>สำนักงานใหญ่</v>
      </c>
      <c r="L371" s="52">
        <v>1</v>
      </c>
    </row>
    <row r="372" spans="1:12">
      <c r="A372" s="49">
        <v>27</v>
      </c>
      <c r="B372" s="109" t="s">
        <v>178</v>
      </c>
      <c r="C372" s="51" t="s">
        <v>48</v>
      </c>
      <c r="D372" s="55" t="s">
        <v>161</v>
      </c>
      <c r="E372" s="52">
        <v>101001</v>
      </c>
      <c r="F372" s="49" t="str">
        <f>VLOOKUP(Database[[#This Row],[เลขที่บัญชี]],COA[],2,FALSE)</f>
        <v>เงินสด</v>
      </c>
      <c r="G372" s="53">
        <v>260</v>
      </c>
      <c r="I372" s="52" t="str">
        <f>VLOOKUP(Database[[#This Row],[เลขที่บัญชี]],COA[],3,FALSE)</f>
        <v>1</v>
      </c>
      <c r="J372" s="52" t="s">
        <v>129</v>
      </c>
      <c r="K372" s="52" t="str">
        <f>VLOOKUP(Database[[#This Row],[รหัสหน่วยงาน]],Center[],2,FALSE)</f>
        <v>สำนักงานใหญ่</v>
      </c>
      <c r="L372" s="52">
        <v>1</v>
      </c>
    </row>
    <row r="373" spans="1:12">
      <c r="A373" s="49">
        <v>27</v>
      </c>
      <c r="B373" s="109" t="s">
        <v>178</v>
      </c>
      <c r="C373" s="51" t="s">
        <v>48</v>
      </c>
      <c r="D373" s="55" t="s">
        <v>161</v>
      </c>
      <c r="E373" s="52">
        <v>401012</v>
      </c>
      <c r="F373" s="49" t="str">
        <f>VLOOKUP(Database[[#This Row],[เลขที่บัญชี]],COA[],2,FALSE)</f>
        <v>รายได้ค่าแคดดี้</v>
      </c>
      <c r="H373" s="53">
        <v>260</v>
      </c>
      <c r="I373" s="52" t="str">
        <f>VLOOKUP(Database[[#This Row],[เลขที่บัญชี]],COA[],3,FALSE)</f>
        <v>4</v>
      </c>
      <c r="J373" s="52" t="s">
        <v>129</v>
      </c>
      <c r="K373" s="52" t="str">
        <f>VLOOKUP(Database[[#This Row],[รหัสหน่วยงาน]],Center[],2,FALSE)</f>
        <v>สำนักงานใหญ่</v>
      </c>
      <c r="L373" s="52">
        <v>1</v>
      </c>
    </row>
    <row r="374" spans="1:12">
      <c r="A374" s="49">
        <v>27</v>
      </c>
      <c r="B374" s="109" t="s">
        <v>178</v>
      </c>
      <c r="C374" s="51" t="s">
        <v>48</v>
      </c>
      <c r="D374" s="55" t="s">
        <v>161</v>
      </c>
      <c r="E374" s="52">
        <v>101002</v>
      </c>
      <c r="F374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74" s="53">
        <v>2460</v>
      </c>
      <c r="I374" s="52" t="str">
        <f>VLOOKUP(Database[[#This Row],[เลขที่บัญชี]],COA[],3,FALSE)</f>
        <v>1</v>
      </c>
      <c r="J374" s="52" t="s">
        <v>129</v>
      </c>
      <c r="K374" s="52" t="str">
        <f>VLOOKUP(Database[[#This Row],[รหัสหน่วยงาน]],Center[],2,FALSE)</f>
        <v>สำนักงานใหญ่</v>
      </c>
      <c r="L374" s="52">
        <v>1</v>
      </c>
    </row>
    <row r="375" spans="1:12">
      <c r="A375" s="49">
        <v>27</v>
      </c>
      <c r="B375" s="109" t="s">
        <v>178</v>
      </c>
      <c r="C375" s="51" t="s">
        <v>48</v>
      </c>
      <c r="D375" s="55" t="s">
        <v>161</v>
      </c>
      <c r="E375" s="52">
        <v>101001</v>
      </c>
      <c r="F375" s="49" t="str">
        <f>VLOOKUP(Database[[#This Row],[เลขที่บัญชี]],COA[],2,FALSE)</f>
        <v>เงินสด</v>
      </c>
      <c r="H375" s="53">
        <v>2460</v>
      </c>
      <c r="I375" s="52" t="str">
        <f>VLOOKUP(Database[[#This Row],[เลขที่บัญชี]],COA[],3,FALSE)</f>
        <v>1</v>
      </c>
      <c r="J375" s="52" t="s">
        <v>129</v>
      </c>
      <c r="K375" s="52" t="str">
        <f>VLOOKUP(Database[[#This Row],[รหัสหน่วยงาน]],Center[],2,FALSE)</f>
        <v>สำนักงานใหญ่</v>
      </c>
      <c r="L375" s="52">
        <v>1</v>
      </c>
    </row>
    <row r="376" spans="1:12">
      <c r="A376" s="49">
        <v>28</v>
      </c>
      <c r="B376" s="109" t="s">
        <v>179</v>
      </c>
      <c r="C376" s="51" t="s">
        <v>48</v>
      </c>
      <c r="D376" s="55" t="s">
        <v>161</v>
      </c>
      <c r="E376" s="52">
        <v>101001</v>
      </c>
      <c r="F376" s="49" t="str">
        <f>VLOOKUP(Database[[#This Row],[เลขที่บัญชี]],COA[],2,FALSE)</f>
        <v>เงินสด</v>
      </c>
      <c r="G376" s="53">
        <v>800</v>
      </c>
      <c r="I376" s="52" t="str">
        <f>VLOOKUP(Database[[#This Row],[เลขที่บัญชี]],COA[],3,FALSE)</f>
        <v>1</v>
      </c>
      <c r="J376" s="52" t="s">
        <v>129</v>
      </c>
      <c r="K376" s="52" t="str">
        <f>VLOOKUP(Database[[#This Row],[รหัสหน่วยงาน]],Center[],2,FALSE)</f>
        <v>สำนักงานใหญ่</v>
      </c>
      <c r="L376" s="52">
        <v>1</v>
      </c>
    </row>
    <row r="377" spans="1:12">
      <c r="A377" s="49">
        <v>28</v>
      </c>
      <c r="B377" s="109" t="s">
        <v>179</v>
      </c>
      <c r="C377" s="51" t="s">
        <v>48</v>
      </c>
      <c r="D377" s="55" t="s">
        <v>161</v>
      </c>
      <c r="E377" s="52">
        <v>401003</v>
      </c>
      <c r="F377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377" s="53">
        <v>800</v>
      </c>
      <c r="I377" s="52" t="str">
        <f>VLOOKUP(Database[[#This Row],[เลขที่บัญชี]],COA[],3,FALSE)</f>
        <v>4</v>
      </c>
      <c r="J377" s="52" t="s">
        <v>129</v>
      </c>
      <c r="K377" s="52" t="str">
        <f>VLOOKUP(Database[[#This Row],[รหัสหน่วยงาน]],Center[],2,FALSE)</f>
        <v>สำนักงานใหญ่</v>
      </c>
      <c r="L377" s="52">
        <v>1</v>
      </c>
    </row>
    <row r="378" spans="1:12">
      <c r="A378" s="49">
        <v>28</v>
      </c>
      <c r="B378" s="109" t="s">
        <v>179</v>
      </c>
      <c r="C378" s="51" t="s">
        <v>48</v>
      </c>
      <c r="D378" s="55" t="s">
        <v>161</v>
      </c>
      <c r="E378" s="52">
        <v>101001</v>
      </c>
      <c r="F378" s="49" t="str">
        <f>VLOOKUP(Database[[#This Row],[เลขที่บัญชี]],COA[],2,FALSE)</f>
        <v>เงินสด</v>
      </c>
      <c r="G378" s="53">
        <v>900</v>
      </c>
      <c r="I378" s="52" t="str">
        <f>VLOOKUP(Database[[#This Row],[เลขที่บัญชี]],COA[],3,FALSE)</f>
        <v>1</v>
      </c>
      <c r="J378" s="52" t="s">
        <v>129</v>
      </c>
      <c r="K378" s="52" t="str">
        <f>VLOOKUP(Database[[#This Row],[รหัสหน่วยงาน]],Center[],2,FALSE)</f>
        <v>สำนักงานใหญ่</v>
      </c>
      <c r="L378" s="52">
        <v>1</v>
      </c>
    </row>
    <row r="379" spans="1:12">
      <c r="A379" s="49">
        <v>28</v>
      </c>
      <c r="B379" s="109" t="s">
        <v>179</v>
      </c>
      <c r="C379" s="51" t="s">
        <v>48</v>
      </c>
      <c r="D379" s="55" t="s">
        <v>161</v>
      </c>
      <c r="E379" s="52">
        <v>401004</v>
      </c>
      <c r="F379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379" s="53">
        <v>900</v>
      </c>
      <c r="I379" s="52" t="str">
        <f>VLOOKUP(Database[[#This Row],[เลขที่บัญชี]],COA[],3,FALSE)</f>
        <v>4</v>
      </c>
      <c r="J379" s="52" t="s">
        <v>129</v>
      </c>
      <c r="K379" s="52" t="str">
        <f>VLOOKUP(Database[[#This Row],[รหัสหน่วยงาน]],Center[],2,FALSE)</f>
        <v>สำนักงานใหญ่</v>
      </c>
      <c r="L379" s="52">
        <v>1</v>
      </c>
    </row>
    <row r="380" spans="1:12">
      <c r="A380" s="49">
        <v>28</v>
      </c>
      <c r="B380" s="109" t="s">
        <v>179</v>
      </c>
      <c r="C380" s="51" t="s">
        <v>48</v>
      </c>
      <c r="D380" s="55" t="s">
        <v>161</v>
      </c>
      <c r="E380" s="52">
        <v>101001</v>
      </c>
      <c r="F380" s="49" t="str">
        <f>VLOOKUP(Database[[#This Row],[เลขที่บัญชี]],COA[],2,FALSE)</f>
        <v>เงินสด</v>
      </c>
      <c r="G380" s="53">
        <v>150</v>
      </c>
      <c r="I380" s="52" t="str">
        <f>VLOOKUP(Database[[#This Row],[เลขที่บัญชี]],COA[],3,FALSE)</f>
        <v>1</v>
      </c>
      <c r="J380" s="52" t="s">
        <v>129</v>
      </c>
      <c r="K380" s="52" t="str">
        <f>VLOOKUP(Database[[#This Row],[รหัสหน่วยงาน]],Center[],2,FALSE)</f>
        <v>สำนักงานใหญ่</v>
      </c>
      <c r="L380" s="52">
        <v>1</v>
      </c>
    </row>
    <row r="381" spans="1:12">
      <c r="A381" s="49">
        <v>28</v>
      </c>
      <c r="B381" s="109" t="s">
        <v>179</v>
      </c>
      <c r="C381" s="51" t="s">
        <v>48</v>
      </c>
      <c r="D381" s="55" t="s">
        <v>161</v>
      </c>
      <c r="E381" s="52">
        <v>401012</v>
      </c>
      <c r="F381" s="49" t="str">
        <f>VLOOKUP(Database[[#This Row],[เลขที่บัญชี]],COA[],2,FALSE)</f>
        <v>รายได้ค่าแคดดี้</v>
      </c>
      <c r="H381" s="53">
        <v>150</v>
      </c>
      <c r="I381" s="52" t="str">
        <f>VLOOKUP(Database[[#This Row],[เลขที่บัญชี]],COA[],3,FALSE)</f>
        <v>4</v>
      </c>
      <c r="J381" s="52" t="s">
        <v>129</v>
      </c>
      <c r="K381" s="52" t="str">
        <f>VLOOKUP(Database[[#This Row],[รหัสหน่วยงาน]],Center[],2,FALSE)</f>
        <v>สำนักงานใหญ่</v>
      </c>
      <c r="L381" s="52">
        <v>1</v>
      </c>
    </row>
    <row r="382" spans="1:12">
      <c r="A382" s="49">
        <v>28</v>
      </c>
      <c r="B382" s="109" t="s">
        <v>179</v>
      </c>
      <c r="C382" s="51" t="s">
        <v>48</v>
      </c>
      <c r="D382" s="55" t="s">
        <v>161</v>
      </c>
      <c r="E382" s="52">
        <v>101002</v>
      </c>
      <c r="F382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82" s="53">
        <v>1850</v>
      </c>
      <c r="I382" s="52" t="str">
        <f>VLOOKUP(Database[[#This Row],[เลขที่บัญชี]],COA[],3,FALSE)</f>
        <v>1</v>
      </c>
      <c r="J382" s="52" t="s">
        <v>129</v>
      </c>
      <c r="K382" s="52" t="str">
        <f>VLOOKUP(Database[[#This Row],[รหัสหน่วยงาน]],Center[],2,FALSE)</f>
        <v>สำนักงานใหญ่</v>
      </c>
      <c r="L382" s="52">
        <v>1</v>
      </c>
    </row>
    <row r="383" spans="1:12">
      <c r="A383" s="49">
        <v>28</v>
      </c>
      <c r="B383" s="109" t="s">
        <v>179</v>
      </c>
      <c r="C383" s="51" t="s">
        <v>48</v>
      </c>
      <c r="D383" s="55" t="s">
        <v>161</v>
      </c>
      <c r="E383" s="52">
        <v>101001</v>
      </c>
      <c r="F383" s="49" t="str">
        <f>VLOOKUP(Database[[#This Row],[เลขที่บัญชี]],COA[],2,FALSE)</f>
        <v>เงินสด</v>
      </c>
      <c r="H383" s="53">
        <v>1850</v>
      </c>
      <c r="I383" s="52" t="str">
        <f>VLOOKUP(Database[[#This Row],[เลขที่บัญชี]],COA[],3,FALSE)</f>
        <v>1</v>
      </c>
      <c r="J383" s="52" t="s">
        <v>129</v>
      </c>
      <c r="K383" s="52" t="str">
        <f>VLOOKUP(Database[[#This Row],[รหัสหน่วยงาน]],Center[],2,FALSE)</f>
        <v>สำนักงานใหญ่</v>
      </c>
      <c r="L383" s="52">
        <v>1</v>
      </c>
    </row>
    <row r="384" spans="1:12">
      <c r="A384" s="49">
        <v>28</v>
      </c>
      <c r="B384" s="109" t="s">
        <v>179</v>
      </c>
      <c r="C384" s="51" t="s">
        <v>48</v>
      </c>
      <c r="D384" s="55" t="s">
        <v>161</v>
      </c>
      <c r="E384" s="52">
        <v>101001</v>
      </c>
      <c r="F384" s="49" t="str">
        <f>VLOOKUP(Database[[#This Row],[เลขที่บัญชี]],COA[],2,FALSE)</f>
        <v>เงินสด</v>
      </c>
      <c r="G384" s="53">
        <v>900</v>
      </c>
      <c r="I384" s="52" t="str">
        <f>VLOOKUP(Database[[#This Row],[เลขที่บัญชี]],COA[],3,FALSE)</f>
        <v>1</v>
      </c>
      <c r="J384" s="52" t="s">
        <v>129</v>
      </c>
      <c r="K384" s="52" t="str">
        <f>VLOOKUP(Database[[#This Row],[รหัสหน่วยงาน]],Center[],2,FALSE)</f>
        <v>สำนักงานใหญ่</v>
      </c>
      <c r="L384" s="52">
        <v>1</v>
      </c>
    </row>
    <row r="385" spans="1:12">
      <c r="A385" s="49">
        <v>28</v>
      </c>
      <c r="B385" s="109" t="s">
        <v>179</v>
      </c>
      <c r="C385" s="51" t="s">
        <v>48</v>
      </c>
      <c r="D385" s="55" t="s">
        <v>161</v>
      </c>
      <c r="E385" s="52">
        <v>401003</v>
      </c>
      <c r="F385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385" s="53">
        <v>900</v>
      </c>
      <c r="I385" s="52" t="str">
        <f>VLOOKUP(Database[[#This Row],[เลขที่บัญชี]],COA[],3,FALSE)</f>
        <v>4</v>
      </c>
      <c r="J385" s="52" t="s">
        <v>129</v>
      </c>
      <c r="K385" s="52" t="str">
        <f>VLOOKUP(Database[[#This Row],[รหัสหน่วยงาน]],Center[],2,FALSE)</f>
        <v>สำนักงานใหญ่</v>
      </c>
      <c r="L385" s="52">
        <v>1</v>
      </c>
    </row>
    <row r="386" spans="1:12">
      <c r="A386" s="49">
        <v>28</v>
      </c>
      <c r="B386" s="109" t="s">
        <v>179</v>
      </c>
      <c r="C386" s="51" t="s">
        <v>48</v>
      </c>
      <c r="D386" s="55" t="s">
        <v>161</v>
      </c>
      <c r="E386" s="52">
        <v>101001</v>
      </c>
      <c r="F386" s="49" t="str">
        <f>VLOOKUP(Database[[#This Row],[เลขที่บัญชี]],COA[],2,FALSE)</f>
        <v>เงินสด</v>
      </c>
      <c r="G386" s="53">
        <v>720</v>
      </c>
      <c r="I386" s="52" t="str">
        <f>VLOOKUP(Database[[#This Row],[เลขที่บัญชี]],COA[],3,FALSE)</f>
        <v>1</v>
      </c>
      <c r="J386" s="52" t="s">
        <v>129</v>
      </c>
      <c r="K386" s="52" t="str">
        <f>VLOOKUP(Database[[#This Row],[รหัสหน่วยงาน]],Center[],2,FALSE)</f>
        <v>สำนักงานใหญ่</v>
      </c>
      <c r="L386" s="52">
        <v>1</v>
      </c>
    </row>
    <row r="387" spans="1:12">
      <c r="A387" s="49">
        <v>28</v>
      </c>
      <c r="B387" s="109" t="s">
        <v>179</v>
      </c>
      <c r="C387" s="51" t="s">
        <v>48</v>
      </c>
      <c r="D387" s="55" t="s">
        <v>161</v>
      </c>
      <c r="E387" s="52">
        <v>401004</v>
      </c>
      <c r="F387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387" s="53">
        <v>720</v>
      </c>
      <c r="I387" s="52" t="str">
        <f>VLOOKUP(Database[[#This Row],[เลขที่บัญชี]],COA[],3,FALSE)</f>
        <v>4</v>
      </c>
      <c r="J387" s="52" t="s">
        <v>129</v>
      </c>
      <c r="K387" s="52" t="str">
        <f>VLOOKUP(Database[[#This Row],[รหัสหน่วยงาน]],Center[],2,FALSE)</f>
        <v>สำนักงานใหญ่</v>
      </c>
      <c r="L387" s="52">
        <v>1</v>
      </c>
    </row>
    <row r="388" spans="1:12">
      <c r="A388" s="49">
        <v>28</v>
      </c>
      <c r="B388" s="109" t="s">
        <v>179</v>
      </c>
      <c r="C388" s="51" t="s">
        <v>48</v>
      </c>
      <c r="D388" s="55" t="s">
        <v>161</v>
      </c>
      <c r="E388" s="52">
        <v>101001</v>
      </c>
      <c r="F388" s="49" t="str">
        <f>VLOOKUP(Database[[#This Row],[เลขที่บัญชี]],COA[],2,FALSE)</f>
        <v>เงินสด</v>
      </c>
      <c r="G388" s="53">
        <v>50</v>
      </c>
      <c r="I388" s="52" t="str">
        <f>VLOOKUP(Database[[#This Row],[เลขที่บัญชี]],COA[],3,FALSE)</f>
        <v>1</v>
      </c>
      <c r="J388" s="52" t="s">
        <v>129</v>
      </c>
      <c r="K388" s="52" t="str">
        <f>VLOOKUP(Database[[#This Row],[รหัสหน่วยงาน]],Center[],2,FALSE)</f>
        <v>สำนักงานใหญ่</v>
      </c>
      <c r="L388" s="52">
        <v>1</v>
      </c>
    </row>
    <row r="389" spans="1:12">
      <c r="A389" s="49">
        <v>28</v>
      </c>
      <c r="B389" s="109" t="s">
        <v>179</v>
      </c>
      <c r="C389" s="51" t="s">
        <v>48</v>
      </c>
      <c r="D389" s="55" t="s">
        <v>161</v>
      </c>
      <c r="E389" s="52">
        <v>401018</v>
      </c>
      <c r="F389" s="49" t="str">
        <f>VLOOKUP(Database[[#This Row],[เลขที่บัญชี]],COA[],2,FALSE)</f>
        <v>ค่าบริการสนามผู้ติดตาม</v>
      </c>
      <c r="H389" s="53">
        <v>50</v>
      </c>
      <c r="I389" s="52" t="str">
        <f>VLOOKUP(Database[[#This Row],[เลขที่บัญชี]],COA[],3,FALSE)</f>
        <v>4</v>
      </c>
      <c r="J389" s="52" t="s">
        <v>129</v>
      </c>
      <c r="K389" s="52" t="str">
        <f>VLOOKUP(Database[[#This Row],[รหัสหน่วยงาน]],Center[],2,FALSE)</f>
        <v>สำนักงานใหญ่</v>
      </c>
      <c r="L389" s="52">
        <v>1</v>
      </c>
    </row>
    <row r="390" spans="1:12">
      <c r="A390" s="49">
        <v>28</v>
      </c>
      <c r="B390" s="109" t="s">
        <v>179</v>
      </c>
      <c r="C390" s="51" t="s">
        <v>48</v>
      </c>
      <c r="D390" s="55" t="s">
        <v>161</v>
      </c>
      <c r="E390" s="52">
        <v>101001</v>
      </c>
      <c r="F390" s="49" t="str">
        <f>VLOOKUP(Database[[#This Row],[เลขที่บัญชี]],COA[],2,FALSE)</f>
        <v>เงินสด</v>
      </c>
      <c r="G390" s="53">
        <v>170</v>
      </c>
      <c r="I390" s="52" t="str">
        <f>VLOOKUP(Database[[#This Row],[เลขที่บัญชี]],COA[],3,FALSE)</f>
        <v>1</v>
      </c>
      <c r="J390" s="52" t="s">
        <v>129</v>
      </c>
      <c r="K390" s="52" t="str">
        <f>VLOOKUP(Database[[#This Row],[รหัสหน่วยงาน]],Center[],2,FALSE)</f>
        <v>สำนักงานใหญ่</v>
      </c>
      <c r="L390" s="52">
        <v>1</v>
      </c>
    </row>
    <row r="391" spans="1:12">
      <c r="A391" s="49">
        <v>28</v>
      </c>
      <c r="B391" s="109" t="s">
        <v>179</v>
      </c>
      <c r="C391" s="51" t="s">
        <v>48</v>
      </c>
      <c r="D391" s="55" t="s">
        <v>161</v>
      </c>
      <c r="E391" s="52">
        <v>401012</v>
      </c>
      <c r="F391" s="49" t="str">
        <f>VLOOKUP(Database[[#This Row],[เลขที่บัญชี]],COA[],2,FALSE)</f>
        <v>รายได้ค่าแคดดี้</v>
      </c>
      <c r="H391" s="53">
        <v>170</v>
      </c>
      <c r="I391" s="52" t="str">
        <f>VLOOKUP(Database[[#This Row],[เลขที่บัญชี]],COA[],3,FALSE)</f>
        <v>4</v>
      </c>
      <c r="J391" s="52" t="s">
        <v>129</v>
      </c>
      <c r="K391" s="52" t="str">
        <f>VLOOKUP(Database[[#This Row],[รหัสหน่วยงาน]],Center[],2,FALSE)</f>
        <v>สำนักงานใหญ่</v>
      </c>
      <c r="L391" s="52">
        <v>1</v>
      </c>
    </row>
    <row r="392" spans="1:12">
      <c r="A392" s="49">
        <v>28</v>
      </c>
      <c r="B392" s="109" t="s">
        <v>179</v>
      </c>
      <c r="C392" s="51" t="s">
        <v>48</v>
      </c>
      <c r="D392" s="55" t="s">
        <v>161</v>
      </c>
      <c r="E392" s="52">
        <v>101002</v>
      </c>
      <c r="F392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92" s="53">
        <v>1840</v>
      </c>
      <c r="I392" s="52" t="str">
        <f>VLOOKUP(Database[[#This Row],[เลขที่บัญชี]],COA[],3,FALSE)</f>
        <v>1</v>
      </c>
      <c r="J392" s="52" t="s">
        <v>129</v>
      </c>
      <c r="K392" s="52" t="str">
        <f>VLOOKUP(Database[[#This Row],[รหัสหน่วยงาน]],Center[],2,FALSE)</f>
        <v>สำนักงานใหญ่</v>
      </c>
      <c r="L392" s="52">
        <v>1</v>
      </c>
    </row>
    <row r="393" spans="1:12">
      <c r="A393" s="49">
        <v>28</v>
      </c>
      <c r="B393" s="109" t="s">
        <v>179</v>
      </c>
      <c r="C393" s="51" t="s">
        <v>48</v>
      </c>
      <c r="D393" s="55" t="s">
        <v>161</v>
      </c>
      <c r="E393" s="52">
        <v>101001</v>
      </c>
      <c r="F393" s="49" t="str">
        <f>VLOOKUP(Database[[#This Row],[เลขที่บัญชี]],COA[],2,FALSE)</f>
        <v>เงินสด</v>
      </c>
      <c r="H393" s="53">
        <v>1840</v>
      </c>
      <c r="I393" s="52" t="str">
        <f>VLOOKUP(Database[[#This Row],[เลขที่บัญชี]],COA[],3,FALSE)</f>
        <v>1</v>
      </c>
      <c r="J393" s="52" t="s">
        <v>129</v>
      </c>
      <c r="K393" s="52" t="str">
        <f>VLOOKUP(Database[[#This Row],[รหัสหน่วยงาน]],Center[],2,FALSE)</f>
        <v>สำนักงานใหญ่</v>
      </c>
      <c r="L393" s="52">
        <v>1</v>
      </c>
    </row>
    <row r="394" spans="1:12">
      <c r="A394" s="49">
        <v>29</v>
      </c>
      <c r="B394" s="109" t="s">
        <v>180</v>
      </c>
      <c r="C394" s="51" t="s">
        <v>48</v>
      </c>
      <c r="D394" s="55" t="s">
        <v>161</v>
      </c>
      <c r="E394" s="52">
        <v>101001</v>
      </c>
      <c r="F394" s="49" t="str">
        <f>VLOOKUP(Database[[#This Row],[เลขที่บัญชี]],COA[],2,FALSE)</f>
        <v>เงินสด</v>
      </c>
      <c r="G394" s="53">
        <v>1000</v>
      </c>
      <c r="I394" s="52" t="str">
        <f>VLOOKUP(Database[[#This Row],[เลขที่บัญชี]],COA[],3,FALSE)</f>
        <v>1</v>
      </c>
      <c r="J394" s="52" t="s">
        <v>129</v>
      </c>
      <c r="K394" s="52" t="str">
        <f>VLOOKUP(Database[[#This Row],[รหัสหน่วยงาน]],Center[],2,FALSE)</f>
        <v>สำนักงานใหญ่</v>
      </c>
      <c r="L394" s="52">
        <v>1</v>
      </c>
    </row>
    <row r="395" spans="1:12">
      <c r="A395" s="49">
        <v>29</v>
      </c>
      <c r="B395" s="109" t="s">
        <v>180</v>
      </c>
      <c r="C395" s="51" t="s">
        <v>48</v>
      </c>
      <c r="D395" s="55" t="s">
        <v>161</v>
      </c>
      <c r="E395" s="52">
        <v>401003</v>
      </c>
      <c r="F395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395" s="53">
        <v>1000</v>
      </c>
      <c r="I395" s="52" t="str">
        <f>VLOOKUP(Database[[#This Row],[เลขที่บัญชี]],COA[],3,FALSE)</f>
        <v>4</v>
      </c>
      <c r="J395" s="52" t="s">
        <v>129</v>
      </c>
      <c r="K395" s="52" t="str">
        <f>VLOOKUP(Database[[#This Row],[รหัสหน่วยงาน]],Center[],2,FALSE)</f>
        <v>สำนักงานใหญ่</v>
      </c>
      <c r="L395" s="52">
        <v>1</v>
      </c>
    </row>
    <row r="396" spans="1:12">
      <c r="A396" s="49">
        <v>29</v>
      </c>
      <c r="B396" s="109" t="s">
        <v>180</v>
      </c>
      <c r="C396" s="51" t="s">
        <v>48</v>
      </c>
      <c r="D396" s="55" t="s">
        <v>161</v>
      </c>
      <c r="E396" s="52">
        <v>101001</v>
      </c>
      <c r="F396" s="49" t="str">
        <f>VLOOKUP(Database[[#This Row],[เลขที่บัญชี]],COA[],2,FALSE)</f>
        <v>เงินสด</v>
      </c>
      <c r="G396" s="53">
        <v>100</v>
      </c>
      <c r="I396" s="52" t="str">
        <f>VLOOKUP(Database[[#This Row],[เลขที่บัญชี]],COA[],3,FALSE)</f>
        <v>1</v>
      </c>
      <c r="J396" s="52" t="s">
        <v>129</v>
      </c>
      <c r="K396" s="52" t="str">
        <f>VLOOKUP(Database[[#This Row],[รหัสหน่วยงาน]],Center[],2,FALSE)</f>
        <v>สำนักงานใหญ่</v>
      </c>
      <c r="L396" s="52">
        <v>1</v>
      </c>
    </row>
    <row r="397" spans="1:12">
      <c r="A397" s="49">
        <v>29</v>
      </c>
      <c r="B397" s="109" t="s">
        <v>180</v>
      </c>
      <c r="C397" s="51" t="s">
        <v>48</v>
      </c>
      <c r="D397" s="55" t="s">
        <v>161</v>
      </c>
      <c r="E397" s="52">
        <v>401012</v>
      </c>
      <c r="F397" s="49" t="str">
        <f>VLOOKUP(Database[[#This Row],[เลขที่บัญชี]],COA[],2,FALSE)</f>
        <v>รายได้ค่าแคดดี้</v>
      </c>
      <c r="H397" s="53">
        <v>100</v>
      </c>
      <c r="I397" s="52" t="str">
        <f>VLOOKUP(Database[[#This Row],[เลขที่บัญชี]],COA[],3,FALSE)</f>
        <v>4</v>
      </c>
      <c r="J397" s="52" t="s">
        <v>129</v>
      </c>
      <c r="K397" s="52" t="str">
        <f>VLOOKUP(Database[[#This Row],[รหัสหน่วยงาน]],Center[],2,FALSE)</f>
        <v>สำนักงานใหญ่</v>
      </c>
      <c r="L397" s="52">
        <v>1</v>
      </c>
    </row>
    <row r="398" spans="1:12">
      <c r="A398" s="49">
        <v>29</v>
      </c>
      <c r="B398" s="109" t="s">
        <v>180</v>
      </c>
      <c r="C398" s="51" t="s">
        <v>48</v>
      </c>
      <c r="D398" s="55" t="s">
        <v>161</v>
      </c>
      <c r="E398" s="52">
        <v>101002</v>
      </c>
      <c r="F398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398" s="53">
        <v>1100</v>
      </c>
      <c r="I398" s="52" t="str">
        <f>VLOOKUP(Database[[#This Row],[เลขที่บัญชี]],COA[],3,FALSE)</f>
        <v>1</v>
      </c>
      <c r="J398" s="52" t="s">
        <v>129</v>
      </c>
      <c r="K398" s="52" t="str">
        <f>VLOOKUP(Database[[#This Row],[รหัสหน่วยงาน]],Center[],2,FALSE)</f>
        <v>สำนักงานใหญ่</v>
      </c>
      <c r="L398" s="52">
        <v>1</v>
      </c>
    </row>
    <row r="399" spans="1:12">
      <c r="A399" s="49">
        <v>29</v>
      </c>
      <c r="B399" s="109" t="s">
        <v>180</v>
      </c>
      <c r="C399" s="51" t="s">
        <v>48</v>
      </c>
      <c r="D399" s="55" t="s">
        <v>161</v>
      </c>
      <c r="E399" s="52">
        <v>101001</v>
      </c>
      <c r="F399" s="49" t="str">
        <f>VLOOKUP(Database[[#This Row],[เลขที่บัญชี]],COA[],2,FALSE)</f>
        <v>เงินสด</v>
      </c>
      <c r="H399" s="53">
        <v>1100</v>
      </c>
      <c r="I399" s="52" t="str">
        <f>VLOOKUP(Database[[#This Row],[เลขที่บัญชี]],COA[],3,FALSE)</f>
        <v>1</v>
      </c>
      <c r="J399" s="52" t="s">
        <v>129</v>
      </c>
      <c r="K399" s="52" t="str">
        <f>VLOOKUP(Database[[#This Row],[รหัสหน่วยงาน]],Center[],2,FALSE)</f>
        <v>สำนักงานใหญ่</v>
      </c>
      <c r="L399" s="52">
        <v>1</v>
      </c>
    </row>
    <row r="400" spans="1:12">
      <c r="A400" s="49">
        <v>29</v>
      </c>
      <c r="B400" s="109" t="s">
        <v>180</v>
      </c>
      <c r="C400" s="51" t="s">
        <v>48</v>
      </c>
      <c r="D400" s="55" t="s">
        <v>161</v>
      </c>
      <c r="E400" s="52">
        <v>101001</v>
      </c>
      <c r="F400" s="49" t="str">
        <f>VLOOKUP(Database[[#This Row],[เลขที่บัญชี]],COA[],2,FALSE)</f>
        <v>เงินสด</v>
      </c>
      <c r="G400" s="53">
        <v>2000</v>
      </c>
      <c r="I400" s="52" t="str">
        <f>VLOOKUP(Database[[#This Row],[เลขที่บัญชี]],COA[],3,FALSE)</f>
        <v>1</v>
      </c>
      <c r="J400" s="52" t="s">
        <v>129</v>
      </c>
      <c r="K400" s="52" t="str">
        <f>VLOOKUP(Database[[#This Row],[รหัสหน่วยงาน]],Center[],2,FALSE)</f>
        <v>สำนักงานใหญ่</v>
      </c>
      <c r="L400" s="52">
        <v>1</v>
      </c>
    </row>
    <row r="401" spans="1:12">
      <c r="A401" s="49">
        <v>29</v>
      </c>
      <c r="B401" s="109" t="s">
        <v>180</v>
      </c>
      <c r="C401" s="51" t="s">
        <v>48</v>
      </c>
      <c r="D401" s="55" t="s">
        <v>161</v>
      </c>
      <c r="E401" s="52">
        <v>401003</v>
      </c>
      <c r="F401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401" s="53">
        <v>2000</v>
      </c>
      <c r="I401" s="52" t="str">
        <f>VLOOKUP(Database[[#This Row],[เลขที่บัญชี]],COA[],3,FALSE)</f>
        <v>4</v>
      </c>
      <c r="J401" s="52" t="s">
        <v>129</v>
      </c>
      <c r="K401" s="52" t="str">
        <f>VLOOKUP(Database[[#This Row],[รหัสหน่วยงาน]],Center[],2,FALSE)</f>
        <v>สำนักงานใหญ่</v>
      </c>
      <c r="L401" s="52">
        <v>1</v>
      </c>
    </row>
    <row r="402" spans="1:12">
      <c r="A402" s="49">
        <v>29</v>
      </c>
      <c r="B402" s="109" t="s">
        <v>180</v>
      </c>
      <c r="C402" s="51" t="s">
        <v>48</v>
      </c>
      <c r="D402" s="55" t="s">
        <v>161</v>
      </c>
      <c r="E402" s="52">
        <v>101001</v>
      </c>
      <c r="F402" s="49" t="str">
        <f>VLOOKUP(Database[[#This Row],[เลขที่บัญชี]],COA[],2,FALSE)</f>
        <v>เงินสด</v>
      </c>
      <c r="G402" s="53">
        <v>360</v>
      </c>
      <c r="I402" s="52" t="str">
        <f>VLOOKUP(Database[[#This Row],[เลขที่บัญชี]],COA[],3,FALSE)</f>
        <v>1</v>
      </c>
      <c r="J402" s="52" t="s">
        <v>129</v>
      </c>
      <c r="K402" s="52" t="str">
        <f>VLOOKUP(Database[[#This Row],[รหัสหน่วยงาน]],Center[],2,FALSE)</f>
        <v>สำนักงานใหญ่</v>
      </c>
      <c r="L402" s="52">
        <v>1</v>
      </c>
    </row>
    <row r="403" spans="1:12">
      <c r="A403" s="49">
        <v>29</v>
      </c>
      <c r="B403" s="109" t="s">
        <v>180</v>
      </c>
      <c r="C403" s="51" t="s">
        <v>48</v>
      </c>
      <c r="D403" s="55" t="s">
        <v>161</v>
      </c>
      <c r="E403" s="52">
        <v>401004</v>
      </c>
      <c r="F403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403" s="53">
        <v>360</v>
      </c>
      <c r="I403" s="52" t="str">
        <f>VLOOKUP(Database[[#This Row],[เลขที่บัญชี]],COA[],3,FALSE)</f>
        <v>4</v>
      </c>
      <c r="J403" s="52" t="s">
        <v>129</v>
      </c>
      <c r="K403" s="52" t="str">
        <f>VLOOKUP(Database[[#This Row],[รหัสหน่วยงาน]],Center[],2,FALSE)</f>
        <v>สำนักงานใหญ่</v>
      </c>
      <c r="L403" s="52">
        <v>1</v>
      </c>
    </row>
    <row r="404" spans="1:12">
      <c r="A404" s="49">
        <v>29</v>
      </c>
      <c r="B404" s="109" t="s">
        <v>180</v>
      </c>
      <c r="C404" s="51" t="s">
        <v>48</v>
      </c>
      <c r="D404" s="55" t="s">
        <v>161</v>
      </c>
      <c r="E404" s="52">
        <v>101001</v>
      </c>
      <c r="F404" s="49" t="str">
        <f>VLOOKUP(Database[[#This Row],[เลขที่บัญชี]],COA[],2,FALSE)</f>
        <v>เงินสด</v>
      </c>
      <c r="G404" s="53">
        <v>260</v>
      </c>
      <c r="I404" s="52" t="str">
        <f>VLOOKUP(Database[[#This Row],[เลขที่บัญชี]],COA[],3,FALSE)</f>
        <v>1</v>
      </c>
      <c r="J404" s="52" t="s">
        <v>129</v>
      </c>
      <c r="K404" s="52" t="str">
        <f>VLOOKUP(Database[[#This Row],[รหัสหน่วยงาน]],Center[],2,FALSE)</f>
        <v>สำนักงานใหญ่</v>
      </c>
      <c r="L404" s="52">
        <v>1</v>
      </c>
    </row>
    <row r="405" spans="1:12">
      <c r="A405" s="49">
        <v>29</v>
      </c>
      <c r="B405" s="109" t="s">
        <v>180</v>
      </c>
      <c r="C405" s="51" t="s">
        <v>48</v>
      </c>
      <c r="D405" s="55" t="s">
        <v>161</v>
      </c>
      <c r="E405" s="52">
        <v>401012</v>
      </c>
      <c r="F405" s="49" t="str">
        <f>VLOOKUP(Database[[#This Row],[เลขที่บัญชี]],COA[],2,FALSE)</f>
        <v>รายได้ค่าแคดดี้</v>
      </c>
      <c r="H405" s="53">
        <v>260</v>
      </c>
      <c r="I405" s="52" t="str">
        <f>VLOOKUP(Database[[#This Row],[เลขที่บัญชี]],COA[],3,FALSE)</f>
        <v>4</v>
      </c>
      <c r="J405" s="52" t="s">
        <v>129</v>
      </c>
      <c r="K405" s="52" t="str">
        <f>VLOOKUP(Database[[#This Row],[รหัสหน่วยงาน]],Center[],2,FALSE)</f>
        <v>สำนักงานใหญ่</v>
      </c>
      <c r="L405" s="52">
        <v>1</v>
      </c>
    </row>
    <row r="406" spans="1:12">
      <c r="A406" s="49">
        <v>29</v>
      </c>
      <c r="B406" s="109" t="s">
        <v>180</v>
      </c>
      <c r="C406" s="51" t="s">
        <v>48</v>
      </c>
      <c r="D406" s="55" t="s">
        <v>161</v>
      </c>
      <c r="E406" s="52">
        <v>101002</v>
      </c>
      <c r="F406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06" s="53">
        <v>2620</v>
      </c>
      <c r="I406" s="52" t="str">
        <f>VLOOKUP(Database[[#This Row],[เลขที่บัญชี]],COA[],3,FALSE)</f>
        <v>1</v>
      </c>
      <c r="J406" s="52" t="s">
        <v>129</v>
      </c>
      <c r="K406" s="52" t="str">
        <f>VLOOKUP(Database[[#This Row],[รหัสหน่วยงาน]],Center[],2,FALSE)</f>
        <v>สำนักงานใหญ่</v>
      </c>
      <c r="L406" s="52">
        <v>1</v>
      </c>
    </row>
    <row r="407" spans="1:12">
      <c r="A407" s="49">
        <v>29</v>
      </c>
      <c r="B407" s="109" t="s">
        <v>180</v>
      </c>
      <c r="C407" s="51" t="s">
        <v>48</v>
      </c>
      <c r="D407" s="55" t="s">
        <v>161</v>
      </c>
      <c r="E407" s="52">
        <v>101001</v>
      </c>
      <c r="F407" s="49" t="str">
        <f>VLOOKUP(Database[[#This Row],[เลขที่บัญชี]],COA[],2,FALSE)</f>
        <v>เงินสด</v>
      </c>
      <c r="H407" s="53">
        <v>2620</v>
      </c>
      <c r="I407" s="52" t="str">
        <f>VLOOKUP(Database[[#This Row],[เลขที่บัญชี]],COA[],3,FALSE)</f>
        <v>1</v>
      </c>
      <c r="J407" s="52" t="s">
        <v>129</v>
      </c>
      <c r="K407" s="52" t="str">
        <f>VLOOKUP(Database[[#This Row],[รหัสหน่วยงาน]],Center[],2,FALSE)</f>
        <v>สำนักงานใหญ่</v>
      </c>
      <c r="L407" s="52">
        <v>1</v>
      </c>
    </row>
    <row r="408" spans="1:12">
      <c r="A408" s="49">
        <v>30</v>
      </c>
      <c r="B408" s="109" t="s">
        <v>181</v>
      </c>
      <c r="C408" s="51" t="s">
        <v>48</v>
      </c>
      <c r="D408" s="55" t="s">
        <v>161</v>
      </c>
      <c r="E408" s="52">
        <v>101001</v>
      </c>
      <c r="F408" s="49" t="str">
        <f>VLOOKUP(Database[[#This Row],[เลขที่บัญชี]],COA[],2,FALSE)</f>
        <v>เงินสด</v>
      </c>
      <c r="G408" s="53">
        <v>800</v>
      </c>
      <c r="I408" s="52" t="str">
        <f>VLOOKUP(Database[[#This Row],[เลขที่บัญชี]],COA[],3,FALSE)</f>
        <v>1</v>
      </c>
      <c r="J408" s="52" t="s">
        <v>129</v>
      </c>
      <c r="K408" s="52" t="str">
        <f>VLOOKUP(Database[[#This Row],[รหัสหน่วยงาน]],Center[],2,FALSE)</f>
        <v>สำนักงานใหญ่</v>
      </c>
      <c r="L408" s="52">
        <v>1</v>
      </c>
    </row>
    <row r="409" spans="1:12">
      <c r="A409" s="49">
        <v>30</v>
      </c>
      <c r="B409" s="109" t="s">
        <v>181</v>
      </c>
      <c r="C409" s="51" t="s">
        <v>48</v>
      </c>
      <c r="D409" s="55" t="s">
        <v>161</v>
      </c>
      <c r="E409" s="52">
        <v>401003</v>
      </c>
      <c r="F409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409" s="53">
        <v>800</v>
      </c>
      <c r="I409" s="52" t="str">
        <f>VLOOKUP(Database[[#This Row],[เลขที่บัญชี]],COA[],3,FALSE)</f>
        <v>4</v>
      </c>
      <c r="J409" s="52" t="s">
        <v>129</v>
      </c>
      <c r="K409" s="52" t="str">
        <f>VLOOKUP(Database[[#This Row],[รหัสหน่วยงาน]],Center[],2,FALSE)</f>
        <v>สำนักงานใหญ่</v>
      </c>
      <c r="L409" s="52">
        <v>1</v>
      </c>
    </row>
    <row r="410" spans="1:12">
      <c r="A410" s="49">
        <v>30</v>
      </c>
      <c r="B410" s="109" t="s">
        <v>181</v>
      </c>
      <c r="C410" s="51" t="s">
        <v>48</v>
      </c>
      <c r="D410" s="55" t="s">
        <v>161</v>
      </c>
      <c r="E410" s="52">
        <v>101001</v>
      </c>
      <c r="F410" s="49" t="str">
        <f>VLOOKUP(Database[[#This Row],[เลขที่บัญชี]],COA[],2,FALSE)</f>
        <v>เงินสด</v>
      </c>
      <c r="G410" s="53">
        <v>40</v>
      </c>
      <c r="I410" s="52" t="str">
        <f>VLOOKUP(Database[[#This Row],[เลขที่บัญชี]],COA[],3,FALSE)</f>
        <v>1</v>
      </c>
      <c r="J410" s="52" t="s">
        <v>129</v>
      </c>
      <c r="K410" s="52" t="str">
        <f>VLOOKUP(Database[[#This Row],[รหัสหน่วยงาน]],Center[],2,FALSE)</f>
        <v>สำนักงานใหญ่</v>
      </c>
      <c r="L410" s="52">
        <v>1</v>
      </c>
    </row>
    <row r="411" spans="1:12">
      <c r="A411" s="49">
        <v>30</v>
      </c>
      <c r="B411" s="109" t="s">
        <v>181</v>
      </c>
      <c r="C411" s="51" t="s">
        <v>48</v>
      </c>
      <c r="D411" s="55" t="s">
        <v>161</v>
      </c>
      <c r="E411" s="52">
        <v>401012</v>
      </c>
      <c r="F411" s="49" t="str">
        <f>VLOOKUP(Database[[#This Row],[เลขที่บัญชี]],COA[],2,FALSE)</f>
        <v>รายได้ค่าแคดดี้</v>
      </c>
      <c r="H411" s="53">
        <v>40</v>
      </c>
      <c r="I411" s="52" t="str">
        <f>VLOOKUP(Database[[#This Row],[เลขที่บัญชี]],COA[],3,FALSE)</f>
        <v>4</v>
      </c>
      <c r="J411" s="52" t="s">
        <v>129</v>
      </c>
      <c r="K411" s="52" t="str">
        <f>VLOOKUP(Database[[#This Row],[รหัสหน่วยงาน]],Center[],2,FALSE)</f>
        <v>สำนักงานใหญ่</v>
      </c>
      <c r="L411" s="52">
        <v>1</v>
      </c>
    </row>
    <row r="412" spans="1:12">
      <c r="A412" s="49">
        <v>30</v>
      </c>
      <c r="B412" s="109" t="s">
        <v>181</v>
      </c>
      <c r="C412" s="51" t="s">
        <v>48</v>
      </c>
      <c r="D412" s="55" t="s">
        <v>161</v>
      </c>
      <c r="E412" s="52">
        <v>101002</v>
      </c>
      <c r="F412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12" s="53">
        <v>840</v>
      </c>
      <c r="I412" s="52" t="str">
        <f>VLOOKUP(Database[[#This Row],[เลขที่บัญชี]],COA[],3,FALSE)</f>
        <v>1</v>
      </c>
      <c r="J412" s="52" t="s">
        <v>129</v>
      </c>
      <c r="K412" s="52" t="str">
        <f>VLOOKUP(Database[[#This Row],[รหัสหน่วยงาน]],Center[],2,FALSE)</f>
        <v>สำนักงานใหญ่</v>
      </c>
      <c r="L412" s="52">
        <v>1</v>
      </c>
    </row>
    <row r="413" spans="1:12">
      <c r="A413" s="49">
        <v>30</v>
      </c>
      <c r="B413" s="109" t="s">
        <v>181</v>
      </c>
      <c r="C413" s="51" t="s">
        <v>48</v>
      </c>
      <c r="D413" s="55" t="s">
        <v>161</v>
      </c>
      <c r="E413" s="52">
        <v>101001</v>
      </c>
      <c r="F413" s="49" t="str">
        <f>VLOOKUP(Database[[#This Row],[เลขที่บัญชี]],COA[],2,FALSE)</f>
        <v>เงินสด</v>
      </c>
      <c r="H413" s="53">
        <v>840</v>
      </c>
      <c r="I413" s="52" t="str">
        <f>VLOOKUP(Database[[#This Row],[เลขที่บัญชี]],COA[],3,FALSE)</f>
        <v>1</v>
      </c>
      <c r="J413" s="52" t="s">
        <v>129</v>
      </c>
      <c r="K413" s="52" t="str">
        <f>VLOOKUP(Database[[#This Row],[รหัสหน่วยงาน]],Center[],2,FALSE)</f>
        <v>สำนักงานใหญ่</v>
      </c>
      <c r="L413" s="52">
        <v>1</v>
      </c>
    </row>
    <row r="414" spans="1:12">
      <c r="A414" s="49">
        <v>30</v>
      </c>
      <c r="B414" s="109" t="s">
        <v>181</v>
      </c>
      <c r="C414" s="51" t="s">
        <v>48</v>
      </c>
      <c r="D414" s="55" t="s">
        <v>161</v>
      </c>
      <c r="E414" s="52">
        <v>101001</v>
      </c>
      <c r="F414" s="49" t="str">
        <f>VLOOKUP(Database[[#This Row],[เลขที่บัญชี]],COA[],2,FALSE)</f>
        <v>เงินสด</v>
      </c>
      <c r="G414" s="53">
        <v>1800</v>
      </c>
      <c r="I414" s="52" t="str">
        <f>VLOOKUP(Database[[#This Row],[เลขที่บัญชี]],COA[],3,FALSE)</f>
        <v>1</v>
      </c>
      <c r="J414" s="52" t="s">
        <v>129</v>
      </c>
      <c r="K414" s="52" t="str">
        <f>VLOOKUP(Database[[#This Row],[รหัสหน่วยงาน]],Center[],2,FALSE)</f>
        <v>สำนักงานใหญ่</v>
      </c>
      <c r="L414" s="52">
        <v>1</v>
      </c>
    </row>
    <row r="415" spans="1:12">
      <c r="A415" s="49">
        <v>30</v>
      </c>
      <c r="B415" s="109" t="s">
        <v>181</v>
      </c>
      <c r="C415" s="51" t="s">
        <v>48</v>
      </c>
      <c r="D415" s="55" t="s">
        <v>161</v>
      </c>
      <c r="E415" s="52">
        <v>401003</v>
      </c>
      <c r="F415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415" s="53">
        <v>1800</v>
      </c>
      <c r="I415" s="52" t="str">
        <f>VLOOKUP(Database[[#This Row],[เลขที่บัญชี]],COA[],3,FALSE)</f>
        <v>4</v>
      </c>
      <c r="J415" s="52" t="s">
        <v>129</v>
      </c>
      <c r="K415" s="52" t="str">
        <f>VLOOKUP(Database[[#This Row],[รหัสหน่วยงาน]],Center[],2,FALSE)</f>
        <v>สำนักงานใหญ่</v>
      </c>
      <c r="L415" s="52">
        <v>1</v>
      </c>
    </row>
    <row r="416" spans="1:12">
      <c r="A416" s="49">
        <v>30</v>
      </c>
      <c r="B416" s="109" t="s">
        <v>181</v>
      </c>
      <c r="C416" s="51" t="s">
        <v>48</v>
      </c>
      <c r="D416" s="55" t="s">
        <v>161</v>
      </c>
      <c r="E416" s="52">
        <v>101001</v>
      </c>
      <c r="F416" s="49" t="str">
        <f>VLOOKUP(Database[[#This Row],[เลขที่บัญชี]],COA[],2,FALSE)</f>
        <v>เงินสด</v>
      </c>
      <c r="G416" s="53">
        <v>360</v>
      </c>
      <c r="I416" s="52" t="str">
        <f>VLOOKUP(Database[[#This Row],[เลขที่บัญชี]],COA[],3,FALSE)</f>
        <v>1</v>
      </c>
      <c r="J416" s="52" t="s">
        <v>129</v>
      </c>
      <c r="K416" s="52" t="str">
        <f>VLOOKUP(Database[[#This Row],[รหัสหน่วยงาน]],Center[],2,FALSE)</f>
        <v>สำนักงานใหญ่</v>
      </c>
      <c r="L416" s="52">
        <v>1</v>
      </c>
    </row>
    <row r="417" spans="1:12">
      <c r="A417" s="49">
        <v>30</v>
      </c>
      <c r="B417" s="109" t="s">
        <v>181</v>
      </c>
      <c r="C417" s="51" t="s">
        <v>48</v>
      </c>
      <c r="D417" s="55" t="s">
        <v>161</v>
      </c>
      <c r="E417" s="52">
        <v>401004</v>
      </c>
      <c r="F417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417" s="53">
        <v>360</v>
      </c>
      <c r="I417" s="52" t="str">
        <f>VLOOKUP(Database[[#This Row],[เลขที่บัญชี]],COA[],3,FALSE)</f>
        <v>4</v>
      </c>
      <c r="J417" s="52" t="s">
        <v>129</v>
      </c>
      <c r="K417" s="52" t="str">
        <f>VLOOKUP(Database[[#This Row],[รหัสหน่วยงาน]],Center[],2,FALSE)</f>
        <v>สำนักงานใหญ่</v>
      </c>
      <c r="L417" s="52">
        <v>1</v>
      </c>
    </row>
    <row r="418" spans="1:12">
      <c r="A418" s="49">
        <v>30</v>
      </c>
      <c r="B418" s="109" t="s">
        <v>181</v>
      </c>
      <c r="C418" s="51" t="s">
        <v>48</v>
      </c>
      <c r="D418" s="55" t="s">
        <v>161</v>
      </c>
      <c r="E418" s="52">
        <v>101001</v>
      </c>
      <c r="F418" s="49" t="str">
        <f>VLOOKUP(Database[[#This Row],[เลขที่บัญชี]],COA[],2,FALSE)</f>
        <v>เงินสด</v>
      </c>
      <c r="G418" s="53">
        <v>310</v>
      </c>
      <c r="I418" s="52" t="str">
        <f>VLOOKUP(Database[[#This Row],[เลขที่บัญชี]],COA[],3,FALSE)</f>
        <v>1</v>
      </c>
      <c r="J418" s="52" t="s">
        <v>129</v>
      </c>
      <c r="K418" s="52" t="str">
        <f>VLOOKUP(Database[[#This Row],[รหัสหน่วยงาน]],Center[],2,FALSE)</f>
        <v>สำนักงานใหญ่</v>
      </c>
      <c r="L418" s="52">
        <v>1</v>
      </c>
    </row>
    <row r="419" spans="1:12">
      <c r="A419" s="49">
        <v>30</v>
      </c>
      <c r="B419" s="109" t="s">
        <v>181</v>
      </c>
      <c r="C419" s="51" t="s">
        <v>48</v>
      </c>
      <c r="D419" s="55" t="s">
        <v>161</v>
      </c>
      <c r="E419" s="52">
        <v>401012</v>
      </c>
      <c r="F419" s="49" t="str">
        <f>VLOOKUP(Database[[#This Row],[เลขที่บัญชี]],COA[],2,FALSE)</f>
        <v>รายได้ค่าแคดดี้</v>
      </c>
      <c r="H419" s="53">
        <v>310</v>
      </c>
      <c r="I419" s="52" t="str">
        <f>VLOOKUP(Database[[#This Row],[เลขที่บัญชี]],COA[],3,FALSE)</f>
        <v>4</v>
      </c>
      <c r="J419" s="52" t="s">
        <v>129</v>
      </c>
      <c r="K419" s="52" t="str">
        <f>VLOOKUP(Database[[#This Row],[รหัสหน่วยงาน]],Center[],2,FALSE)</f>
        <v>สำนักงานใหญ่</v>
      </c>
      <c r="L419" s="52">
        <v>1</v>
      </c>
    </row>
    <row r="420" spans="1:12">
      <c r="A420" s="49">
        <v>30</v>
      </c>
      <c r="B420" s="109" t="s">
        <v>181</v>
      </c>
      <c r="C420" s="51" t="s">
        <v>48</v>
      </c>
      <c r="D420" s="55" t="s">
        <v>161</v>
      </c>
      <c r="E420" s="52">
        <v>101002</v>
      </c>
      <c r="F420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20" s="53">
        <v>2470</v>
      </c>
      <c r="I420" s="52" t="str">
        <f>VLOOKUP(Database[[#This Row],[เลขที่บัญชี]],COA[],3,FALSE)</f>
        <v>1</v>
      </c>
      <c r="J420" s="52" t="s">
        <v>129</v>
      </c>
      <c r="K420" s="52" t="str">
        <f>VLOOKUP(Database[[#This Row],[รหัสหน่วยงาน]],Center[],2,FALSE)</f>
        <v>สำนักงานใหญ่</v>
      </c>
      <c r="L420" s="52">
        <v>1</v>
      </c>
    </row>
    <row r="421" spans="1:12">
      <c r="A421" s="49">
        <v>30</v>
      </c>
      <c r="B421" s="109" t="s">
        <v>181</v>
      </c>
      <c r="C421" s="51" t="s">
        <v>48</v>
      </c>
      <c r="D421" s="55" t="s">
        <v>161</v>
      </c>
      <c r="E421" s="52">
        <v>101001</v>
      </c>
      <c r="F421" s="49" t="str">
        <f>VLOOKUP(Database[[#This Row],[เลขที่บัญชี]],COA[],2,FALSE)</f>
        <v>เงินสด</v>
      </c>
      <c r="H421" s="53">
        <v>2470</v>
      </c>
      <c r="I421" s="52" t="str">
        <f>VLOOKUP(Database[[#This Row],[เลขที่บัญชี]],COA[],3,FALSE)</f>
        <v>1</v>
      </c>
      <c r="J421" s="52" t="s">
        <v>129</v>
      </c>
      <c r="K421" s="52" t="str">
        <f>VLOOKUP(Database[[#This Row],[รหัสหน่วยงาน]],Center[],2,FALSE)</f>
        <v>สำนักงานใหญ่</v>
      </c>
      <c r="L421" s="52">
        <v>1</v>
      </c>
    </row>
    <row r="422" spans="1:12">
      <c r="A422" s="49">
        <v>30</v>
      </c>
      <c r="B422" s="109" t="s">
        <v>181</v>
      </c>
      <c r="C422" s="51" t="s">
        <v>48</v>
      </c>
      <c r="D422" s="55" t="s">
        <v>161</v>
      </c>
      <c r="E422" s="52">
        <v>101001</v>
      </c>
      <c r="F422" s="49" t="str">
        <f>VLOOKUP(Database[[#This Row],[เลขที่บัญชี]],COA[],2,FALSE)</f>
        <v>เงินสด</v>
      </c>
      <c r="G422" s="53">
        <v>800</v>
      </c>
      <c r="I422" s="52" t="str">
        <f>VLOOKUP(Database[[#This Row],[เลขที่บัญชี]],COA[],3,FALSE)</f>
        <v>1</v>
      </c>
      <c r="J422" s="52" t="s">
        <v>129</v>
      </c>
      <c r="K422" s="52" t="str">
        <f>VLOOKUP(Database[[#This Row],[รหัสหน่วยงาน]],Center[],2,FALSE)</f>
        <v>สำนักงานใหญ่</v>
      </c>
      <c r="L422" s="52">
        <v>1</v>
      </c>
    </row>
    <row r="423" spans="1:12">
      <c r="A423" s="49">
        <v>30</v>
      </c>
      <c r="B423" s="109" t="s">
        <v>181</v>
      </c>
      <c r="C423" s="51" t="s">
        <v>48</v>
      </c>
      <c r="D423" s="55" t="s">
        <v>161</v>
      </c>
      <c r="E423" s="52">
        <v>201002</v>
      </c>
      <c r="F423" s="49" t="str">
        <f>VLOOKUP(Database[[#This Row],[เลขที่บัญชี]],COA[],2,FALSE)</f>
        <v>เงินรับฝาก-สนามไดร์ฟ</v>
      </c>
      <c r="H423" s="53">
        <v>800</v>
      </c>
      <c r="I423" s="52" t="str">
        <f>VLOOKUP(Database[[#This Row],[เลขที่บัญชี]],COA[],3,FALSE)</f>
        <v>2</v>
      </c>
      <c r="J423" s="52" t="s">
        <v>129</v>
      </c>
      <c r="K423" s="52" t="str">
        <f>VLOOKUP(Database[[#This Row],[รหัสหน่วยงาน]],Center[],2,FALSE)</f>
        <v>สำนักงานใหญ่</v>
      </c>
      <c r="L423" s="52">
        <v>1</v>
      </c>
    </row>
    <row r="424" spans="1:12">
      <c r="A424" s="49">
        <v>30</v>
      </c>
      <c r="B424" s="109" t="s">
        <v>181</v>
      </c>
      <c r="C424" s="51" t="s">
        <v>48</v>
      </c>
      <c r="D424" s="55" t="s">
        <v>161</v>
      </c>
      <c r="E424" s="52">
        <v>101002</v>
      </c>
      <c r="F424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24" s="53">
        <v>800</v>
      </c>
      <c r="I424" s="52" t="str">
        <f>VLOOKUP(Database[[#This Row],[เลขที่บัญชี]],COA[],3,FALSE)</f>
        <v>1</v>
      </c>
      <c r="J424" s="52" t="s">
        <v>129</v>
      </c>
      <c r="K424" s="52" t="str">
        <f>VLOOKUP(Database[[#This Row],[รหัสหน่วยงาน]],Center[],2,FALSE)</f>
        <v>สำนักงานใหญ่</v>
      </c>
      <c r="L424" s="52">
        <v>1</v>
      </c>
    </row>
    <row r="425" spans="1:12">
      <c r="A425" s="49">
        <v>30</v>
      </c>
      <c r="B425" s="109" t="s">
        <v>181</v>
      </c>
      <c r="C425" s="51" t="s">
        <v>48</v>
      </c>
      <c r="D425" s="55" t="s">
        <v>161</v>
      </c>
      <c r="E425" s="52">
        <v>101001</v>
      </c>
      <c r="F425" s="49" t="str">
        <f>VLOOKUP(Database[[#This Row],[เลขที่บัญชี]],COA[],2,FALSE)</f>
        <v>เงินสด</v>
      </c>
      <c r="H425" s="53">
        <v>800</v>
      </c>
      <c r="I425" s="52" t="str">
        <f>VLOOKUP(Database[[#This Row],[เลขที่บัญชี]],COA[],3,FALSE)</f>
        <v>1</v>
      </c>
      <c r="J425" s="52" t="s">
        <v>129</v>
      </c>
      <c r="K425" s="52" t="str">
        <f>VLOOKUP(Database[[#This Row],[รหัสหน่วยงาน]],Center[],2,FALSE)</f>
        <v>สำนักงานใหญ่</v>
      </c>
      <c r="L425" s="52">
        <v>1</v>
      </c>
    </row>
    <row r="426" spans="1:12">
      <c r="A426" s="49">
        <v>31</v>
      </c>
      <c r="B426" s="109" t="s">
        <v>182</v>
      </c>
      <c r="C426" s="51" t="s">
        <v>48</v>
      </c>
      <c r="D426" s="55" t="s">
        <v>161</v>
      </c>
      <c r="E426" s="52">
        <v>101001</v>
      </c>
      <c r="F426" s="49" t="str">
        <f>VLOOKUP(Database[[#This Row],[เลขที่บัญชี]],COA[],2,FALSE)</f>
        <v>เงินสด</v>
      </c>
      <c r="G426" s="53">
        <v>2100</v>
      </c>
      <c r="I426" s="52" t="str">
        <f>VLOOKUP(Database[[#This Row],[เลขที่บัญชี]],COA[],3,FALSE)</f>
        <v>1</v>
      </c>
      <c r="J426" s="52" t="s">
        <v>129</v>
      </c>
      <c r="K426" s="52" t="str">
        <f>VLOOKUP(Database[[#This Row],[รหัสหน่วยงาน]],Center[],2,FALSE)</f>
        <v>สำนักงานใหญ่</v>
      </c>
      <c r="L426" s="52">
        <v>1</v>
      </c>
    </row>
    <row r="427" spans="1:12">
      <c r="A427" s="49">
        <v>31</v>
      </c>
      <c r="B427" s="109" t="s">
        <v>182</v>
      </c>
      <c r="C427" s="51" t="s">
        <v>48</v>
      </c>
      <c r="D427" s="55" t="s">
        <v>161</v>
      </c>
      <c r="E427" s="52">
        <v>401003</v>
      </c>
      <c r="F427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427" s="53">
        <v>2100</v>
      </c>
      <c r="I427" s="52" t="str">
        <f>VLOOKUP(Database[[#This Row],[เลขที่บัญชี]],COA[],3,FALSE)</f>
        <v>4</v>
      </c>
      <c r="J427" s="52" t="s">
        <v>129</v>
      </c>
      <c r="K427" s="52" t="str">
        <f>VLOOKUP(Database[[#This Row],[รหัสหน่วยงาน]],Center[],2,FALSE)</f>
        <v>สำนักงานใหญ่</v>
      </c>
      <c r="L427" s="52">
        <v>1</v>
      </c>
    </row>
    <row r="428" spans="1:12">
      <c r="A428" s="49">
        <v>31</v>
      </c>
      <c r="B428" s="109" t="s">
        <v>182</v>
      </c>
      <c r="C428" s="51" t="s">
        <v>48</v>
      </c>
      <c r="D428" s="55" t="s">
        <v>161</v>
      </c>
      <c r="E428" s="52">
        <v>101001</v>
      </c>
      <c r="F428" s="49" t="str">
        <f>VLOOKUP(Database[[#This Row],[เลขที่บัญชี]],COA[],2,FALSE)</f>
        <v>เงินสด</v>
      </c>
      <c r="G428" s="53">
        <v>720</v>
      </c>
      <c r="I428" s="52" t="str">
        <f>VLOOKUP(Database[[#This Row],[เลขที่บัญชี]],COA[],3,FALSE)</f>
        <v>1</v>
      </c>
      <c r="J428" s="52" t="s">
        <v>129</v>
      </c>
      <c r="K428" s="52" t="str">
        <f>VLOOKUP(Database[[#This Row],[รหัสหน่วยงาน]],Center[],2,FALSE)</f>
        <v>สำนักงานใหญ่</v>
      </c>
      <c r="L428" s="52">
        <v>1</v>
      </c>
    </row>
    <row r="429" spans="1:12">
      <c r="A429" s="49">
        <v>31</v>
      </c>
      <c r="B429" s="109" t="s">
        <v>182</v>
      </c>
      <c r="C429" s="51" t="s">
        <v>48</v>
      </c>
      <c r="D429" s="55" t="s">
        <v>161</v>
      </c>
      <c r="E429" s="52">
        <v>401005</v>
      </c>
      <c r="F429" s="49" t="str">
        <f>VLOOKUP(Database[[#This Row],[เลขที่บัญชี]],COA[],2,FALSE)</f>
        <v>รายได้ค่าบริการสนามกอล์ฟ รหัส 05 (บุคคลทั่วไป-วันหยุดราชการ)</v>
      </c>
      <c r="H429" s="53">
        <v>720</v>
      </c>
      <c r="I429" s="52" t="str">
        <f>VLOOKUP(Database[[#This Row],[เลขที่บัญชี]],COA[],3,FALSE)</f>
        <v>4</v>
      </c>
      <c r="J429" s="52" t="s">
        <v>129</v>
      </c>
      <c r="K429" s="52" t="str">
        <f>VLOOKUP(Database[[#This Row],[รหัสหน่วยงาน]],Center[],2,FALSE)</f>
        <v>สำนักงานใหญ่</v>
      </c>
      <c r="L429" s="52">
        <v>1</v>
      </c>
    </row>
    <row r="430" spans="1:12">
      <c r="A430" s="49">
        <v>31</v>
      </c>
      <c r="B430" s="109" t="s">
        <v>182</v>
      </c>
      <c r="C430" s="51" t="s">
        <v>48</v>
      </c>
      <c r="D430" s="55" t="s">
        <v>161</v>
      </c>
      <c r="E430" s="52">
        <v>101001</v>
      </c>
      <c r="F430" s="49" t="str">
        <f>VLOOKUP(Database[[#This Row],[เลขที่บัญชี]],COA[],2,FALSE)</f>
        <v>เงินสด</v>
      </c>
      <c r="G430" s="53">
        <v>50</v>
      </c>
      <c r="I430" s="52" t="str">
        <f>VLOOKUP(Database[[#This Row],[เลขที่บัญชี]],COA[],3,FALSE)</f>
        <v>1</v>
      </c>
      <c r="J430" s="52" t="s">
        <v>129</v>
      </c>
      <c r="K430" s="52" t="str">
        <f>VLOOKUP(Database[[#This Row],[รหัสหน่วยงาน]],Center[],2,FALSE)</f>
        <v>สำนักงานใหญ่</v>
      </c>
      <c r="L430" s="52">
        <v>1</v>
      </c>
    </row>
    <row r="431" spans="1:12">
      <c r="A431" s="49">
        <v>31</v>
      </c>
      <c r="B431" s="109" t="s">
        <v>182</v>
      </c>
      <c r="C431" s="51" t="s">
        <v>48</v>
      </c>
      <c r="D431" s="55" t="s">
        <v>161</v>
      </c>
      <c r="E431" s="52">
        <v>401007</v>
      </c>
      <c r="F431" s="49" t="str">
        <f>VLOOKUP(Database[[#This Row],[เลขที่บัญชี]],COA[],2,FALSE)</f>
        <v>รายได้ค่าบริการสนามกอล์ฟ รหัส 07 (ค่าบริการสนาม-เพิ่มรอบที่ 3)</v>
      </c>
      <c r="H431" s="53">
        <v>50</v>
      </c>
      <c r="I431" s="52" t="str">
        <f>VLOOKUP(Database[[#This Row],[เลขที่บัญชี]],COA[],3,FALSE)</f>
        <v>4</v>
      </c>
      <c r="J431" s="52" t="s">
        <v>129</v>
      </c>
      <c r="K431" s="52" t="str">
        <f>VLOOKUP(Database[[#This Row],[รหัสหน่วยงาน]],Center[],2,FALSE)</f>
        <v>สำนักงานใหญ่</v>
      </c>
      <c r="L431" s="52">
        <v>1</v>
      </c>
    </row>
    <row r="432" spans="1:12">
      <c r="A432" s="49">
        <v>31</v>
      </c>
      <c r="B432" s="109" t="s">
        <v>182</v>
      </c>
      <c r="C432" s="51" t="s">
        <v>48</v>
      </c>
      <c r="D432" s="55" t="s">
        <v>161</v>
      </c>
      <c r="E432" s="52">
        <v>101001</v>
      </c>
      <c r="F432" s="49" t="str">
        <f>VLOOKUP(Database[[#This Row],[เลขที่บัญชี]],COA[],2,FALSE)</f>
        <v>เงินสด</v>
      </c>
      <c r="G432" s="53">
        <v>50</v>
      </c>
      <c r="I432" s="52" t="str">
        <f>VLOOKUP(Database[[#This Row],[เลขที่บัญชี]],COA[],3,FALSE)</f>
        <v>1</v>
      </c>
      <c r="J432" s="52" t="s">
        <v>129</v>
      </c>
      <c r="K432" s="52" t="str">
        <f>VLOOKUP(Database[[#This Row],[รหัสหน่วยงาน]],Center[],2,FALSE)</f>
        <v>สำนักงานใหญ่</v>
      </c>
      <c r="L432" s="52">
        <v>1</v>
      </c>
    </row>
    <row r="433" spans="1:12">
      <c r="A433" s="49">
        <v>31</v>
      </c>
      <c r="B433" s="109" t="s">
        <v>182</v>
      </c>
      <c r="C433" s="51" t="s">
        <v>48</v>
      </c>
      <c r="D433" s="55" t="s">
        <v>161</v>
      </c>
      <c r="E433" s="52">
        <v>401018</v>
      </c>
      <c r="F433" s="49" t="str">
        <f>VLOOKUP(Database[[#This Row],[เลขที่บัญชี]],COA[],2,FALSE)</f>
        <v>ค่าบริการสนามผู้ติดตาม</v>
      </c>
      <c r="H433" s="53">
        <v>50</v>
      </c>
      <c r="I433" s="52" t="str">
        <f>VLOOKUP(Database[[#This Row],[เลขที่บัญชี]],COA[],3,FALSE)</f>
        <v>4</v>
      </c>
      <c r="J433" s="52" t="s">
        <v>129</v>
      </c>
      <c r="K433" s="52" t="str">
        <f>VLOOKUP(Database[[#This Row],[รหัสหน่วยงาน]],Center[],2,FALSE)</f>
        <v>สำนักงานใหญ่</v>
      </c>
      <c r="L433" s="52">
        <v>1</v>
      </c>
    </row>
    <row r="434" spans="1:12">
      <c r="A434" s="49">
        <v>31</v>
      </c>
      <c r="B434" s="109" t="s">
        <v>182</v>
      </c>
      <c r="C434" s="51" t="s">
        <v>48</v>
      </c>
      <c r="D434" s="55" t="s">
        <v>161</v>
      </c>
      <c r="E434" s="52">
        <v>101001</v>
      </c>
      <c r="F434" s="49" t="str">
        <f>VLOOKUP(Database[[#This Row],[เลขที่บัญชี]],COA[],2,FALSE)</f>
        <v>เงินสด</v>
      </c>
      <c r="G434" s="53">
        <v>350</v>
      </c>
      <c r="I434" s="52" t="str">
        <f>VLOOKUP(Database[[#This Row],[เลขที่บัญชี]],COA[],3,FALSE)</f>
        <v>1</v>
      </c>
      <c r="J434" s="52" t="s">
        <v>129</v>
      </c>
      <c r="K434" s="52" t="str">
        <f>VLOOKUP(Database[[#This Row],[รหัสหน่วยงาน]],Center[],2,FALSE)</f>
        <v>สำนักงานใหญ่</v>
      </c>
      <c r="L434" s="52">
        <v>1</v>
      </c>
    </row>
    <row r="435" spans="1:12">
      <c r="A435" s="49">
        <v>31</v>
      </c>
      <c r="B435" s="109" t="s">
        <v>182</v>
      </c>
      <c r="C435" s="51" t="s">
        <v>48</v>
      </c>
      <c r="D435" s="55" t="s">
        <v>161</v>
      </c>
      <c r="E435" s="52">
        <v>401012</v>
      </c>
      <c r="F435" s="49" t="str">
        <f>VLOOKUP(Database[[#This Row],[เลขที่บัญชี]],COA[],2,FALSE)</f>
        <v>รายได้ค่าแคดดี้</v>
      </c>
      <c r="H435" s="53">
        <v>350</v>
      </c>
      <c r="I435" s="52" t="str">
        <f>VLOOKUP(Database[[#This Row],[เลขที่บัญชี]],COA[],3,FALSE)</f>
        <v>4</v>
      </c>
      <c r="J435" s="52" t="s">
        <v>129</v>
      </c>
      <c r="K435" s="52" t="str">
        <f>VLOOKUP(Database[[#This Row],[รหัสหน่วยงาน]],Center[],2,FALSE)</f>
        <v>สำนักงานใหญ่</v>
      </c>
      <c r="L435" s="52">
        <v>1</v>
      </c>
    </row>
    <row r="436" spans="1:12">
      <c r="A436" s="49">
        <v>31</v>
      </c>
      <c r="B436" s="109" t="s">
        <v>182</v>
      </c>
      <c r="C436" s="51" t="s">
        <v>48</v>
      </c>
      <c r="D436" s="55" t="s">
        <v>161</v>
      </c>
      <c r="E436" s="52">
        <v>101002</v>
      </c>
      <c r="F436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36" s="53">
        <v>3270</v>
      </c>
      <c r="I436" s="52" t="str">
        <f>VLOOKUP(Database[[#This Row],[เลขที่บัญชี]],COA[],3,FALSE)</f>
        <v>1</v>
      </c>
      <c r="J436" s="52" t="s">
        <v>129</v>
      </c>
      <c r="K436" s="52" t="str">
        <f>VLOOKUP(Database[[#This Row],[รหัสหน่วยงาน]],Center[],2,FALSE)</f>
        <v>สำนักงานใหญ่</v>
      </c>
      <c r="L436" s="52">
        <v>1</v>
      </c>
    </row>
    <row r="437" spans="1:12">
      <c r="A437" s="49">
        <v>31</v>
      </c>
      <c r="B437" s="109" t="s">
        <v>182</v>
      </c>
      <c r="C437" s="51" t="s">
        <v>48</v>
      </c>
      <c r="D437" s="55" t="s">
        <v>161</v>
      </c>
      <c r="E437" s="52">
        <v>101001</v>
      </c>
      <c r="F437" s="49" t="str">
        <f>VLOOKUP(Database[[#This Row],[เลขที่บัญชี]],COA[],2,FALSE)</f>
        <v>เงินสด</v>
      </c>
      <c r="H437" s="53">
        <v>3270</v>
      </c>
      <c r="I437" s="52" t="str">
        <f>VLOOKUP(Database[[#This Row],[เลขที่บัญชี]],COA[],3,FALSE)</f>
        <v>1</v>
      </c>
      <c r="J437" s="52" t="s">
        <v>129</v>
      </c>
      <c r="K437" s="52" t="str">
        <f>VLOOKUP(Database[[#This Row],[รหัสหน่วยงาน]],Center[],2,FALSE)</f>
        <v>สำนักงานใหญ่</v>
      </c>
      <c r="L437" s="52">
        <v>1</v>
      </c>
    </row>
    <row r="438" spans="1:12">
      <c r="A438" s="49">
        <v>32</v>
      </c>
      <c r="B438" s="109" t="s">
        <v>183</v>
      </c>
      <c r="C438" s="51" t="s">
        <v>48</v>
      </c>
      <c r="D438" s="55" t="s">
        <v>161</v>
      </c>
      <c r="E438" s="52">
        <v>101001</v>
      </c>
      <c r="F438" s="49" t="str">
        <f>VLOOKUP(Database[[#This Row],[เลขที่บัญชี]],COA[],2,FALSE)</f>
        <v>เงินสด</v>
      </c>
      <c r="G438" s="53">
        <v>2800</v>
      </c>
      <c r="I438" s="52" t="str">
        <f>VLOOKUP(Database[[#This Row],[เลขที่บัญชี]],COA[],3,FALSE)</f>
        <v>1</v>
      </c>
      <c r="J438" s="52" t="s">
        <v>129</v>
      </c>
      <c r="K438" s="52" t="str">
        <f>VLOOKUP(Database[[#This Row],[รหัสหน่วยงาน]],Center[],2,FALSE)</f>
        <v>สำนักงานใหญ่</v>
      </c>
      <c r="L438" s="52">
        <v>1</v>
      </c>
    </row>
    <row r="439" spans="1:12">
      <c r="A439" s="49">
        <v>32</v>
      </c>
      <c r="B439" s="109" t="s">
        <v>183</v>
      </c>
      <c r="C439" s="51" t="s">
        <v>48</v>
      </c>
      <c r="D439" s="55" t="s">
        <v>161</v>
      </c>
      <c r="E439" s="52">
        <v>401003</v>
      </c>
      <c r="F439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439" s="53">
        <v>2800</v>
      </c>
      <c r="I439" s="52" t="str">
        <f>VLOOKUP(Database[[#This Row],[เลขที่บัญชี]],COA[],3,FALSE)</f>
        <v>4</v>
      </c>
      <c r="J439" s="52" t="s">
        <v>129</v>
      </c>
      <c r="K439" s="52" t="str">
        <f>VLOOKUP(Database[[#This Row],[รหัสหน่วยงาน]],Center[],2,FALSE)</f>
        <v>สำนักงานใหญ่</v>
      </c>
      <c r="L439" s="52">
        <v>1</v>
      </c>
    </row>
    <row r="440" spans="1:12">
      <c r="A440" s="49">
        <v>32</v>
      </c>
      <c r="B440" s="109" t="s">
        <v>183</v>
      </c>
      <c r="C440" s="51" t="s">
        <v>48</v>
      </c>
      <c r="D440" s="55" t="s">
        <v>161</v>
      </c>
      <c r="E440" s="52">
        <v>101001</v>
      </c>
      <c r="F440" s="49" t="str">
        <f>VLOOKUP(Database[[#This Row],[เลขที่บัญชี]],COA[],2,FALSE)</f>
        <v>เงินสด</v>
      </c>
      <c r="G440" s="53">
        <v>3360</v>
      </c>
      <c r="I440" s="52" t="str">
        <f>VLOOKUP(Database[[#This Row],[เลขที่บัญชี]],COA[],3,FALSE)</f>
        <v>1</v>
      </c>
      <c r="J440" s="52" t="s">
        <v>129</v>
      </c>
      <c r="K440" s="52" t="str">
        <f>VLOOKUP(Database[[#This Row],[รหัสหน่วยงาน]],Center[],2,FALSE)</f>
        <v>สำนักงานใหญ่</v>
      </c>
      <c r="L440" s="52">
        <v>1</v>
      </c>
    </row>
    <row r="441" spans="1:12">
      <c r="A441" s="49">
        <v>32</v>
      </c>
      <c r="B441" s="109" t="s">
        <v>183</v>
      </c>
      <c r="C441" s="51" t="s">
        <v>48</v>
      </c>
      <c r="D441" s="55" t="s">
        <v>161</v>
      </c>
      <c r="E441" s="52">
        <v>401005</v>
      </c>
      <c r="F441" s="49" t="str">
        <f>VLOOKUP(Database[[#This Row],[เลขที่บัญชี]],COA[],2,FALSE)</f>
        <v>รายได้ค่าบริการสนามกอล์ฟ รหัส 05 (บุคคลทั่วไป-วันหยุดราชการ)</v>
      </c>
      <c r="H441" s="53">
        <v>3360</v>
      </c>
      <c r="I441" s="52" t="str">
        <f>VLOOKUP(Database[[#This Row],[เลขที่บัญชี]],COA[],3,FALSE)</f>
        <v>4</v>
      </c>
      <c r="J441" s="52" t="s">
        <v>129</v>
      </c>
      <c r="K441" s="52" t="str">
        <f>VLOOKUP(Database[[#This Row],[รหัสหน่วยงาน]],Center[],2,FALSE)</f>
        <v>สำนักงานใหญ่</v>
      </c>
      <c r="L441" s="52">
        <v>1</v>
      </c>
    </row>
    <row r="442" spans="1:12">
      <c r="A442" s="49">
        <v>32</v>
      </c>
      <c r="B442" s="109" t="s">
        <v>183</v>
      </c>
      <c r="C442" s="51" t="s">
        <v>48</v>
      </c>
      <c r="D442" s="55" t="s">
        <v>161</v>
      </c>
      <c r="E442" s="52">
        <v>101001</v>
      </c>
      <c r="F442" s="49" t="str">
        <f>VLOOKUP(Database[[#This Row],[เลขที่บัญชี]],COA[],2,FALSE)</f>
        <v>เงินสด</v>
      </c>
      <c r="G442" s="53">
        <v>100</v>
      </c>
      <c r="I442" s="52" t="str">
        <f>VLOOKUP(Database[[#This Row],[เลขที่บัญชี]],COA[],3,FALSE)</f>
        <v>1</v>
      </c>
      <c r="J442" s="52" t="s">
        <v>129</v>
      </c>
      <c r="K442" s="52" t="str">
        <f>VLOOKUP(Database[[#This Row],[รหัสหน่วยงาน]],Center[],2,FALSE)</f>
        <v>สำนักงานใหญ่</v>
      </c>
      <c r="L442" s="52">
        <v>1</v>
      </c>
    </row>
    <row r="443" spans="1:12">
      <c r="A443" s="49">
        <v>32</v>
      </c>
      <c r="B443" s="109" t="s">
        <v>183</v>
      </c>
      <c r="C443" s="51" t="s">
        <v>48</v>
      </c>
      <c r="D443" s="55" t="s">
        <v>161</v>
      </c>
      <c r="E443" s="52">
        <v>401018</v>
      </c>
      <c r="F443" s="49" t="str">
        <f>VLOOKUP(Database[[#This Row],[เลขที่บัญชี]],COA[],2,FALSE)</f>
        <v>ค่าบริการสนามผู้ติดตาม</v>
      </c>
      <c r="H443" s="53">
        <v>100</v>
      </c>
      <c r="I443" s="52" t="str">
        <f>VLOOKUP(Database[[#This Row],[เลขที่บัญชี]],COA[],3,FALSE)</f>
        <v>4</v>
      </c>
      <c r="J443" s="52" t="s">
        <v>129</v>
      </c>
      <c r="K443" s="52" t="str">
        <f>VLOOKUP(Database[[#This Row],[รหัสหน่วยงาน]],Center[],2,FALSE)</f>
        <v>สำนักงานใหญ่</v>
      </c>
      <c r="L443" s="52">
        <v>1</v>
      </c>
    </row>
    <row r="444" spans="1:12">
      <c r="A444" s="49">
        <v>32</v>
      </c>
      <c r="B444" s="109" t="s">
        <v>183</v>
      </c>
      <c r="C444" s="51" t="s">
        <v>48</v>
      </c>
      <c r="D444" s="55" t="s">
        <v>161</v>
      </c>
      <c r="E444" s="52">
        <v>101001</v>
      </c>
      <c r="F444" s="49" t="str">
        <f>VLOOKUP(Database[[#This Row],[เลขที่บัญชี]],COA[],2,FALSE)</f>
        <v>เงินสด</v>
      </c>
      <c r="G444" s="53">
        <v>330</v>
      </c>
      <c r="I444" s="52" t="str">
        <f>VLOOKUP(Database[[#This Row],[เลขที่บัญชี]],COA[],3,FALSE)</f>
        <v>1</v>
      </c>
      <c r="J444" s="52" t="s">
        <v>129</v>
      </c>
      <c r="K444" s="52" t="str">
        <f>VLOOKUP(Database[[#This Row],[รหัสหน่วยงาน]],Center[],2,FALSE)</f>
        <v>สำนักงานใหญ่</v>
      </c>
      <c r="L444" s="52">
        <v>1</v>
      </c>
    </row>
    <row r="445" spans="1:12">
      <c r="A445" s="49">
        <v>32</v>
      </c>
      <c r="B445" s="109" t="s">
        <v>183</v>
      </c>
      <c r="C445" s="51" t="s">
        <v>48</v>
      </c>
      <c r="D445" s="55" t="s">
        <v>161</v>
      </c>
      <c r="E445" s="52">
        <v>401012</v>
      </c>
      <c r="F445" s="49" t="str">
        <f>VLOOKUP(Database[[#This Row],[เลขที่บัญชี]],COA[],2,FALSE)</f>
        <v>รายได้ค่าแคดดี้</v>
      </c>
      <c r="H445" s="53">
        <v>330</v>
      </c>
      <c r="I445" s="52" t="str">
        <f>VLOOKUP(Database[[#This Row],[เลขที่บัญชี]],COA[],3,FALSE)</f>
        <v>4</v>
      </c>
      <c r="J445" s="52" t="s">
        <v>129</v>
      </c>
      <c r="K445" s="52" t="str">
        <f>VLOOKUP(Database[[#This Row],[รหัสหน่วยงาน]],Center[],2,FALSE)</f>
        <v>สำนักงานใหญ่</v>
      </c>
      <c r="L445" s="52">
        <v>1</v>
      </c>
    </row>
    <row r="446" spans="1:12">
      <c r="A446" s="49">
        <v>32</v>
      </c>
      <c r="B446" s="109" t="s">
        <v>183</v>
      </c>
      <c r="C446" s="51" t="s">
        <v>48</v>
      </c>
      <c r="D446" s="55" t="s">
        <v>161</v>
      </c>
      <c r="E446" s="52">
        <v>101002</v>
      </c>
      <c r="F446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46" s="53">
        <v>6590</v>
      </c>
      <c r="I446" s="52" t="str">
        <f>VLOOKUP(Database[[#This Row],[เลขที่บัญชี]],COA[],3,FALSE)</f>
        <v>1</v>
      </c>
      <c r="J446" s="52" t="s">
        <v>129</v>
      </c>
      <c r="K446" s="52" t="str">
        <f>VLOOKUP(Database[[#This Row],[รหัสหน่วยงาน]],Center[],2,FALSE)</f>
        <v>สำนักงานใหญ่</v>
      </c>
      <c r="L446" s="52">
        <v>1</v>
      </c>
    </row>
    <row r="447" spans="1:12">
      <c r="A447" s="49">
        <v>32</v>
      </c>
      <c r="B447" s="109" t="s">
        <v>183</v>
      </c>
      <c r="C447" s="51" t="s">
        <v>48</v>
      </c>
      <c r="D447" s="55" t="s">
        <v>161</v>
      </c>
      <c r="E447" s="52">
        <v>101001</v>
      </c>
      <c r="F447" s="49" t="str">
        <f>VLOOKUP(Database[[#This Row],[เลขที่บัญชี]],COA[],2,FALSE)</f>
        <v>เงินสด</v>
      </c>
      <c r="H447" s="53">
        <v>6590</v>
      </c>
      <c r="I447" s="52" t="str">
        <f>VLOOKUP(Database[[#This Row],[เลขที่บัญชี]],COA[],3,FALSE)</f>
        <v>1</v>
      </c>
      <c r="J447" s="52" t="s">
        <v>129</v>
      </c>
      <c r="K447" s="52" t="str">
        <f>VLOOKUP(Database[[#This Row],[รหัสหน่วยงาน]],Center[],2,FALSE)</f>
        <v>สำนักงานใหญ่</v>
      </c>
      <c r="L447" s="52">
        <v>1</v>
      </c>
    </row>
    <row r="448" spans="1:12">
      <c r="A448" s="49">
        <v>33</v>
      </c>
      <c r="B448" s="109" t="s">
        <v>184</v>
      </c>
      <c r="C448" s="51" t="s">
        <v>185</v>
      </c>
      <c r="D448" s="55" t="s">
        <v>186</v>
      </c>
      <c r="E448" s="52">
        <v>501025</v>
      </c>
      <c r="F448" s="49" t="str">
        <f>VLOOKUP(Database[[#This Row],[เลขที่บัญชี]],COA[],2,FALSE)</f>
        <v>นำส่งเงินสนามกอล์ฟภูกระแตเข้าเป็นเงินรายได้คณะเทคโนโลยีอุตสาหกรรม</v>
      </c>
      <c r="G448" s="53">
        <v>407022.3</v>
      </c>
      <c r="I448" s="52" t="str">
        <f>VLOOKUP(Database[[#This Row],[เลขที่บัญชี]],COA[],3,FALSE)</f>
        <v>5</v>
      </c>
      <c r="J448" s="52" t="s">
        <v>129</v>
      </c>
      <c r="K448" s="52" t="str">
        <f>VLOOKUP(Database[[#This Row],[รหัสหน่วยงาน]],Center[],2,FALSE)</f>
        <v>สำนักงานใหญ่</v>
      </c>
      <c r="L448" s="52">
        <v>1</v>
      </c>
    </row>
    <row r="449" spans="1:12">
      <c r="A449" s="49">
        <v>33</v>
      </c>
      <c r="B449" s="109" t="s">
        <v>184</v>
      </c>
      <c r="C449" s="51" t="s">
        <v>185</v>
      </c>
      <c r="D449" s="55" t="s">
        <v>186</v>
      </c>
      <c r="E449" s="52">
        <v>101002</v>
      </c>
      <c r="F449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H449" s="53">
        <v>407022.3</v>
      </c>
      <c r="I449" s="52" t="str">
        <f>VLOOKUP(Database[[#This Row],[เลขที่บัญชี]],COA[],3,FALSE)</f>
        <v>1</v>
      </c>
      <c r="J449" s="52" t="s">
        <v>129</v>
      </c>
      <c r="K449" s="52" t="str">
        <f>VLOOKUP(Database[[#This Row],[รหัสหน่วยงาน]],Center[],2,FALSE)</f>
        <v>สำนักงานใหญ่</v>
      </c>
      <c r="L449" s="52">
        <v>1</v>
      </c>
    </row>
    <row r="450" spans="1:12">
      <c r="A450" s="49">
        <v>34</v>
      </c>
      <c r="B450" s="109" t="s">
        <v>184</v>
      </c>
      <c r="C450" s="51" t="s">
        <v>48</v>
      </c>
      <c r="D450" s="55" t="s">
        <v>161</v>
      </c>
      <c r="E450" s="52">
        <v>101001</v>
      </c>
      <c r="F450" s="49" t="str">
        <f>VLOOKUP(Database[[#This Row],[เลขที่บัญชี]],COA[],2,FALSE)</f>
        <v>เงินสด</v>
      </c>
      <c r="G450" s="53">
        <v>1400</v>
      </c>
      <c r="I450" s="52" t="str">
        <f>VLOOKUP(Database[[#This Row],[เลขที่บัญชี]],COA[],3,FALSE)</f>
        <v>1</v>
      </c>
      <c r="J450" s="52" t="s">
        <v>129</v>
      </c>
      <c r="K450" s="52" t="str">
        <f>VLOOKUP(Database[[#This Row],[รหัสหน่วยงาน]],Center[],2,FALSE)</f>
        <v>สำนักงานใหญ่</v>
      </c>
      <c r="L450" s="52">
        <v>1</v>
      </c>
    </row>
    <row r="451" spans="1:12">
      <c r="A451" s="49">
        <v>34</v>
      </c>
      <c r="B451" s="109" t="s">
        <v>184</v>
      </c>
      <c r="C451" s="51" t="s">
        <v>48</v>
      </c>
      <c r="D451" s="55" t="s">
        <v>161</v>
      </c>
      <c r="E451" s="52">
        <v>401003</v>
      </c>
      <c r="F451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451" s="53">
        <v>1400</v>
      </c>
      <c r="I451" s="52" t="str">
        <f>VLOOKUP(Database[[#This Row],[เลขที่บัญชี]],COA[],3,FALSE)</f>
        <v>4</v>
      </c>
      <c r="J451" s="52" t="s">
        <v>129</v>
      </c>
      <c r="K451" s="52" t="str">
        <f>VLOOKUP(Database[[#This Row],[รหัสหน่วยงาน]],Center[],2,FALSE)</f>
        <v>สำนักงานใหญ่</v>
      </c>
      <c r="L451" s="52">
        <v>1</v>
      </c>
    </row>
    <row r="452" spans="1:12">
      <c r="A452" s="49">
        <v>34</v>
      </c>
      <c r="B452" s="109" t="s">
        <v>184</v>
      </c>
      <c r="C452" s="51" t="s">
        <v>48</v>
      </c>
      <c r="D452" s="55" t="s">
        <v>161</v>
      </c>
      <c r="E452" s="52">
        <v>101001</v>
      </c>
      <c r="F452" s="49" t="str">
        <f>VLOOKUP(Database[[#This Row],[เลขที่บัญชี]],COA[],2,FALSE)</f>
        <v>เงินสด</v>
      </c>
      <c r="G452" s="53">
        <v>280</v>
      </c>
      <c r="I452" s="52" t="str">
        <f>VLOOKUP(Database[[#This Row],[เลขที่บัญชี]],COA[],3,FALSE)</f>
        <v>1</v>
      </c>
      <c r="J452" s="52" t="s">
        <v>129</v>
      </c>
      <c r="K452" s="52" t="str">
        <f>VLOOKUP(Database[[#This Row],[รหัสหน่วยงาน]],Center[],2,FALSE)</f>
        <v>สำนักงานใหญ่</v>
      </c>
      <c r="L452" s="52">
        <v>1</v>
      </c>
    </row>
    <row r="453" spans="1:12">
      <c r="A453" s="49">
        <v>34</v>
      </c>
      <c r="B453" s="109" t="s">
        <v>184</v>
      </c>
      <c r="C453" s="51" t="s">
        <v>48</v>
      </c>
      <c r="D453" s="55" t="s">
        <v>161</v>
      </c>
      <c r="E453" s="52">
        <v>401012</v>
      </c>
      <c r="F453" s="49" t="str">
        <f>VLOOKUP(Database[[#This Row],[เลขที่บัญชี]],COA[],2,FALSE)</f>
        <v>รายได้ค่าแคดดี้</v>
      </c>
      <c r="H453" s="53">
        <v>280</v>
      </c>
      <c r="I453" s="52" t="str">
        <f>VLOOKUP(Database[[#This Row],[เลขที่บัญชี]],COA[],3,FALSE)</f>
        <v>4</v>
      </c>
      <c r="J453" s="52" t="s">
        <v>129</v>
      </c>
      <c r="K453" s="52" t="str">
        <f>VLOOKUP(Database[[#This Row],[รหัสหน่วยงาน]],Center[],2,FALSE)</f>
        <v>สำนักงานใหญ่</v>
      </c>
      <c r="L453" s="52">
        <v>1</v>
      </c>
    </row>
    <row r="454" spans="1:12">
      <c r="A454" s="49">
        <v>34</v>
      </c>
      <c r="B454" s="109" t="s">
        <v>184</v>
      </c>
      <c r="C454" s="51" t="s">
        <v>48</v>
      </c>
      <c r="D454" s="55" t="s">
        <v>161</v>
      </c>
      <c r="E454" s="52">
        <v>101002</v>
      </c>
      <c r="F454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54" s="53">
        <v>1680</v>
      </c>
      <c r="I454" s="52" t="str">
        <f>VLOOKUP(Database[[#This Row],[เลขที่บัญชี]],COA[],3,FALSE)</f>
        <v>1</v>
      </c>
      <c r="J454" s="52" t="s">
        <v>129</v>
      </c>
      <c r="K454" s="52" t="str">
        <f>VLOOKUP(Database[[#This Row],[รหัสหน่วยงาน]],Center[],2,FALSE)</f>
        <v>สำนักงานใหญ่</v>
      </c>
      <c r="L454" s="52">
        <v>1</v>
      </c>
    </row>
    <row r="455" spans="1:12">
      <c r="A455" s="49">
        <v>34</v>
      </c>
      <c r="B455" s="109" t="s">
        <v>184</v>
      </c>
      <c r="C455" s="51" t="s">
        <v>48</v>
      </c>
      <c r="D455" s="55" t="s">
        <v>161</v>
      </c>
      <c r="E455" s="52">
        <v>101001</v>
      </c>
      <c r="F455" s="49" t="str">
        <f>VLOOKUP(Database[[#This Row],[เลขที่บัญชี]],COA[],2,FALSE)</f>
        <v>เงินสด</v>
      </c>
      <c r="H455" s="53">
        <v>1680</v>
      </c>
      <c r="I455" s="52" t="str">
        <f>VLOOKUP(Database[[#This Row],[เลขที่บัญชี]],COA[],3,FALSE)</f>
        <v>1</v>
      </c>
      <c r="J455" s="52" t="s">
        <v>129</v>
      </c>
      <c r="K455" s="52" t="str">
        <f>VLOOKUP(Database[[#This Row],[รหัสหน่วยงาน]],Center[],2,FALSE)</f>
        <v>สำนักงานใหญ่</v>
      </c>
      <c r="L455" s="52">
        <v>1</v>
      </c>
    </row>
    <row r="456" spans="1:12">
      <c r="A456" s="49">
        <v>34</v>
      </c>
      <c r="B456" s="109" t="s">
        <v>184</v>
      </c>
      <c r="C456" s="51" t="s">
        <v>48</v>
      </c>
      <c r="D456" s="55" t="s">
        <v>161</v>
      </c>
      <c r="E456" s="52">
        <v>101001</v>
      </c>
      <c r="F456" s="49" t="str">
        <f>VLOOKUP(Database[[#This Row],[เลขที่บัญชี]],COA[],2,FALSE)</f>
        <v>เงินสด</v>
      </c>
      <c r="G456" s="53">
        <v>1600</v>
      </c>
      <c r="I456" s="52" t="str">
        <f>VLOOKUP(Database[[#This Row],[เลขที่บัญชี]],COA[],3,FALSE)</f>
        <v>1</v>
      </c>
      <c r="J456" s="52" t="s">
        <v>129</v>
      </c>
      <c r="K456" s="52" t="str">
        <f>VLOOKUP(Database[[#This Row],[รหัสหน่วยงาน]],Center[],2,FALSE)</f>
        <v>สำนักงานใหญ่</v>
      </c>
      <c r="L456" s="52">
        <v>1</v>
      </c>
    </row>
    <row r="457" spans="1:12">
      <c r="A457" s="49">
        <v>34</v>
      </c>
      <c r="B457" s="109" t="s">
        <v>184</v>
      </c>
      <c r="C457" s="51" t="s">
        <v>48</v>
      </c>
      <c r="D457" s="55" t="s">
        <v>161</v>
      </c>
      <c r="E457" s="52">
        <v>401003</v>
      </c>
      <c r="F457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457" s="53">
        <v>1600</v>
      </c>
      <c r="I457" s="52" t="str">
        <f>VLOOKUP(Database[[#This Row],[เลขที่บัญชี]],COA[],3,FALSE)</f>
        <v>4</v>
      </c>
      <c r="J457" s="52" t="s">
        <v>129</v>
      </c>
      <c r="K457" s="52" t="str">
        <f>VLOOKUP(Database[[#This Row],[รหัสหน่วยงาน]],Center[],2,FALSE)</f>
        <v>สำนักงานใหญ่</v>
      </c>
      <c r="L457" s="52">
        <v>1</v>
      </c>
    </row>
    <row r="458" spans="1:12">
      <c r="A458" s="49">
        <v>34</v>
      </c>
      <c r="B458" s="109" t="s">
        <v>184</v>
      </c>
      <c r="C458" s="51" t="s">
        <v>48</v>
      </c>
      <c r="D458" s="55" t="s">
        <v>161</v>
      </c>
      <c r="E458" s="52">
        <v>101001</v>
      </c>
      <c r="F458" s="49" t="str">
        <f>VLOOKUP(Database[[#This Row],[เลขที่บัญชี]],COA[],2,FALSE)</f>
        <v>เงินสด</v>
      </c>
      <c r="G458" s="53">
        <v>720</v>
      </c>
      <c r="I458" s="52" t="str">
        <f>VLOOKUP(Database[[#This Row],[เลขที่บัญชี]],COA[],3,FALSE)</f>
        <v>1</v>
      </c>
      <c r="J458" s="52" t="s">
        <v>129</v>
      </c>
      <c r="K458" s="52" t="str">
        <f>VLOOKUP(Database[[#This Row],[รหัสหน่วยงาน]],Center[],2,FALSE)</f>
        <v>สำนักงานใหญ่</v>
      </c>
      <c r="L458" s="52">
        <v>1</v>
      </c>
    </row>
    <row r="459" spans="1:12">
      <c r="A459" s="49">
        <v>34</v>
      </c>
      <c r="B459" s="109" t="s">
        <v>184</v>
      </c>
      <c r="C459" s="51" t="s">
        <v>48</v>
      </c>
      <c r="D459" s="55" t="s">
        <v>161</v>
      </c>
      <c r="E459" s="52">
        <v>401004</v>
      </c>
      <c r="F459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459" s="53">
        <v>720</v>
      </c>
      <c r="I459" s="52" t="str">
        <f>VLOOKUP(Database[[#This Row],[เลขที่บัญชี]],COA[],3,FALSE)</f>
        <v>4</v>
      </c>
      <c r="J459" s="52" t="s">
        <v>129</v>
      </c>
      <c r="K459" s="52" t="str">
        <f>VLOOKUP(Database[[#This Row],[รหัสหน่วยงาน]],Center[],2,FALSE)</f>
        <v>สำนักงานใหญ่</v>
      </c>
      <c r="L459" s="52">
        <v>1</v>
      </c>
    </row>
    <row r="460" spans="1:12">
      <c r="A460" s="49">
        <v>34</v>
      </c>
      <c r="B460" s="109" t="s">
        <v>184</v>
      </c>
      <c r="C460" s="51" t="s">
        <v>48</v>
      </c>
      <c r="D460" s="55" t="s">
        <v>161</v>
      </c>
      <c r="E460" s="52">
        <v>101001</v>
      </c>
      <c r="F460" s="49" t="str">
        <f>VLOOKUP(Database[[#This Row],[เลขที่บัญชี]],COA[],2,FALSE)</f>
        <v>เงินสด</v>
      </c>
      <c r="G460" s="53">
        <v>360</v>
      </c>
      <c r="I460" s="52" t="str">
        <f>VLOOKUP(Database[[#This Row],[เลขที่บัญชี]],COA[],3,FALSE)</f>
        <v>1</v>
      </c>
      <c r="J460" s="52" t="s">
        <v>129</v>
      </c>
      <c r="K460" s="52" t="str">
        <f>VLOOKUP(Database[[#This Row],[รหัสหน่วยงาน]],Center[],2,FALSE)</f>
        <v>สำนักงานใหญ่</v>
      </c>
      <c r="L460" s="52">
        <v>1</v>
      </c>
    </row>
    <row r="461" spans="1:12">
      <c r="A461" s="49">
        <v>34</v>
      </c>
      <c r="B461" s="109" t="s">
        <v>184</v>
      </c>
      <c r="C461" s="51" t="s">
        <v>48</v>
      </c>
      <c r="D461" s="55" t="s">
        <v>161</v>
      </c>
      <c r="E461" s="52">
        <v>401012</v>
      </c>
      <c r="F461" s="49" t="str">
        <f>VLOOKUP(Database[[#This Row],[เลขที่บัญชี]],COA[],2,FALSE)</f>
        <v>รายได้ค่าแคดดี้</v>
      </c>
      <c r="H461" s="53">
        <v>360</v>
      </c>
      <c r="I461" s="52" t="str">
        <f>VLOOKUP(Database[[#This Row],[เลขที่บัญชี]],COA[],3,FALSE)</f>
        <v>4</v>
      </c>
      <c r="J461" s="52" t="s">
        <v>129</v>
      </c>
      <c r="K461" s="52" t="str">
        <f>VLOOKUP(Database[[#This Row],[รหัสหน่วยงาน]],Center[],2,FALSE)</f>
        <v>สำนักงานใหญ่</v>
      </c>
      <c r="L461" s="52">
        <v>1</v>
      </c>
    </row>
    <row r="462" spans="1:12">
      <c r="A462" s="49">
        <v>34</v>
      </c>
      <c r="B462" s="109" t="s">
        <v>184</v>
      </c>
      <c r="C462" s="51" t="s">
        <v>48</v>
      </c>
      <c r="D462" s="55" t="s">
        <v>161</v>
      </c>
      <c r="E462" s="52">
        <v>101002</v>
      </c>
      <c r="F462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62" s="53">
        <v>2680</v>
      </c>
      <c r="I462" s="52" t="str">
        <f>VLOOKUP(Database[[#This Row],[เลขที่บัญชี]],COA[],3,FALSE)</f>
        <v>1</v>
      </c>
      <c r="J462" s="52" t="s">
        <v>129</v>
      </c>
      <c r="K462" s="52" t="str">
        <f>VLOOKUP(Database[[#This Row],[รหัสหน่วยงาน]],Center[],2,FALSE)</f>
        <v>สำนักงานใหญ่</v>
      </c>
      <c r="L462" s="52">
        <v>1</v>
      </c>
    </row>
    <row r="463" spans="1:12">
      <c r="A463" s="49">
        <v>34</v>
      </c>
      <c r="B463" s="109" t="s">
        <v>184</v>
      </c>
      <c r="C463" s="51" t="s">
        <v>48</v>
      </c>
      <c r="D463" s="55" t="s">
        <v>161</v>
      </c>
      <c r="E463" s="52">
        <v>101001</v>
      </c>
      <c r="F463" s="49" t="str">
        <f>VLOOKUP(Database[[#This Row],[เลขที่บัญชี]],COA[],2,FALSE)</f>
        <v>เงินสด</v>
      </c>
      <c r="H463" s="53">
        <v>2680</v>
      </c>
      <c r="I463" s="52" t="str">
        <f>VLOOKUP(Database[[#This Row],[เลขที่บัญชี]],COA[],3,FALSE)</f>
        <v>1</v>
      </c>
      <c r="J463" s="52" t="s">
        <v>129</v>
      </c>
      <c r="K463" s="52" t="str">
        <f>VLOOKUP(Database[[#This Row],[รหัสหน่วยงาน]],Center[],2,FALSE)</f>
        <v>สำนักงานใหญ่</v>
      </c>
      <c r="L463" s="52">
        <v>1</v>
      </c>
    </row>
    <row r="464" spans="1:12">
      <c r="A464" s="49">
        <v>34</v>
      </c>
      <c r="B464" s="109" t="s">
        <v>184</v>
      </c>
      <c r="C464" s="51" t="s">
        <v>48</v>
      </c>
      <c r="D464" s="55" t="s">
        <v>161</v>
      </c>
      <c r="E464" s="52">
        <v>101001</v>
      </c>
      <c r="F464" s="49" t="str">
        <f>VLOOKUP(Database[[#This Row],[เลขที่บัญชี]],COA[],2,FALSE)</f>
        <v>เงินสด</v>
      </c>
      <c r="G464" s="53">
        <v>400</v>
      </c>
      <c r="I464" s="52" t="str">
        <f>VLOOKUP(Database[[#This Row],[เลขที่บัญชี]],COA[],3,FALSE)</f>
        <v>1</v>
      </c>
      <c r="J464" s="52" t="s">
        <v>129</v>
      </c>
      <c r="K464" s="52" t="str">
        <f>VLOOKUP(Database[[#This Row],[รหัสหน่วยงาน]],Center[],2,FALSE)</f>
        <v>สำนักงานใหญ่</v>
      </c>
      <c r="L464" s="52">
        <v>1</v>
      </c>
    </row>
    <row r="465" spans="1:12">
      <c r="A465" s="49">
        <v>34</v>
      </c>
      <c r="B465" s="109" t="s">
        <v>184</v>
      </c>
      <c r="C465" s="51" t="s">
        <v>48</v>
      </c>
      <c r="D465" s="55" t="s">
        <v>161</v>
      </c>
      <c r="E465" s="52">
        <v>201002</v>
      </c>
      <c r="F465" s="49" t="str">
        <f>VLOOKUP(Database[[#This Row],[เลขที่บัญชี]],COA[],2,FALSE)</f>
        <v>เงินรับฝาก-สนามไดร์ฟ</v>
      </c>
      <c r="H465" s="53">
        <v>400</v>
      </c>
      <c r="I465" s="52" t="str">
        <f>VLOOKUP(Database[[#This Row],[เลขที่บัญชี]],COA[],3,FALSE)</f>
        <v>2</v>
      </c>
      <c r="J465" s="52" t="s">
        <v>129</v>
      </c>
      <c r="K465" s="52" t="str">
        <f>VLOOKUP(Database[[#This Row],[รหัสหน่วยงาน]],Center[],2,FALSE)</f>
        <v>สำนักงานใหญ่</v>
      </c>
      <c r="L465" s="52">
        <v>1</v>
      </c>
    </row>
    <row r="466" spans="1:12">
      <c r="A466" s="49">
        <v>34</v>
      </c>
      <c r="B466" s="109" t="s">
        <v>184</v>
      </c>
      <c r="C466" s="51" t="s">
        <v>48</v>
      </c>
      <c r="D466" s="55" t="s">
        <v>161</v>
      </c>
      <c r="E466" s="52">
        <v>101002</v>
      </c>
      <c r="F466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66" s="53">
        <v>400</v>
      </c>
      <c r="I466" s="52" t="str">
        <f>VLOOKUP(Database[[#This Row],[เลขที่บัญชี]],COA[],3,FALSE)</f>
        <v>1</v>
      </c>
      <c r="J466" s="52" t="s">
        <v>129</v>
      </c>
      <c r="K466" s="52" t="str">
        <f>VLOOKUP(Database[[#This Row],[รหัสหน่วยงาน]],Center[],2,FALSE)</f>
        <v>สำนักงานใหญ่</v>
      </c>
      <c r="L466" s="52">
        <v>1</v>
      </c>
    </row>
    <row r="467" spans="1:12">
      <c r="A467" s="49">
        <v>34</v>
      </c>
      <c r="B467" s="109" t="s">
        <v>184</v>
      </c>
      <c r="C467" s="51" t="s">
        <v>48</v>
      </c>
      <c r="D467" s="55" t="s">
        <v>161</v>
      </c>
      <c r="E467" s="52">
        <v>101001</v>
      </c>
      <c r="F467" s="49" t="str">
        <f>VLOOKUP(Database[[#This Row],[เลขที่บัญชี]],COA[],2,FALSE)</f>
        <v>เงินสด</v>
      </c>
      <c r="H467" s="53">
        <v>400</v>
      </c>
      <c r="I467" s="52" t="str">
        <f>VLOOKUP(Database[[#This Row],[เลขที่บัญชี]],COA[],3,FALSE)</f>
        <v>1</v>
      </c>
      <c r="J467" s="52" t="s">
        <v>129</v>
      </c>
      <c r="K467" s="52" t="str">
        <f>VLOOKUP(Database[[#This Row],[รหัสหน่วยงาน]],Center[],2,FALSE)</f>
        <v>สำนักงานใหญ่</v>
      </c>
      <c r="L467" s="52">
        <v>1</v>
      </c>
    </row>
    <row r="468" spans="1:12">
      <c r="A468" s="49">
        <v>35</v>
      </c>
      <c r="B468" s="109" t="s">
        <v>187</v>
      </c>
      <c r="C468" s="51" t="s">
        <v>48</v>
      </c>
      <c r="D468" s="55" t="s">
        <v>161</v>
      </c>
      <c r="E468" s="52">
        <v>101001</v>
      </c>
      <c r="F468" s="49" t="str">
        <f>VLOOKUP(Database[[#This Row],[เลขที่บัญชี]],COA[],2,FALSE)</f>
        <v>เงินสด</v>
      </c>
      <c r="G468" s="53">
        <v>1000</v>
      </c>
      <c r="I468" s="52" t="str">
        <f>VLOOKUP(Database[[#This Row],[เลขที่บัญชี]],COA[],3,FALSE)</f>
        <v>1</v>
      </c>
      <c r="J468" s="52" t="s">
        <v>129</v>
      </c>
      <c r="K468" s="52" t="str">
        <f>VLOOKUP(Database[[#This Row],[รหัสหน่วยงาน]],Center[],2,FALSE)</f>
        <v>สำนักงานใหญ่</v>
      </c>
      <c r="L468" s="52">
        <v>1</v>
      </c>
    </row>
    <row r="469" spans="1:12">
      <c r="A469" s="49">
        <v>35</v>
      </c>
      <c r="B469" s="109" t="s">
        <v>187</v>
      </c>
      <c r="C469" s="51" t="s">
        <v>48</v>
      </c>
      <c r="D469" s="55" t="s">
        <v>161</v>
      </c>
      <c r="E469" s="52">
        <v>401003</v>
      </c>
      <c r="F469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469" s="53">
        <v>1000</v>
      </c>
      <c r="I469" s="52" t="str">
        <f>VLOOKUP(Database[[#This Row],[เลขที่บัญชี]],COA[],3,FALSE)</f>
        <v>4</v>
      </c>
      <c r="J469" s="52" t="s">
        <v>129</v>
      </c>
      <c r="K469" s="52" t="str">
        <f>VLOOKUP(Database[[#This Row],[รหัสหน่วยงาน]],Center[],2,FALSE)</f>
        <v>สำนักงานใหญ่</v>
      </c>
      <c r="L469" s="52">
        <v>1</v>
      </c>
    </row>
    <row r="470" spans="1:12">
      <c r="A470" s="49">
        <v>35</v>
      </c>
      <c r="B470" s="109" t="s">
        <v>187</v>
      </c>
      <c r="C470" s="51" t="s">
        <v>48</v>
      </c>
      <c r="D470" s="55" t="s">
        <v>161</v>
      </c>
      <c r="E470" s="52">
        <v>101001</v>
      </c>
      <c r="F470" s="49" t="str">
        <f>VLOOKUP(Database[[#This Row],[เลขที่บัญชี]],COA[],2,FALSE)</f>
        <v>เงินสด</v>
      </c>
      <c r="G470" s="53">
        <v>100</v>
      </c>
      <c r="I470" s="52" t="str">
        <f>VLOOKUP(Database[[#This Row],[เลขที่บัญชี]],COA[],3,FALSE)</f>
        <v>1</v>
      </c>
      <c r="J470" s="52" t="s">
        <v>129</v>
      </c>
      <c r="K470" s="52" t="str">
        <f>VLOOKUP(Database[[#This Row],[รหัสหน่วยงาน]],Center[],2,FALSE)</f>
        <v>สำนักงานใหญ่</v>
      </c>
      <c r="L470" s="52">
        <v>1</v>
      </c>
    </row>
    <row r="471" spans="1:12">
      <c r="A471" s="49">
        <v>35</v>
      </c>
      <c r="B471" s="109" t="s">
        <v>187</v>
      </c>
      <c r="C471" s="51" t="s">
        <v>48</v>
      </c>
      <c r="D471" s="55" t="s">
        <v>161</v>
      </c>
      <c r="E471" s="52">
        <v>401012</v>
      </c>
      <c r="F471" s="49" t="str">
        <f>VLOOKUP(Database[[#This Row],[เลขที่บัญชี]],COA[],2,FALSE)</f>
        <v>รายได้ค่าแคดดี้</v>
      </c>
      <c r="H471" s="53">
        <v>100</v>
      </c>
      <c r="I471" s="52" t="str">
        <f>VLOOKUP(Database[[#This Row],[เลขที่บัญชี]],COA[],3,FALSE)</f>
        <v>4</v>
      </c>
      <c r="J471" s="52" t="s">
        <v>129</v>
      </c>
      <c r="K471" s="52" t="str">
        <f>VLOOKUP(Database[[#This Row],[รหัสหน่วยงาน]],Center[],2,FALSE)</f>
        <v>สำนักงานใหญ่</v>
      </c>
      <c r="L471" s="52">
        <v>1</v>
      </c>
    </row>
    <row r="472" spans="1:12">
      <c r="A472" s="49">
        <v>35</v>
      </c>
      <c r="B472" s="109" t="s">
        <v>187</v>
      </c>
      <c r="C472" s="51" t="s">
        <v>48</v>
      </c>
      <c r="D472" s="55" t="s">
        <v>161</v>
      </c>
      <c r="E472" s="52">
        <v>101002</v>
      </c>
      <c r="F472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72" s="53">
        <v>1100</v>
      </c>
      <c r="I472" s="52" t="str">
        <f>VLOOKUP(Database[[#This Row],[เลขที่บัญชี]],COA[],3,FALSE)</f>
        <v>1</v>
      </c>
      <c r="J472" s="52" t="s">
        <v>129</v>
      </c>
      <c r="K472" s="52" t="str">
        <f>VLOOKUP(Database[[#This Row],[รหัสหน่วยงาน]],Center[],2,FALSE)</f>
        <v>สำนักงานใหญ่</v>
      </c>
      <c r="L472" s="52">
        <v>1</v>
      </c>
    </row>
    <row r="473" spans="1:12">
      <c r="A473" s="49">
        <v>35</v>
      </c>
      <c r="B473" s="109" t="s">
        <v>187</v>
      </c>
      <c r="C473" s="51" t="s">
        <v>48</v>
      </c>
      <c r="D473" s="55" t="s">
        <v>161</v>
      </c>
      <c r="E473" s="52">
        <v>101001</v>
      </c>
      <c r="F473" s="49" t="str">
        <f>VLOOKUP(Database[[#This Row],[เลขที่บัญชี]],COA[],2,FALSE)</f>
        <v>เงินสด</v>
      </c>
      <c r="H473" s="53">
        <v>1100</v>
      </c>
      <c r="I473" s="52" t="str">
        <f>VLOOKUP(Database[[#This Row],[เลขที่บัญชี]],COA[],3,FALSE)</f>
        <v>1</v>
      </c>
      <c r="J473" s="52" t="s">
        <v>129</v>
      </c>
      <c r="K473" s="52" t="str">
        <f>VLOOKUP(Database[[#This Row],[รหัสหน่วยงาน]],Center[],2,FALSE)</f>
        <v>สำนักงานใหญ่</v>
      </c>
      <c r="L473" s="52">
        <v>1</v>
      </c>
    </row>
    <row r="474" spans="1:12">
      <c r="A474" s="49">
        <v>35</v>
      </c>
      <c r="B474" s="109" t="s">
        <v>187</v>
      </c>
      <c r="C474" s="51" t="s">
        <v>48</v>
      </c>
      <c r="D474" s="55" t="s">
        <v>161</v>
      </c>
      <c r="E474" s="52">
        <v>101001</v>
      </c>
      <c r="F474" s="49" t="str">
        <f>VLOOKUP(Database[[#This Row],[เลขที่บัญชี]],COA[],2,FALSE)</f>
        <v>เงินสด</v>
      </c>
      <c r="G474" s="53">
        <v>2000</v>
      </c>
      <c r="I474" s="52" t="str">
        <f>VLOOKUP(Database[[#This Row],[เลขที่บัญชี]],COA[],3,FALSE)</f>
        <v>1</v>
      </c>
      <c r="J474" s="52" t="s">
        <v>129</v>
      </c>
      <c r="K474" s="52" t="str">
        <f>VLOOKUP(Database[[#This Row],[รหัสหน่วยงาน]],Center[],2,FALSE)</f>
        <v>สำนักงานใหญ่</v>
      </c>
      <c r="L474" s="52">
        <v>1</v>
      </c>
    </row>
    <row r="475" spans="1:12">
      <c r="A475" s="49">
        <v>35</v>
      </c>
      <c r="B475" s="109" t="s">
        <v>187</v>
      </c>
      <c r="C475" s="51" t="s">
        <v>48</v>
      </c>
      <c r="D475" s="55" t="s">
        <v>161</v>
      </c>
      <c r="E475" s="52">
        <v>401003</v>
      </c>
      <c r="F475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475" s="53">
        <v>2000</v>
      </c>
      <c r="I475" s="52" t="str">
        <f>VLOOKUP(Database[[#This Row],[เลขที่บัญชี]],COA[],3,FALSE)</f>
        <v>4</v>
      </c>
      <c r="J475" s="52" t="s">
        <v>129</v>
      </c>
      <c r="K475" s="52" t="str">
        <f>VLOOKUP(Database[[#This Row],[รหัสหน่วยงาน]],Center[],2,FALSE)</f>
        <v>สำนักงานใหญ่</v>
      </c>
      <c r="L475" s="52">
        <v>1</v>
      </c>
    </row>
    <row r="476" spans="1:12">
      <c r="A476" s="49">
        <v>35</v>
      </c>
      <c r="B476" s="109" t="s">
        <v>187</v>
      </c>
      <c r="C476" s="51" t="s">
        <v>48</v>
      </c>
      <c r="D476" s="55" t="s">
        <v>161</v>
      </c>
      <c r="E476" s="52">
        <v>101001</v>
      </c>
      <c r="F476" s="49" t="str">
        <f>VLOOKUP(Database[[#This Row],[เลขที่บัญชี]],COA[],2,FALSE)</f>
        <v>เงินสด</v>
      </c>
      <c r="G476" s="53">
        <v>360</v>
      </c>
      <c r="I476" s="52" t="str">
        <f>VLOOKUP(Database[[#This Row],[เลขที่บัญชี]],COA[],3,FALSE)</f>
        <v>1</v>
      </c>
      <c r="J476" s="52" t="s">
        <v>129</v>
      </c>
      <c r="K476" s="52" t="str">
        <f>VLOOKUP(Database[[#This Row],[รหัสหน่วยงาน]],Center[],2,FALSE)</f>
        <v>สำนักงานใหญ่</v>
      </c>
      <c r="L476" s="52">
        <v>1</v>
      </c>
    </row>
    <row r="477" spans="1:12">
      <c r="A477" s="49">
        <v>35</v>
      </c>
      <c r="B477" s="109" t="s">
        <v>187</v>
      </c>
      <c r="C477" s="51" t="s">
        <v>48</v>
      </c>
      <c r="D477" s="55" t="s">
        <v>161</v>
      </c>
      <c r="E477" s="52">
        <v>401004</v>
      </c>
      <c r="F477" s="49" t="str">
        <f>VLOOKUP(Database[[#This Row],[เลขที่บัญชี]],COA[],2,FALSE)</f>
        <v>รายได้ค่าบริการสนามกอล์ฟ รหัส 04 (บุคคลทั่วไป-วันธรรมดา)</v>
      </c>
      <c r="H477" s="53">
        <v>360</v>
      </c>
      <c r="I477" s="52" t="str">
        <f>VLOOKUP(Database[[#This Row],[เลขที่บัญชี]],COA[],3,FALSE)</f>
        <v>4</v>
      </c>
      <c r="J477" s="52" t="s">
        <v>129</v>
      </c>
      <c r="K477" s="52" t="str">
        <f>VLOOKUP(Database[[#This Row],[รหัสหน่วยงาน]],Center[],2,FALSE)</f>
        <v>สำนักงานใหญ่</v>
      </c>
      <c r="L477" s="52">
        <v>1</v>
      </c>
    </row>
    <row r="478" spans="1:12">
      <c r="A478" s="49">
        <v>35</v>
      </c>
      <c r="B478" s="109" t="s">
        <v>187</v>
      </c>
      <c r="C478" s="51" t="s">
        <v>48</v>
      </c>
      <c r="D478" s="55" t="s">
        <v>161</v>
      </c>
      <c r="E478" s="52">
        <v>101001</v>
      </c>
      <c r="F478" s="49" t="str">
        <f>VLOOKUP(Database[[#This Row],[เลขที่บัญชี]],COA[],2,FALSE)</f>
        <v>เงินสด</v>
      </c>
      <c r="G478" s="53">
        <v>50</v>
      </c>
      <c r="I478" s="52" t="str">
        <f>VLOOKUP(Database[[#This Row],[เลขที่บัญชี]],COA[],3,FALSE)</f>
        <v>1</v>
      </c>
      <c r="J478" s="52" t="s">
        <v>129</v>
      </c>
      <c r="K478" s="52" t="str">
        <f>VLOOKUP(Database[[#This Row],[รหัสหน่วยงาน]],Center[],2,FALSE)</f>
        <v>สำนักงานใหญ่</v>
      </c>
      <c r="L478" s="52">
        <v>1</v>
      </c>
    </row>
    <row r="479" spans="1:12">
      <c r="A479" s="49">
        <v>35</v>
      </c>
      <c r="B479" s="109" t="s">
        <v>187</v>
      </c>
      <c r="C479" s="51" t="s">
        <v>48</v>
      </c>
      <c r="D479" s="55" t="s">
        <v>161</v>
      </c>
      <c r="E479" s="52">
        <v>401018</v>
      </c>
      <c r="F479" s="49" t="str">
        <f>VLOOKUP(Database[[#This Row],[เลขที่บัญชี]],COA[],2,FALSE)</f>
        <v>ค่าบริการสนามผู้ติดตาม</v>
      </c>
      <c r="H479" s="53">
        <v>50</v>
      </c>
      <c r="I479" s="52" t="str">
        <f>VLOOKUP(Database[[#This Row],[เลขที่บัญชี]],COA[],3,FALSE)</f>
        <v>4</v>
      </c>
      <c r="J479" s="52" t="s">
        <v>129</v>
      </c>
      <c r="K479" s="52" t="str">
        <f>VLOOKUP(Database[[#This Row],[รหัสหน่วยงาน]],Center[],2,FALSE)</f>
        <v>สำนักงานใหญ่</v>
      </c>
      <c r="L479" s="52">
        <v>1</v>
      </c>
    </row>
    <row r="480" spans="1:12">
      <c r="A480" s="49">
        <v>35</v>
      </c>
      <c r="B480" s="109" t="s">
        <v>187</v>
      </c>
      <c r="C480" s="51" t="s">
        <v>48</v>
      </c>
      <c r="D480" s="55" t="s">
        <v>161</v>
      </c>
      <c r="E480" s="52">
        <v>101001</v>
      </c>
      <c r="F480" s="49" t="str">
        <f>VLOOKUP(Database[[#This Row],[เลขที่บัญชี]],COA[],2,FALSE)</f>
        <v>เงินสด</v>
      </c>
      <c r="G480" s="53">
        <v>300</v>
      </c>
      <c r="I480" s="52" t="str">
        <f>VLOOKUP(Database[[#This Row],[เลขที่บัญชี]],COA[],3,FALSE)</f>
        <v>1</v>
      </c>
      <c r="J480" s="52" t="s">
        <v>129</v>
      </c>
      <c r="K480" s="52" t="str">
        <f>VLOOKUP(Database[[#This Row],[รหัสหน่วยงาน]],Center[],2,FALSE)</f>
        <v>สำนักงานใหญ่</v>
      </c>
      <c r="L480" s="52">
        <v>1</v>
      </c>
    </row>
    <row r="481" spans="1:12">
      <c r="A481" s="49">
        <v>35</v>
      </c>
      <c r="B481" s="109" t="s">
        <v>187</v>
      </c>
      <c r="C481" s="51" t="s">
        <v>48</v>
      </c>
      <c r="D481" s="55" t="s">
        <v>161</v>
      </c>
      <c r="E481" s="52">
        <v>401012</v>
      </c>
      <c r="F481" s="49" t="str">
        <f>VLOOKUP(Database[[#This Row],[เลขที่บัญชี]],COA[],2,FALSE)</f>
        <v>รายได้ค่าแคดดี้</v>
      </c>
      <c r="H481" s="53">
        <v>300</v>
      </c>
      <c r="I481" s="52" t="str">
        <f>VLOOKUP(Database[[#This Row],[เลขที่บัญชี]],COA[],3,FALSE)</f>
        <v>4</v>
      </c>
      <c r="J481" s="52" t="s">
        <v>129</v>
      </c>
      <c r="K481" s="52" t="str">
        <f>VLOOKUP(Database[[#This Row],[รหัสหน่วยงาน]],Center[],2,FALSE)</f>
        <v>สำนักงานใหญ่</v>
      </c>
      <c r="L481" s="52">
        <v>1</v>
      </c>
    </row>
    <row r="482" spans="1:12">
      <c r="A482" s="49">
        <v>35</v>
      </c>
      <c r="B482" s="109" t="s">
        <v>187</v>
      </c>
      <c r="C482" s="51" t="s">
        <v>48</v>
      </c>
      <c r="D482" s="55" t="s">
        <v>161</v>
      </c>
      <c r="E482" s="52">
        <v>101002</v>
      </c>
      <c r="F482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82" s="53">
        <v>2710</v>
      </c>
      <c r="I482" s="52" t="str">
        <f>VLOOKUP(Database[[#This Row],[เลขที่บัญชี]],COA[],3,FALSE)</f>
        <v>1</v>
      </c>
      <c r="J482" s="52" t="s">
        <v>129</v>
      </c>
      <c r="K482" s="52" t="str">
        <f>VLOOKUP(Database[[#This Row],[รหัสหน่วยงาน]],Center[],2,FALSE)</f>
        <v>สำนักงานใหญ่</v>
      </c>
      <c r="L482" s="52">
        <v>1</v>
      </c>
    </row>
    <row r="483" spans="1:12">
      <c r="A483" s="49">
        <v>35</v>
      </c>
      <c r="B483" s="109" t="s">
        <v>187</v>
      </c>
      <c r="C483" s="51" t="s">
        <v>48</v>
      </c>
      <c r="D483" s="55" t="s">
        <v>161</v>
      </c>
      <c r="E483" s="52">
        <v>101001</v>
      </c>
      <c r="F483" s="49" t="str">
        <f>VLOOKUP(Database[[#This Row],[เลขที่บัญชี]],COA[],2,FALSE)</f>
        <v>เงินสด</v>
      </c>
      <c r="H483" s="53">
        <v>2710</v>
      </c>
      <c r="I483" s="52" t="str">
        <f>VLOOKUP(Database[[#This Row],[เลขที่บัญชี]],COA[],3,FALSE)</f>
        <v>1</v>
      </c>
      <c r="J483" s="52" t="s">
        <v>129</v>
      </c>
      <c r="K483" s="52" t="str">
        <f>VLOOKUP(Database[[#This Row],[รหัสหน่วยงาน]],Center[],2,FALSE)</f>
        <v>สำนักงานใหญ่</v>
      </c>
      <c r="L483" s="52">
        <v>1</v>
      </c>
    </row>
    <row r="484" spans="1:12">
      <c r="A484" s="49">
        <v>36</v>
      </c>
      <c r="B484" s="109" t="s">
        <v>188</v>
      </c>
      <c r="C484" s="51" t="s">
        <v>48</v>
      </c>
      <c r="D484" s="55" t="s">
        <v>161</v>
      </c>
      <c r="E484" s="52">
        <v>101001</v>
      </c>
      <c r="F484" s="49" t="str">
        <f>VLOOKUP(Database[[#This Row],[เลขที่บัญชี]],COA[],2,FALSE)</f>
        <v>เงินสด</v>
      </c>
      <c r="G484" s="53">
        <v>3400</v>
      </c>
      <c r="I484" s="52" t="str">
        <f>VLOOKUP(Database[[#This Row],[เลขที่บัญชี]],COA[],3,FALSE)</f>
        <v>1</v>
      </c>
      <c r="J484" s="52" t="s">
        <v>129</v>
      </c>
      <c r="K484" s="52" t="str">
        <f>VLOOKUP(Database[[#This Row],[รหัสหน่วยงาน]],Center[],2,FALSE)</f>
        <v>สำนักงานใหญ่</v>
      </c>
      <c r="L484" s="52">
        <v>1</v>
      </c>
    </row>
    <row r="485" spans="1:12">
      <c r="A485" s="49">
        <v>36</v>
      </c>
      <c r="B485" s="109" t="s">
        <v>188</v>
      </c>
      <c r="C485" s="51" t="s">
        <v>48</v>
      </c>
      <c r="D485" s="55" t="s">
        <v>161</v>
      </c>
      <c r="E485" s="52">
        <v>401003</v>
      </c>
      <c r="F485" s="49" t="str">
        <f>VLOOKUP(Database[[#This Row],[เลขที่บัญชี]],COA[],2,FALSE)</f>
        <v>รายได้ค่าบริการสนามกอล์ฟ รหัส 03 (สมาชิก-วันธรรมดาถึงวันหยุด)</v>
      </c>
      <c r="H485" s="53">
        <v>3400</v>
      </c>
      <c r="I485" s="52" t="str">
        <f>VLOOKUP(Database[[#This Row],[เลขที่บัญชี]],COA[],3,FALSE)</f>
        <v>4</v>
      </c>
      <c r="J485" s="52" t="s">
        <v>129</v>
      </c>
      <c r="K485" s="52" t="str">
        <f>VLOOKUP(Database[[#This Row],[รหัสหน่วยงาน]],Center[],2,FALSE)</f>
        <v>สำนักงานใหญ่</v>
      </c>
      <c r="L485" s="52">
        <v>1</v>
      </c>
    </row>
    <row r="486" spans="1:12">
      <c r="A486" s="49">
        <v>36</v>
      </c>
      <c r="B486" s="109" t="s">
        <v>188</v>
      </c>
      <c r="C486" s="51" t="s">
        <v>48</v>
      </c>
      <c r="D486" s="55" t="s">
        <v>161</v>
      </c>
      <c r="E486" s="52">
        <v>101001</v>
      </c>
      <c r="F486" s="49" t="str">
        <f>VLOOKUP(Database[[#This Row],[เลขที่บัญชี]],COA[],2,FALSE)</f>
        <v>เงินสด</v>
      </c>
      <c r="G486" s="53">
        <v>50</v>
      </c>
      <c r="I486" s="52" t="str">
        <f>VLOOKUP(Database[[#This Row],[เลขที่บัญชี]],COA[],3,FALSE)</f>
        <v>1</v>
      </c>
      <c r="J486" s="52" t="s">
        <v>129</v>
      </c>
      <c r="K486" s="52" t="str">
        <f>VLOOKUP(Database[[#This Row],[รหัสหน่วยงาน]],Center[],2,FALSE)</f>
        <v>สำนักงานใหญ่</v>
      </c>
      <c r="L486" s="52">
        <v>1</v>
      </c>
    </row>
    <row r="487" spans="1:12">
      <c r="A487" s="49">
        <v>36</v>
      </c>
      <c r="B487" s="109" t="s">
        <v>188</v>
      </c>
      <c r="C487" s="51" t="s">
        <v>48</v>
      </c>
      <c r="D487" s="55" t="s">
        <v>161</v>
      </c>
      <c r="E487" s="52">
        <v>401018</v>
      </c>
      <c r="F487" s="49" t="str">
        <f>VLOOKUP(Database[[#This Row],[เลขที่บัญชี]],COA[],2,FALSE)</f>
        <v>ค่าบริการสนามผู้ติดตาม</v>
      </c>
      <c r="H487" s="53">
        <v>50</v>
      </c>
      <c r="I487" s="52" t="str">
        <f>VLOOKUP(Database[[#This Row],[เลขที่บัญชี]],COA[],3,FALSE)</f>
        <v>4</v>
      </c>
      <c r="J487" s="52" t="s">
        <v>129</v>
      </c>
      <c r="K487" s="52" t="str">
        <f>VLOOKUP(Database[[#This Row],[รหัสหน่วยงาน]],Center[],2,FALSE)</f>
        <v>สำนักงานใหญ่</v>
      </c>
      <c r="L487" s="52">
        <v>1</v>
      </c>
    </row>
    <row r="488" spans="1:12">
      <c r="A488" s="49">
        <v>36</v>
      </c>
      <c r="B488" s="109" t="s">
        <v>188</v>
      </c>
      <c r="C488" s="51" t="s">
        <v>48</v>
      </c>
      <c r="D488" s="55" t="s">
        <v>161</v>
      </c>
      <c r="E488" s="52">
        <v>101001</v>
      </c>
      <c r="F488" s="49" t="str">
        <f>VLOOKUP(Database[[#This Row],[เลขที่บัญชี]],COA[],2,FALSE)</f>
        <v>เงินสด</v>
      </c>
      <c r="G488" s="53">
        <v>480</v>
      </c>
      <c r="I488" s="52" t="str">
        <f>VLOOKUP(Database[[#This Row],[เลขที่บัญชี]],COA[],3,FALSE)</f>
        <v>1</v>
      </c>
      <c r="J488" s="52" t="s">
        <v>129</v>
      </c>
      <c r="K488" s="52" t="str">
        <f>VLOOKUP(Database[[#This Row],[รหัสหน่วยงาน]],Center[],2,FALSE)</f>
        <v>สำนักงานใหญ่</v>
      </c>
      <c r="L488" s="52">
        <v>1</v>
      </c>
    </row>
    <row r="489" spans="1:12">
      <c r="A489" s="49">
        <v>36</v>
      </c>
      <c r="B489" s="109" t="s">
        <v>188</v>
      </c>
      <c r="C489" s="51" t="s">
        <v>48</v>
      </c>
      <c r="D489" s="55" t="s">
        <v>161</v>
      </c>
      <c r="E489" s="52">
        <v>401012</v>
      </c>
      <c r="F489" s="49" t="str">
        <f>VLOOKUP(Database[[#This Row],[เลขที่บัญชี]],COA[],2,FALSE)</f>
        <v>รายได้ค่าแคดดี้</v>
      </c>
      <c r="H489" s="53">
        <v>480</v>
      </c>
      <c r="I489" s="52" t="str">
        <f>VLOOKUP(Database[[#This Row],[เลขที่บัญชี]],COA[],3,FALSE)</f>
        <v>4</v>
      </c>
      <c r="J489" s="52" t="s">
        <v>129</v>
      </c>
      <c r="K489" s="52" t="str">
        <f>VLOOKUP(Database[[#This Row],[รหัสหน่วยงาน]],Center[],2,FALSE)</f>
        <v>สำนักงานใหญ่</v>
      </c>
      <c r="L489" s="52">
        <v>1</v>
      </c>
    </row>
    <row r="490" spans="1:12">
      <c r="A490" s="49">
        <v>36</v>
      </c>
      <c r="B490" s="109" t="s">
        <v>188</v>
      </c>
      <c r="C490" s="51" t="s">
        <v>48</v>
      </c>
      <c r="D490" s="55" t="s">
        <v>161</v>
      </c>
      <c r="E490" s="52">
        <v>101002</v>
      </c>
      <c r="F490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90" s="53">
        <v>3930</v>
      </c>
      <c r="I490" s="52" t="str">
        <f>VLOOKUP(Database[[#This Row],[เลขที่บัญชี]],COA[],3,FALSE)</f>
        <v>1</v>
      </c>
      <c r="J490" s="52" t="s">
        <v>129</v>
      </c>
      <c r="K490" s="52" t="str">
        <f>VLOOKUP(Database[[#This Row],[รหัสหน่วยงาน]],Center[],2,FALSE)</f>
        <v>สำนักงานใหญ่</v>
      </c>
      <c r="L490" s="52">
        <v>1</v>
      </c>
    </row>
    <row r="491" spans="1:12">
      <c r="A491" s="49">
        <v>36</v>
      </c>
      <c r="B491" s="109" t="s">
        <v>188</v>
      </c>
      <c r="C491" s="51" t="s">
        <v>48</v>
      </c>
      <c r="D491" s="55" t="s">
        <v>161</v>
      </c>
      <c r="E491" s="52">
        <v>101001</v>
      </c>
      <c r="F491" s="49" t="str">
        <f>VLOOKUP(Database[[#This Row],[เลขที่บัญชี]],COA[],2,FALSE)</f>
        <v>เงินสด</v>
      </c>
      <c r="H491" s="53">
        <v>3930</v>
      </c>
      <c r="I491" s="52" t="str">
        <f>VLOOKUP(Database[[#This Row],[เลขที่บัญชี]],COA[],3,FALSE)</f>
        <v>1</v>
      </c>
      <c r="J491" s="52" t="s">
        <v>129</v>
      </c>
      <c r="K491" s="52" t="str">
        <f>VLOOKUP(Database[[#This Row],[รหัสหน่วยงาน]],Center[],2,FALSE)</f>
        <v>สำนักงานใหญ่</v>
      </c>
      <c r="L491" s="52">
        <v>1</v>
      </c>
    </row>
    <row r="492" spans="1:12">
      <c r="A492" s="49">
        <v>36</v>
      </c>
      <c r="B492" s="109" t="s">
        <v>188</v>
      </c>
      <c r="C492" s="51" t="s">
        <v>48</v>
      </c>
      <c r="D492" s="55" t="s">
        <v>161</v>
      </c>
      <c r="E492" s="52">
        <v>101001</v>
      </c>
      <c r="F492" s="49" t="str">
        <f>VLOOKUP(Database[[#This Row],[เลขที่บัญชี]],COA[],2,FALSE)</f>
        <v>เงินสด</v>
      </c>
      <c r="G492" s="53">
        <v>2000</v>
      </c>
      <c r="I492" s="52" t="str">
        <f>VLOOKUP(Database[[#This Row],[เลขที่บัญชี]],COA[],3,FALSE)</f>
        <v>1</v>
      </c>
      <c r="J492" s="52" t="s">
        <v>129</v>
      </c>
      <c r="K492" s="52" t="str">
        <f>VLOOKUP(Database[[#This Row],[รหัสหน่วยงาน]],Center[],2,FALSE)</f>
        <v>สำนักงานใหญ่</v>
      </c>
      <c r="L492" s="52">
        <v>1</v>
      </c>
    </row>
    <row r="493" spans="1:12">
      <c r="A493" s="49">
        <v>36</v>
      </c>
      <c r="B493" s="109" t="s">
        <v>188</v>
      </c>
      <c r="C493" s="51" t="s">
        <v>48</v>
      </c>
      <c r="D493" s="55" t="s">
        <v>161</v>
      </c>
      <c r="E493" s="52">
        <v>401014</v>
      </c>
      <c r="F493" s="49" t="str">
        <f>VLOOKUP(Database[[#This Row],[เลขที่บัญชี]],COA[],2,FALSE)</f>
        <v>รายได้ค่าเช่าพื้นที่คลับเฮ้าส์</v>
      </c>
      <c r="H493" s="53">
        <v>2000</v>
      </c>
      <c r="I493" s="52" t="str">
        <f>VLOOKUP(Database[[#This Row],[เลขที่บัญชี]],COA[],3,FALSE)</f>
        <v>4</v>
      </c>
      <c r="J493" s="52" t="s">
        <v>129</v>
      </c>
      <c r="K493" s="52" t="str">
        <f>VLOOKUP(Database[[#This Row],[รหัสหน่วยงาน]],Center[],2,FALSE)</f>
        <v>สำนักงานใหญ่</v>
      </c>
      <c r="L493" s="52">
        <v>1</v>
      </c>
    </row>
    <row r="494" spans="1:12">
      <c r="A494" s="49">
        <v>36</v>
      </c>
      <c r="B494" s="109" t="s">
        <v>188</v>
      </c>
      <c r="C494" s="51" t="s">
        <v>48</v>
      </c>
      <c r="D494" s="55" t="s">
        <v>161</v>
      </c>
      <c r="E494" s="52">
        <v>101002</v>
      </c>
      <c r="F494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94" s="53">
        <v>2000</v>
      </c>
      <c r="I494" s="52" t="str">
        <f>VLOOKUP(Database[[#This Row],[เลขที่บัญชี]],COA[],3,FALSE)</f>
        <v>1</v>
      </c>
      <c r="J494" s="52" t="s">
        <v>129</v>
      </c>
      <c r="K494" s="52" t="str">
        <f>VLOOKUP(Database[[#This Row],[รหัสหน่วยงาน]],Center[],2,FALSE)</f>
        <v>สำนักงานใหญ่</v>
      </c>
      <c r="L494" s="52">
        <v>1</v>
      </c>
    </row>
    <row r="495" spans="1:12">
      <c r="A495" s="49">
        <v>36</v>
      </c>
      <c r="B495" s="109" t="s">
        <v>188</v>
      </c>
      <c r="C495" s="51" t="s">
        <v>48</v>
      </c>
      <c r="D495" s="55" t="s">
        <v>161</v>
      </c>
      <c r="E495" s="52">
        <v>101001</v>
      </c>
      <c r="F495" s="49" t="str">
        <f>VLOOKUP(Database[[#This Row],[เลขที่บัญชี]],COA[],2,FALSE)</f>
        <v>เงินสด</v>
      </c>
      <c r="H495" s="53">
        <v>2000</v>
      </c>
      <c r="I495" s="52" t="str">
        <f>VLOOKUP(Database[[#This Row],[เลขที่บัญชี]],COA[],3,FALSE)</f>
        <v>1</v>
      </c>
      <c r="J495" s="52" t="s">
        <v>129</v>
      </c>
      <c r="K495" s="52" t="str">
        <f>VLOOKUP(Database[[#This Row],[รหัสหน่วยงาน]],Center[],2,FALSE)</f>
        <v>สำนักงานใหญ่</v>
      </c>
      <c r="L495" s="52">
        <v>1</v>
      </c>
    </row>
    <row r="496" spans="1:12">
      <c r="A496" s="49">
        <v>37</v>
      </c>
      <c r="B496" s="109" t="s">
        <v>188</v>
      </c>
      <c r="C496" s="51" t="s">
        <v>97</v>
      </c>
      <c r="D496" s="55" t="s">
        <v>97</v>
      </c>
      <c r="E496" s="52">
        <v>101002</v>
      </c>
      <c r="F496" s="49" t="str">
        <f>VLOOKUP(Database[[#This Row],[เลขที่บัญชี]],COA[],2,FALSE)</f>
        <v>เงินฝากธนาคารกรุงไทย สนามกอล์ฟภูกระแตมหาวิทยาลัยนครพนม 408-0-989180</v>
      </c>
      <c r="G496" s="53">
        <v>6479.13</v>
      </c>
      <c r="I496" s="52" t="str">
        <f>VLOOKUP(Database[[#This Row],[เลขที่บัญชี]],COA[],3,FALSE)</f>
        <v>1</v>
      </c>
      <c r="J496" s="52" t="s">
        <v>129</v>
      </c>
      <c r="K496" s="52" t="str">
        <f>VLOOKUP(Database[[#This Row],[รหัสหน่วยงาน]],Center[],2,FALSE)</f>
        <v>สำนักงานใหญ่</v>
      </c>
      <c r="L496" s="52">
        <v>1</v>
      </c>
    </row>
    <row r="497" spans="1:12">
      <c r="A497" s="49">
        <v>37</v>
      </c>
      <c r="B497" s="109" t="s">
        <v>188</v>
      </c>
      <c r="C497" s="51" t="s">
        <v>97</v>
      </c>
      <c r="D497" s="55" t="s">
        <v>97</v>
      </c>
      <c r="E497" s="52">
        <v>401017</v>
      </c>
      <c r="F497" s="49" t="str">
        <f>VLOOKUP(Database[[#This Row],[เลขที่บัญชี]],COA[],2,FALSE)</f>
        <v>ดอกเบี้ยรับจากเงินฝากสถาบันการเงิน</v>
      </c>
      <c r="H497" s="53">
        <v>6479.13</v>
      </c>
      <c r="I497" s="52">
        <f>VLOOKUP(Database[[#This Row],[เลขที่บัญชี]],COA[],3,FALSE)</f>
        <v>0</v>
      </c>
      <c r="J497" s="52" t="s">
        <v>129</v>
      </c>
      <c r="K497" s="52" t="str">
        <f>VLOOKUP(Database[[#This Row],[รหัสหน่วยงาน]],Center[],2,FALSE)</f>
        <v>สำนักงานใหญ่</v>
      </c>
      <c r="L497" s="52">
        <v>1</v>
      </c>
    </row>
  </sheetData>
  <sheetProtection autoFilter="0"/>
  <sortState xmlns:xlrd2="http://schemas.microsoft.com/office/spreadsheetml/2017/richdata2" ref="A2:L497">
    <sortCondition ref="A1"/>
  </sortState>
  <pageMargins left="0.7" right="0.7" top="0.75" bottom="0.75" header="0.3" footer="0.3"/>
  <pageSetup paperSize="9" orientation="landscape" horizontalDpi="200" verticalDpi="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F3C5C0-C7DB-4CE2-B451-7F03EFE0876E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10</vt:i4>
      </vt:variant>
      <vt:variant>
        <vt:lpstr>ช่วงที่มีชื่อ</vt:lpstr>
      </vt:variant>
      <vt:variant>
        <vt:i4>10</vt:i4>
      </vt:variant>
    </vt:vector>
  </HeadingPairs>
  <TitlesOfParts>
    <vt:vector size="20" baseType="lpstr">
      <vt:lpstr>คำอธิบาย</vt:lpstr>
      <vt:lpstr>ผังบัญชี</vt:lpstr>
      <vt:lpstr>หน่วยงาน</vt:lpstr>
      <vt:lpstr>บันทึกบัญชี</vt:lpstr>
      <vt:lpstr>JE</vt:lpstr>
      <vt:lpstr>GL</vt:lpstr>
      <vt:lpstr>TB</vt:lpstr>
      <vt:lpstr>NI</vt:lpstr>
      <vt:lpstr>TBC</vt:lpstr>
      <vt:lpstr>db</vt:lpstr>
      <vt:lpstr>A_Name</vt:lpstr>
      <vt:lpstr>COM_NAME</vt:lpstr>
      <vt:lpstr>GL!Print_Area</vt:lpstr>
      <vt:lpstr>TBC!Print_Area</vt:lpstr>
      <vt:lpstr>บันทึกบัญชี!Print_Area</vt:lpstr>
      <vt:lpstr>GL!Print_Titles</vt:lpstr>
      <vt:lpstr>JE!Print_Titles</vt:lpstr>
      <vt:lpstr>NI!Print_Titles</vt:lpstr>
      <vt:lpstr>TB!Print_Titles</vt:lpstr>
      <vt:lpstr>TBC!Print_Titles</vt:lpstr>
    </vt:vector>
  </TitlesOfParts>
  <Manager/>
  <Company>มหาวิทยาลัยเทคโนโลยีราชมงคลธัญบุรี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Surat Leerattanachai</dc:creator>
  <cp:keywords/>
  <dc:description/>
  <cp:lastModifiedBy>สนามกอล์ฟภูกระแต มหาวิทยาลัยนครพนม</cp:lastModifiedBy>
  <cp:revision/>
  <cp:lastPrinted>2026-08-14T09:02:12Z</cp:lastPrinted>
  <dcterms:created xsi:type="dcterms:W3CDTF">2015-06-17T12:58:38Z</dcterms:created>
  <dcterms:modified xsi:type="dcterms:W3CDTF">2026-08-14T09:03:49Z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DMCEIC_owner">
    <vt:lpwstr>th-train5</vt:lpwstr>
  </property>
  <property fmtid="{D5CDD505-2E9C-101B-9397-08002B2CF9AE}" pid="3" name="CDMCEIC_ownerFullName">
    <vt:lpwstr>train</vt:lpwstr>
  </property>
  <property fmtid="{D5CDD505-2E9C-101B-9397-08002B2CF9AE}" pid="4" name="CDMCEIC_readOnly">
    <vt:lpwstr>False</vt:lpwstr>
  </property>
  <property fmtid="{D5CDD505-2E9C-101B-9397-08002B2CF9AE}" pid="5" name="CDMCEIC_autoRefresh">
    <vt:lpwstr>False</vt:lpwstr>
  </property>
  <property fmtid="{D5CDD505-2E9C-101B-9397-08002B2CF9AE}" pid="6" name="CDMCEIC_description">
    <vt:lpwstr/>
  </property>
</Properties>
</file>